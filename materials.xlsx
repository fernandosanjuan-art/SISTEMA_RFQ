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307 Materials (Purchasing)\04 Master List\"/>
    </mc:Choice>
  </mc:AlternateContent>
  <xr:revisionPtr revIDLastSave="0" documentId="13_ncr:1_{5CB845C4-B85F-4BEA-91C2-621D0B7C7F38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Master List (Backup Mar-16-22)" sheetId="1" state="hidden" r:id="rId1"/>
    <sheet name="Master List" sheetId="3" r:id="rId2"/>
    <sheet name="Contacto-Proveedor" sheetId="6" r:id="rId3"/>
  </sheets>
  <definedNames>
    <definedName name="_xlnm._FilterDatabase" localSheetId="2" hidden="1">'Contacto-Proveedor'!$A$2:$S$2</definedName>
    <definedName name="_xlnm._FilterDatabase" localSheetId="1" hidden="1">'Master List'!$A$2:$XFB$1282</definedName>
    <definedName name="_xlnm._FilterDatabase" localSheetId="0" hidden="1">'Master List (Backup Mar-16-22)'!$A$2:$DF$934</definedName>
    <definedName name="Z_A3C3765C_EA73_48D0_8F3F_74E623E74581_.wvu.Cols" localSheetId="1" hidden="1">'Master List'!$A:$A,'Master List'!$O:$O,'Master List'!#REF!</definedName>
    <definedName name="Z_A3C3765C_EA73_48D0_8F3F_74E623E74581_.wvu.FilterData" localSheetId="1" hidden="1">'Master List'!$A$2:$W$986</definedName>
    <definedName name="Z_A3C3765C_EA73_48D0_8F3F_74E623E74581_.wvu.FilterData" localSheetId="0" hidden="1">'Master List (Backup Mar-16-22)'!$A$2:$DF$934</definedName>
  </definedNames>
  <calcPr calcId="181029"/>
  <customWorkbookViews>
    <customWorkbookView name="Ana.Perez - Personal View" guid="{A3C3765C-EA73-48D0-8F3F-74E623E74581}" mergeInterval="0" personalView="1" maximized="1" xWindow="1" yWindow="1" windowWidth="1920" windowHeight="802" activeSheetId="2"/>
  </customWorkbookViews>
</workbook>
</file>

<file path=xl/calcChain.xml><?xml version="1.0" encoding="utf-8"?>
<calcChain xmlns="http://schemas.openxmlformats.org/spreadsheetml/2006/main">
  <c r="R313" i="3" l="1"/>
  <c r="O313" i="3"/>
  <c r="R337" i="3"/>
  <c r="O337" i="3"/>
  <c r="R84" i="3"/>
  <c r="O84" i="3"/>
  <c r="H481" i="3"/>
  <c r="R745" i="3"/>
  <c r="O50" i="3"/>
  <c r="R821" i="3"/>
  <c r="Q1189" i="3" l="1"/>
  <c r="R1189" i="3" s="1"/>
  <c r="Q508" i="3"/>
  <c r="H751" i="3"/>
  <c r="O357" i="3"/>
  <c r="R736" i="3" l="1"/>
  <c r="O508" i="3"/>
  <c r="H480" i="3"/>
  <c r="O367" i="3"/>
  <c r="Q367" i="3"/>
  <c r="O162" i="3"/>
  <c r="Q479" i="3" l="1"/>
  <c r="H479" i="3" s="1"/>
  <c r="R820" i="3"/>
  <c r="R819" i="3"/>
  <c r="Q820" i="3"/>
  <c r="Q819" i="3"/>
  <c r="O210" i="3"/>
  <c r="O171" i="3" l="1"/>
  <c r="R813" i="3"/>
  <c r="R790" i="3"/>
  <c r="R608" i="3"/>
  <c r="H478" i="3"/>
  <c r="O88" i="3"/>
  <c r="O82" i="3"/>
  <c r="Q359" i="3" l="1"/>
  <c r="O359" i="3"/>
  <c r="Q1015" i="3"/>
  <c r="Q58" i="3"/>
  <c r="O58" i="3"/>
  <c r="O365" i="3"/>
  <c r="O335" i="3" l="1"/>
  <c r="O722" i="3"/>
  <c r="O670" i="3"/>
  <c r="O190" i="3"/>
  <c r="R338" i="3"/>
  <c r="O338" i="3" l="1"/>
  <c r="R1237" i="3"/>
  <c r="R626" i="3"/>
  <c r="R637" i="3"/>
  <c r="R620" i="3"/>
  <c r="R622" i="3"/>
  <c r="R633" i="3"/>
  <c r="R630" i="3"/>
  <c r="R638" i="3"/>
  <c r="R619" i="3"/>
  <c r="R628" i="3"/>
  <c r="R636" i="3"/>
  <c r="R618" i="3"/>
  <c r="R676" i="3"/>
  <c r="R617" i="3"/>
  <c r="R627" i="3"/>
  <c r="R625" i="3"/>
  <c r="R639" i="3"/>
  <c r="R621" i="3"/>
  <c r="R686" i="3"/>
  <c r="R685" i="3"/>
  <c r="R659" i="3"/>
  <c r="R658" i="3"/>
  <c r="R632" i="3"/>
  <c r="R1236" i="3"/>
  <c r="R687" i="3"/>
  <c r="R645" i="3"/>
  <c r="R656" i="3"/>
  <c r="R700" i="3"/>
  <c r="R684" i="3"/>
  <c r="R701" i="3"/>
  <c r="R704" i="3"/>
  <c r="Q291" i="3"/>
  <c r="Q262" i="3"/>
  <c r="Q56" i="3"/>
  <c r="R670" i="3" l="1"/>
  <c r="Q399" i="3"/>
  <c r="Q244" i="3"/>
  <c r="R399" i="3"/>
  <c r="R244" i="3"/>
  <c r="O405" i="3" l="1"/>
  <c r="O237" i="3"/>
  <c r="O223" i="3"/>
  <c r="R237" i="3"/>
  <c r="R223" i="3"/>
  <c r="H750" i="3" l="1"/>
  <c r="O360" i="3"/>
  <c r="Q748" i="3" l="1"/>
  <c r="N748" i="3"/>
  <c r="Q732" i="3"/>
  <c r="N732" i="3"/>
  <c r="R82" i="3"/>
  <c r="O415" i="3" l="1"/>
  <c r="Q1017" i="3"/>
  <c r="Q48" i="3"/>
  <c r="H749" i="3"/>
  <c r="H748" i="3"/>
  <c r="M1015" i="3"/>
  <c r="H1016" i="3"/>
  <c r="H1015" i="3"/>
  <c r="H477" i="3"/>
  <c r="H747" i="3"/>
  <c r="N710" i="3"/>
  <c r="Q710" i="3"/>
  <c r="O710" i="3"/>
  <c r="Q746" i="3"/>
  <c r="H746" i="3" s="1"/>
  <c r="N746" i="3"/>
  <c r="Q682" i="3"/>
  <c r="N682" i="3"/>
  <c r="H1230" i="3"/>
  <c r="H1229" i="3"/>
  <c r="H1228" i="3"/>
  <c r="H1227" i="3"/>
  <c r="H1226" i="3"/>
  <c r="H1225" i="3"/>
  <c r="O738" i="3"/>
  <c r="O379" i="3"/>
  <c r="H476" i="3" l="1"/>
  <c r="H475" i="3"/>
  <c r="H474" i="3"/>
  <c r="R424" i="3"/>
  <c r="H1008" i="3" l="1"/>
  <c r="H1206" i="3" l="1"/>
  <c r="K1010" i="3"/>
  <c r="O462" i="3"/>
  <c r="O459" i="3" l="1"/>
  <c r="Q734" i="3"/>
  <c r="N734" i="3"/>
  <c r="N1224" i="3" l="1"/>
  <c r="H1014" i="3"/>
  <c r="R398" i="3"/>
  <c r="H1013" i="3"/>
  <c r="N364" i="3"/>
  <c r="Q364" i="3"/>
  <c r="O408" i="3"/>
  <c r="H745" i="3" l="1"/>
  <c r="Q1224" i="3"/>
  <c r="H1224" i="3" s="1"/>
  <c r="O420" i="3"/>
  <c r="O425" i="3"/>
  <c r="Q744" i="3"/>
  <c r="N744" i="3"/>
  <c r="Q743" i="3"/>
  <c r="N743" i="3"/>
  <c r="O744" i="3"/>
  <c r="O743" i="3"/>
  <c r="H1223" i="3"/>
  <c r="H1222" i="3" l="1"/>
  <c r="H1221" i="3"/>
  <c r="H1205" i="3"/>
  <c r="H473" i="3"/>
  <c r="H1220" i="3"/>
  <c r="H1273" i="3"/>
  <c r="H1204" i="3"/>
  <c r="O433" i="3"/>
  <c r="O471" i="3" l="1"/>
  <c r="Q412" i="3" l="1"/>
  <c r="N412" i="3"/>
  <c r="O412" i="3"/>
  <c r="H1012" i="3"/>
  <c r="Q432" i="3"/>
  <c r="O432" i="3"/>
  <c r="N432" i="3"/>
  <c r="Q742" i="3" l="1"/>
  <c r="N742" i="3"/>
  <c r="Q741" i="3"/>
  <c r="N741" i="3"/>
  <c r="O463" i="3"/>
  <c r="R472" i="3"/>
  <c r="R421" i="3"/>
  <c r="H1219" i="3" l="1"/>
  <c r="H1218" i="3"/>
  <c r="H1217" i="3"/>
  <c r="H472" i="3"/>
  <c r="H1216" i="3" l="1"/>
  <c r="H1215" i="3"/>
  <c r="H1214" i="3"/>
  <c r="Q318" i="3"/>
  <c r="N380" i="3"/>
  <c r="Q380" i="3"/>
  <c r="O380" i="3"/>
  <c r="O709" i="3" l="1"/>
  <c r="Q709" i="3" l="1"/>
  <c r="N709" i="3"/>
  <c r="H471" i="3" l="1"/>
  <c r="H744" i="3"/>
  <c r="H743" i="3"/>
  <c r="H742" i="3"/>
  <c r="H741" i="3"/>
  <c r="N446" i="3"/>
  <c r="Q446" i="3"/>
  <c r="O446" i="3"/>
  <c r="Q453" i="3"/>
  <c r="N453" i="3"/>
  <c r="Q447" i="3"/>
  <c r="N447" i="3"/>
  <c r="Q440" i="3" l="1"/>
  <c r="N440" i="3"/>
  <c r="H1011" i="3" l="1"/>
  <c r="Q460" i="3" l="1"/>
  <c r="N460" i="3"/>
  <c r="O424" i="3" l="1"/>
  <c r="Q468" i="3" l="1"/>
  <c r="N468" i="3"/>
  <c r="R1270" i="3" l="1"/>
  <c r="Q740" i="3"/>
  <c r="N740" i="3"/>
  <c r="R426" i="3" l="1"/>
  <c r="H740" i="3" l="1"/>
  <c r="N401" i="3" l="1"/>
  <c r="Q401" i="3"/>
  <c r="O393" i="3"/>
  <c r="O383" i="3"/>
  <c r="N735" i="3"/>
  <c r="Q735" i="3"/>
  <c r="Q442" i="3"/>
  <c r="N442" i="3"/>
  <c r="Q445" i="3"/>
  <c r="N445" i="3"/>
  <c r="Q444" i="3"/>
  <c r="N444" i="3"/>
  <c r="Q388" i="3"/>
  <c r="N387" i="3" l="1"/>
  <c r="Q387" i="3"/>
  <c r="N415" i="3" l="1"/>
  <c r="R423" i="3" l="1"/>
  <c r="N450" i="3"/>
  <c r="H1272" i="3"/>
  <c r="Q395" i="3" l="1"/>
  <c r="N395" i="3"/>
  <c r="H470" i="3"/>
  <c r="N393" i="3" l="1"/>
  <c r="N390" i="3" l="1"/>
  <c r="O390" i="3"/>
  <c r="H469" i="3"/>
  <c r="O427" i="3"/>
  <c r="H1010" i="3"/>
  <c r="N398" i="3"/>
  <c r="Q398" i="3"/>
  <c r="O426" i="3"/>
  <c r="N399" i="3" l="1"/>
  <c r="O397" i="3" l="1"/>
  <c r="N391" i="3"/>
  <c r="O411" i="3"/>
  <c r="H468" i="3" l="1"/>
  <c r="Q418" i="3" l="1"/>
  <c r="N418" i="3"/>
  <c r="Q378" i="3"/>
  <c r="O386" i="3" l="1"/>
  <c r="Q431" i="3" l="1"/>
  <c r="N431" i="3"/>
  <c r="Q461" i="3" l="1"/>
  <c r="N461" i="3"/>
  <c r="Q406" i="3"/>
  <c r="Q464" i="3"/>
  <c r="N464" i="3"/>
  <c r="H467" i="3" l="1"/>
  <c r="H466" i="3"/>
  <c r="H465" i="3"/>
  <c r="R407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R1271" i="3"/>
  <c r="H1271" i="3" s="1"/>
  <c r="H1270" i="3" l="1"/>
  <c r="Q739" i="3"/>
  <c r="H739" i="3" s="1"/>
  <c r="N739" i="3"/>
  <c r="R438" i="3"/>
  <c r="R437" i="3"/>
  <c r="R435" i="3"/>
  <c r="R434" i="3"/>
  <c r="R336" i="3"/>
  <c r="R314" i="3"/>
  <c r="Q438" i="3" l="1"/>
  <c r="Q437" i="3"/>
  <c r="Q435" i="3"/>
  <c r="Q434" i="3"/>
  <c r="Q436" i="3"/>
  <c r="N436" i="3"/>
  <c r="H738" i="3"/>
  <c r="H408" i="3"/>
  <c r="H737" i="3"/>
  <c r="Q430" i="3" l="1"/>
  <c r="N430" i="3"/>
  <c r="Q429" i="3"/>
  <c r="N429" i="3"/>
  <c r="Q419" i="3"/>
  <c r="N419" i="3"/>
  <c r="Q414" i="3"/>
  <c r="N414" i="3"/>
  <c r="N433" i="3"/>
  <c r="N397" i="3"/>
  <c r="H736" i="3"/>
  <c r="H438" i="3" l="1"/>
  <c r="H437" i="3"/>
  <c r="H436" i="3"/>
  <c r="H434" i="3"/>
  <c r="H435" i="3"/>
  <c r="H433" i="3" l="1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7" i="3" l="1"/>
  <c r="H406" i="3"/>
  <c r="H405" i="3"/>
  <c r="H404" i="3"/>
  <c r="H403" i="3"/>
  <c r="H402" i="3"/>
  <c r="H401" i="3"/>
  <c r="H400" i="3"/>
  <c r="H399" i="3"/>
  <c r="H398" i="3"/>
  <c r="H397" i="3"/>
  <c r="H396" i="3"/>
  <c r="H735" i="3" l="1"/>
  <c r="H395" i="3" l="1"/>
  <c r="H394" i="3" l="1"/>
  <c r="H393" i="3"/>
  <c r="H734" i="3" l="1"/>
  <c r="H733" i="3" l="1"/>
  <c r="H392" i="3"/>
  <c r="H391" i="3" l="1"/>
  <c r="H390" i="3"/>
  <c r="H389" i="3"/>
  <c r="H388" i="3"/>
  <c r="H387" i="3"/>
  <c r="H386" i="3"/>
  <c r="H385" i="3" l="1"/>
  <c r="H732" i="3" l="1"/>
  <c r="H731" i="3"/>
  <c r="H730" i="3"/>
  <c r="H729" i="3"/>
  <c r="H728" i="3"/>
  <c r="H727" i="3"/>
  <c r="H726" i="3"/>
  <c r="H725" i="3"/>
  <c r="H724" i="3"/>
  <c r="H1203" i="3" l="1"/>
  <c r="H384" i="3"/>
  <c r="H383" i="3"/>
  <c r="H382" i="3"/>
  <c r="H381" i="3"/>
  <c r="H380" i="3"/>
  <c r="H379" i="3"/>
  <c r="H378" i="3"/>
  <c r="H377" i="3"/>
  <c r="H376" i="3"/>
  <c r="H375" i="3" l="1"/>
  <c r="H374" i="3"/>
  <c r="H373" i="3"/>
  <c r="H372" i="3" l="1"/>
  <c r="H723" i="3"/>
  <c r="H1237" i="3"/>
  <c r="H721" i="3"/>
  <c r="H720" i="3"/>
  <c r="H719" i="3"/>
  <c r="H718" i="3"/>
  <c r="H717" i="3"/>
  <c r="H716" i="3"/>
  <c r="H715" i="3"/>
  <c r="H714" i="3"/>
  <c r="H713" i="3"/>
  <c r="H712" i="3"/>
  <c r="H371" i="3"/>
  <c r="H722" i="3"/>
  <c r="H1009" i="3"/>
  <c r="H370" i="3"/>
  <c r="H1201" i="3" l="1"/>
  <c r="H1200" i="3"/>
  <c r="H1199" i="3"/>
  <c r="H369" i="3"/>
  <c r="H368" i="3"/>
  <c r="H367" i="3"/>
  <c r="H711" i="3"/>
  <c r="H366" i="3" l="1"/>
  <c r="H365" i="3" l="1"/>
  <c r="H710" i="3"/>
  <c r="H709" i="3"/>
  <c r="H364" i="3"/>
  <c r="H1198" i="3"/>
  <c r="H1141" i="3"/>
  <c r="H1129" i="3"/>
  <c r="H1007" i="3"/>
  <c r="H363" i="3"/>
  <c r="H708" i="3"/>
  <c r="H705" i="3"/>
  <c r="H362" i="3"/>
  <c r="H1236" i="3"/>
  <c r="H1235" i="3"/>
  <c r="H9" i="3"/>
  <c r="H10" i="3"/>
  <c r="H122" i="3"/>
  <c r="H281" i="3"/>
  <c r="H525" i="3"/>
  <c r="H526" i="3"/>
  <c r="H527" i="3"/>
  <c r="H528" i="3"/>
  <c r="H529" i="3"/>
  <c r="H530" i="3"/>
  <c r="H531" i="3"/>
  <c r="H533" i="3"/>
  <c r="H534" i="3"/>
  <c r="H535" i="3"/>
  <c r="H536" i="3"/>
  <c r="H537" i="3"/>
  <c r="H538" i="3"/>
  <c r="H539" i="3"/>
  <c r="H540" i="3"/>
  <c r="H541" i="3"/>
  <c r="H543" i="3"/>
  <c r="H544" i="3"/>
  <c r="H545" i="3"/>
  <c r="H546" i="3"/>
  <c r="H549" i="3"/>
  <c r="H551" i="3"/>
  <c r="H552" i="3"/>
  <c r="H555" i="3"/>
  <c r="H556" i="3"/>
  <c r="H557" i="3"/>
  <c r="H558" i="3"/>
  <c r="H560" i="3"/>
  <c r="H561" i="3"/>
  <c r="H562" i="3"/>
  <c r="H563" i="3"/>
  <c r="H564" i="3"/>
  <c r="H565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7" i="3"/>
  <c r="H598" i="3"/>
  <c r="H599" i="3"/>
  <c r="H600" i="3"/>
  <c r="H610" i="3"/>
  <c r="H662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6" i="3"/>
  <c r="H767" i="3"/>
  <c r="H768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37" i="3"/>
  <c r="H839" i="3"/>
  <c r="H840" i="3"/>
  <c r="H872" i="3"/>
  <c r="H971" i="3"/>
  <c r="H975" i="3"/>
  <c r="H976" i="3"/>
  <c r="H1023" i="3"/>
  <c r="H1024" i="3"/>
  <c r="H1027" i="3"/>
  <c r="H1106" i="3"/>
  <c r="H1107" i="3"/>
  <c r="H1108" i="3"/>
  <c r="H1109" i="3"/>
  <c r="H1142" i="3"/>
  <c r="H1143" i="3"/>
  <c r="H1144" i="3"/>
  <c r="H1145" i="3"/>
  <c r="H1146" i="3"/>
  <c r="H1150" i="3"/>
  <c r="H1165" i="3"/>
  <c r="H1166" i="3"/>
  <c r="H1168" i="3"/>
  <c r="H1169" i="3"/>
  <c r="H1170" i="3"/>
  <c r="H1171" i="3"/>
  <c r="H1172" i="3"/>
  <c r="H1185" i="3"/>
  <c r="H1232" i="3"/>
  <c r="H880" i="3"/>
  <c r="H696" i="3"/>
  <c r="H16" i="3"/>
  <c r="H661" i="3"/>
  <c r="H1075" i="3"/>
  <c r="H1076" i="3"/>
  <c r="H1077" i="3"/>
  <c r="H1078" i="3"/>
  <c r="H1079" i="3"/>
  <c r="H18" i="3"/>
  <c r="H15" i="3"/>
  <c r="H17" i="3"/>
  <c r="H660" i="3"/>
  <c r="H489" i="3"/>
  <c r="H607" i="3"/>
  <c r="H771" i="3"/>
  <c r="H789" i="3"/>
  <c r="H806" i="3"/>
  <c r="H812" i="3"/>
  <c r="H91" i="3"/>
  <c r="H101" i="3"/>
  <c r="H635" i="3"/>
  <c r="H271" i="3"/>
  <c r="H519" i="3"/>
  <c r="H520" i="3"/>
  <c r="H783" i="3"/>
  <c r="H1099" i="3"/>
  <c r="H1100" i="3"/>
  <c r="H1104" i="3"/>
  <c r="H1028" i="3"/>
  <c r="H1029" i="3"/>
  <c r="H1031" i="3"/>
  <c r="H1033" i="3"/>
  <c r="H1045" i="3"/>
  <c r="H6" i="3"/>
  <c r="H1119" i="3"/>
  <c r="H1120" i="3"/>
  <c r="H1234" i="3"/>
  <c r="H180" i="3"/>
  <c r="H181" i="3"/>
  <c r="H183" i="3"/>
  <c r="H186" i="3"/>
  <c r="H245" i="3"/>
  <c r="H125" i="3"/>
  <c r="H126" i="3"/>
  <c r="H203" i="3"/>
  <c r="H335" i="3"/>
  <c r="H358" i="3"/>
  <c r="H624" i="3"/>
  <c r="H631" i="3"/>
  <c r="H634" i="3"/>
  <c r="H644" i="3"/>
  <c r="H646" i="3"/>
  <c r="H647" i="3"/>
  <c r="H648" i="3"/>
  <c r="H649" i="3"/>
  <c r="H650" i="3"/>
  <c r="H651" i="3"/>
  <c r="H652" i="3"/>
  <c r="H653" i="3"/>
  <c r="H657" i="3"/>
  <c r="H675" i="3"/>
  <c r="H679" i="3"/>
  <c r="H680" i="3"/>
  <c r="H681" i="3"/>
  <c r="H682" i="3"/>
  <c r="H688" i="3"/>
  <c r="H689" i="3"/>
  <c r="H695" i="3"/>
  <c r="H697" i="3"/>
  <c r="H698" i="3"/>
  <c r="H699" i="3"/>
  <c r="H706" i="3"/>
  <c r="H71" i="3"/>
  <c r="H72" i="3"/>
  <c r="H254" i="3"/>
  <c r="H282" i="3"/>
  <c r="H816" i="3"/>
  <c r="H121" i="3"/>
  <c r="H190" i="3"/>
  <c r="H252" i="3"/>
  <c r="H192" i="3"/>
  <c r="H301" i="3"/>
  <c r="H304" i="3"/>
  <c r="H310" i="3"/>
  <c r="H5" i="3"/>
  <c r="H20" i="3"/>
  <c r="H45" i="3"/>
  <c r="H47" i="3"/>
  <c r="H48" i="3"/>
  <c r="H52" i="3"/>
  <c r="H140" i="3"/>
  <c r="H195" i="3"/>
  <c r="H198" i="3"/>
  <c r="H201" i="3"/>
  <c r="H207" i="3"/>
  <c r="H211" i="3"/>
  <c r="H217" i="3"/>
  <c r="H229" i="3"/>
  <c r="H231" i="3"/>
  <c r="H233" i="3"/>
  <c r="H333" i="3"/>
  <c r="H90" i="3"/>
  <c r="H988" i="3"/>
  <c r="H989" i="3"/>
  <c r="H547" i="3"/>
  <c r="H548" i="3"/>
  <c r="H179" i="3"/>
  <c r="H674" i="3"/>
  <c r="H75" i="3"/>
  <c r="H196" i="3"/>
  <c r="H283" i="3"/>
  <c r="H677" i="3"/>
  <c r="H835" i="3"/>
  <c r="H850" i="3"/>
  <c r="H851" i="3"/>
  <c r="H980" i="3"/>
  <c r="H981" i="3"/>
  <c r="H982" i="3"/>
  <c r="H983" i="3"/>
  <c r="H984" i="3"/>
  <c r="H985" i="3"/>
  <c r="H986" i="3"/>
  <c r="H987" i="3"/>
  <c r="H1178" i="3"/>
  <c r="H1179" i="3"/>
  <c r="H1181" i="3"/>
  <c r="H1190" i="3"/>
  <c r="H1192" i="3"/>
  <c r="H1202" i="3"/>
  <c r="H65" i="3"/>
  <c r="H66" i="3"/>
  <c r="H124" i="3"/>
  <c r="H222" i="3"/>
  <c r="H223" i="3"/>
  <c r="H237" i="3"/>
  <c r="H243" i="3"/>
  <c r="H1030" i="3"/>
  <c r="H1040" i="3"/>
  <c r="H1041" i="3"/>
  <c r="H1042" i="3"/>
  <c r="H1043" i="3"/>
  <c r="H978" i="3"/>
  <c r="H240" i="3"/>
  <c r="H242" i="3"/>
  <c r="H690" i="3"/>
  <c r="H691" i="3"/>
  <c r="H863" i="3"/>
  <c r="H864" i="3"/>
  <c r="H865" i="3"/>
  <c r="H866" i="3"/>
  <c r="H127" i="3"/>
  <c r="H134" i="3"/>
  <c r="H151" i="3"/>
  <c r="H154" i="3"/>
  <c r="H221" i="3"/>
  <c r="H152" i="3"/>
  <c r="H193" i="3"/>
  <c r="H234" i="3"/>
  <c r="H293" i="3"/>
  <c r="H294" i="3"/>
  <c r="H300" i="3"/>
  <c r="H318" i="3"/>
  <c r="H354" i="3"/>
  <c r="H247" i="3"/>
  <c r="H670" i="3"/>
  <c r="H208" i="3"/>
  <c r="H73" i="3"/>
  <c r="H218" i="3"/>
  <c r="H1002" i="3"/>
  <c r="H1003" i="3"/>
  <c r="H1004" i="3"/>
  <c r="H642" i="3"/>
  <c r="H643" i="3"/>
  <c r="H654" i="3"/>
  <c r="H655" i="3"/>
  <c r="H244" i="3"/>
  <c r="H1062" i="3"/>
  <c r="H1085" i="3"/>
  <c r="H1086" i="3"/>
  <c r="H1125" i="3"/>
  <c r="H1126" i="3"/>
  <c r="H510" i="3"/>
  <c r="H511" i="3"/>
  <c r="H512" i="3"/>
  <c r="H513" i="3"/>
  <c r="H514" i="3"/>
  <c r="H515" i="3"/>
  <c r="H516" i="3"/>
  <c r="H517" i="3"/>
  <c r="H518" i="3"/>
  <c r="H777" i="3"/>
  <c r="H778" i="3"/>
  <c r="H779" i="3"/>
  <c r="H780" i="3"/>
  <c r="H845" i="3"/>
  <c r="H496" i="3"/>
  <c r="H497" i="3"/>
  <c r="H498" i="3"/>
  <c r="H499" i="3"/>
  <c r="H846" i="3"/>
  <c r="H280" i="3"/>
  <c r="H279" i="3"/>
  <c r="H832" i="3"/>
  <c r="H873" i="3"/>
  <c r="H1019" i="3"/>
  <c r="H1148" i="3"/>
  <c r="H1149" i="3"/>
  <c r="H1163" i="3"/>
  <c r="H1164" i="3"/>
  <c r="H765" i="3"/>
  <c r="H89" i="3"/>
  <c r="H175" i="3"/>
  <c r="H1130" i="3"/>
  <c r="H844" i="3"/>
  <c r="H194" i="3"/>
  <c r="H14" i="3"/>
  <c r="H19" i="3"/>
  <c r="H24" i="3"/>
  <c r="H25" i="3"/>
  <c r="H26" i="3"/>
  <c r="H27" i="3"/>
  <c r="H28" i="3"/>
  <c r="H215" i="3"/>
  <c r="H74" i="3"/>
  <c r="H77" i="3"/>
  <c r="H79" i="3"/>
  <c r="H133" i="3"/>
  <c r="H160" i="3"/>
  <c r="H169" i="3"/>
  <c r="H334" i="3"/>
  <c r="H1182" i="3"/>
  <c r="H213" i="3"/>
  <c r="H50" i="3"/>
  <c r="H57" i="3"/>
  <c r="H1101" i="3"/>
  <c r="H1105" i="3"/>
  <c r="H859" i="3"/>
  <c r="H829" i="3"/>
  <c r="H830" i="3"/>
  <c r="H831" i="3"/>
  <c r="H833" i="3"/>
  <c r="H834" i="3"/>
  <c r="H69" i="3"/>
  <c r="H13" i="3"/>
  <c r="H46" i="3"/>
  <c r="H132" i="3"/>
  <c r="H55" i="3"/>
  <c r="H138" i="3"/>
  <c r="H59" i="3"/>
  <c r="H60" i="3"/>
  <c r="H172" i="3"/>
  <c r="H70" i="3"/>
  <c r="H106" i="3"/>
  <c r="H111" i="3"/>
  <c r="H112" i="3"/>
  <c r="H113" i="3"/>
  <c r="H204" i="3"/>
  <c r="H136" i="3"/>
  <c r="H137" i="3"/>
  <c r="H216" i="3"/>
  <c r="H139" i="3"/>
  <c r="H144" i="3"/>
  <c r="H145" i="3"/>
  <c r="H287" i="3"/>
  <c r="H177" i="3"/>
  <c r="H288" i="3"/>
  <c r="H311" i="3"/>
  <c r="H225" i="3"/>
  <c r="H226" i="3"/>
  <c r="H228" i="3"/>
  <c r="H230" i="3"/>
  <c r="H232" i="3"/>
  <c r="H257" i="3"/>
  <c r="H258" i="3"/>
  <c r="H259" i="3"/>
  <c r="H312" i="3"/>
  <c r="H315" i="3"/>
  <c r="H302" i="3"/>
  <c r="H352" i="3"/>
  <c r="H355" i="3"/>
  <c r="H356" i="3"/>
  <c r="H357" i="3"/>
  <c r="H338" i="3"/>
  <c r="H360" i="3"/>
  <c r="H509" i="3"/>
  <c r="H781" i="3"/>
  <c r="H782" i="3"/>
  <c r="H78" i="3"/>
  <c r="H99" i="3"/>
  <c r="H1037" i="3"/>
  <c r="H313" i="3"/>
  <c r="H275" i="3"/>
  <c r="H285" i="3"/>
  <c r="H286" i="3"/>
  <c r="H672" i="3"/>
  <c r="H692" i="3"/>
  <c r="H693" i="3"/>
  <c r="H694" i="3"/>
  <c r="H1081" i="3"/>
  <c r="H1135" i="3"/>
  <c r="H1160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74" i="3"/>
  <c r="H1275" i="3"/>
  <c r="H853" i="3"/>
  <c r="H854" i="3"/>
  <c r="H855" i="3"/>
  <c r="H860" i="3"/>
  <c r="H314" i="3"/>
  <c r="H143" i="3"/>
  <c r="H235" i="3"/>
  <c r="H683" i="3"/>
  <c r="H167" i="3"/>
  <c r="H336" i="3"/>
  <c r="H608" i="3"/>
  <c r="H790" i="3"/>
  <c r="H813" i="3"/>
  <c r="H506" i="3"/>
  <c r="H507" i="3"/>
  <c r="H787" i="3"/>
  <c r="H810" i="3"/>
  <c r="H814" i="3"/>
  <c r="H822" i="3"/>
  <c r="H823" i="3"/>
  <c r="H824" i="3"/>
  <c r="H109" i="3"/>
  <c r="H337" i="3"/>
  <c r="H838" i="3"/>
  <c r="H297" i="3"/>
  <c r="H841" i="3"/>
  <c r="H842" i="3"/>
  <c r="H1276" i="3"/>
  <c r="H1277" i="3"/>
  <c r="H1278" i="3"/>
  <c r="H990" i="3"/>
  <c r="H67" i="3"/>
  <c r="H858" i="3"/>
  <c r="H862" i="3"/>
  <c r="H81" i="3"/>
  <c r="H87" i="3"/>
  <c r="H162" i="3"/>
  <c r="H266" i="3"/>
  <c r="H267" i="3"/>
  <c r="H825" i="3"/>
  <c r="H827" i="3"/>
  <c r="H1034" i="3"/>
  <c r="H1036" i="3"/>
  <c r="H1038" i="3"/>
  <c r="H1039" i="3"/>
  <c r="H612" i="3"/>
  <c r="H613" i="3"/>
  <c r="H614" i="3"/>
  <c r="H615" i="3"/>
  <c r="H616" i="3"/>
  <c r="H119" i="3"/>
  <c r="H171" i="3"/>
  <c r="H1052" i="3"/>
  <c r="H1088" i="3"/>
  <c r="H1089" i="3"/>
  <c r="H1090" i="3"/>
  <c r="H1091" i="3"/>
  <c r="H1092" i="3"/>
  <c r="H1207" i="3"/>
  <c r="H199" i="3"/>
  <c r="H210" i="3"/>
  <c r="H83" i="3"/>
  <c r="H86" i="3"/>
  <c r="H968" i="3"/>
  <c r="H317" i="3"/>
  <c r="H1098" i="3"/>
  <c r="H969" i="3"/>
  <c r="H165" i="3"/>
  <c r="H166" i="3"/>
  <c r="H974" i="3"/>
  <c r="H996" i="3"/>
  <c r="H997" i="3"/>
  <c r="H290" i="3"/>
  <c r="H606" i="3"/>
  <c r="H788" i="3"/>
  <c r="H811" i="3"/>
  <c r="H818" i="3"/>
  <c r="H1268" i="3"/>
  <c r="H261" i="3"/>
  <c r="H209" i="3"/>
  <c r="H212" i="3"/>
  <c r="H868" i="3"/>
  <c r="H870" i="3"/>
  <c r="H871" i="3"/>
  <c r="H874" i="3"/>
  <c r="H875" i="3"/>
  <c r="H876" i="3"/>
  <c r="H877" i="3"/>
  <c r="H878" i="3"/>
  <c r="H879" i="3"/>
  <c r="H881" i="3"/>
  <c r="H882" i="3"/>
  <c r="H883" i="3"/>
  <c r="H884" i="3"/>
  <c r="H885" i="3"/>
  <c r="H886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1020" i="3"/>
  <c r="H1021" i="3"/>
  <c r="H1022" i="3"/>
  <c r="H1193" i="3"/>
  <c r="H1127" i="3"/>
  <c r="H890" i="3"/>
  <c r="H891" i="3"/>
  <c r="H1128" i="3"/>
  <c r="H1194" i="3"/>
  <c r="H1195" i="3"/>
  <c r="H1210" i="3"/>
  <c r="H1269" i="3"/>
  <c r="H306" i="3"/>
  <c r="H1065" i="3"/>
  <c r="H1066" i="3"/>
  <c r="H1067" i="3"/>
  <c r="H1068" i="3"/>
  <c r="H11" i="3"/>
  <c r="H268" i="3"/>
  <c r="H159" i="3"/>
  <c r="H482" i="3"/>
  <c r="H483" i="3"/>
  <c r="H484" i="3"/>
  <c r="H485" i="3"/>
  <c r="H486" i="3"/>
  <c r="H487" i="3"/>
  <c r="H488" i="3"/>
  <c r="H58" i="3"/>
  <c r="H522" i="3"/>
  <c r="H299" i="3"/>
  <c r="H147" i="3"/>
  <c r="H197" i="3"/>
  <c r="H246" i="3"/>
  <c r="H289" i="3"/>
  <c r="H295" i="3"/>
  <c r="H303" i="3"/>
  <c r="H309" i="3"/>
  <c r="H326" i="3"/>
  <c r="H329" i="3"/>
  <c r="H141" i="3"/>
  <c r="H347" i="3"/>
  <c r="H163" i="3"/>
  <c r="H178" i="3"/>
  <c r="H188" i="3"/>
  <c r="H348" i="3"/>
  <c r="H219" i="3"/>
  <c r="H220" i="3"/>
  <c r="H351" i="3"/>
  <c r="H991" i="3"/>
  <c r="H992" i="3"/>
  <c r="H836" i="3"/>
  <c r="H307" i="3"/>
  <c r="H43" i="3"/>
  <c r="H305" i="3"/>
  <c r="H993" i="3"/>
  <c r="H994" i="3"/>
  <c r="H1279" i="3"/>
  <c r="H1280" i="3"/>
  <c r="H1281" i="3"/>
  <c r="H1282" i="3"/>
  <c r="H1136" i="3"/>
  <c r="H1137" i="3"/>
  <c r="H1138" i="3"/>
  <c r="H1139" i="3"/>
  <c r="H1140" i="3"/>
  <c r="H158" i="3"/>
  <c r="H161" i="3"/>
  <c r="H249" i="3"/>
  <c r="H504" i="3"/>
  <c r="H784" i="3"/>
  <c r="H807" i="3"/>
  <c r="H817" i="3"/>
  <c r="H1191" i="3"/>
  <c r="H238" i="3"/>
  <c r="H308" i="3"/>
  <c r="H671" i="3"/>
  <c r="H191" i="3"/>
  <c r="H224" i="3"/>
  <c r="H1231" i="3"/>
  <c r="H1233" i="3"/>
  <c r="H970" i="3"/>
  <c r="H168" i="3"/>
  <c r="H664" i="3"/>
  <c r="H999" i="3"/>
  <c r="H214" i="3"/>
  <c r="H667" i="3"/>
  <c r="H668" i="3"/>
  <c r="H669" i="3"/>
  <c r="H857" i="3"/>
  <c r="H523" i="3"/>
  <c r="H524" i="3"/>
  <c r="H611" i="3"/>
  <c r="H135" i="3"/>
  <c r="H236" i="3"/>
  <c r="H3" i="3"/>
  <c r="H40" i="3"/>
  <c r="H54" i="3"/>
  <c r="H85" i="3"/>
  <c r="H100" i="3"/>
  <c r="H116" i="3"/>
  <c r="H117" i="3"/>
  <c r="H49" i="3"/>
  <c r="H80" i="3"/>
  <c r="H130" i="3"/>
  <c r="H131" i="3"/>
  <c r="H200" i="3"/>
  <c r="H202" i="3"/>
  <c r="H205" i="3"/>
  <c r="H227" i="3"/>
  <c r="H623" i="3"/>
  <c r="H629" i="3"/>
  <c r="H120" i="3"/>
  <c r="H274" i="3"/>
  <c r="H1118" i="3"/>
  <c r="H342" i="3"/>
  <c r="H1147" i="3"/>
  <c r="H1153" i="3"/>
  <c r="H343" i="3"/>
  <c r="H344" i="3"/>
  <c r="H349" i="3"/>
  <c r="H276" i="3"/>
  <c r="H277" i="3"/>
  <c r="H278" i="3"/>
  <c r="H350" i="3"/>
  <c r="H490" i="3"/>
  <c r="H491" i="3"/>
  <c r="H492" i="3"/>
  <c r="H493" i="3"/>
  <c r="H494" i="3"/>
  <c r="H495" i="3"/>
  <c r="H500" i="3"/>
  <c r="H501" i="3"/>
  <c r="H502" i="3"/>
  <c r="H503" i="3"/>
  <c r="H604" i="3"/>
  <c r="H605" i="3"/>
  <c r="H772" i="3"/>
  <c r="H773" i="3"/>
  <c r="H702" i="3"/>
  <c r="H291" i="3"/>
  <c r="H31" i="3"/>
  <c r="H98" i="3"/>
  <c r="H170" i="3"/>
  <c r="H173" i="3"/>
  <c r="H187" i="3"/>
  <c r="H189" i="3"/>
  <c r="H703" i="3"/>
  <c r="H995" i="3"/>
  <c r="H263" i="3"/>
  <c r="H269" i="3"/>
  <c r="H270" i="3"/>
  <c r="H1121" i="3"/>
  <c r="H1122" i="3"/>
  <c r="H1123" i="3"/>
  <c r="H1124" i="3"/>
  <c r="H4" i="3"/>
  <c r="H7" i="3"/>
  <c r="H12" i="3"/>
  <c r="H21" i="3"/>
  <c r="H22" i="3"/>
  <c r="H23" i="3"/>
  <c r="H29" i="3"/>
  <c r="H30" i="3"/>
  <c r="H32" i="3"/>
  <c r="H33" i="3"/>
  <c r="H34" i="3"/>
  <c r="H35" i="3"/>
  <c r="H36" i="3"/>
  <c r="H37" i="3"/>
  <c r="H38" i="3"/>
  <c r="H39" i="3"/>
  <c r="H41" i="3"/>
  <c r="H42" i="3"/>
  <c r="H44" i="3"/>
  <c r="H51" i="3"/>
  <c r="H53" i="3"/>
  <c r="H56" i="3"/>
  <c r="H61" i="3"/>
  <c r="H62" i="3"/>
  <c r="H63" i="3"/>
  <c r="H64" i="3"/>
  <c r="H68" i="3"/>
  <c r="H76" i="3"/>
  <c r="H1000" i="3"/>
  <c r="H92" i="3"/>
  <c r="H93" i="3"/>
  <c r="H94" i="3"/>
  <c r="H95" i="3"/>
  <c r="H96" i="3"/>
  <c r="H97" i="3"/>
  <c r="H1001" i="3"/>
  <c r="H102" i="3"/>
  <c r="H103" i="3"/>
  <c r="H104" i="3"/>
  <c r="H105" i="3"/>
  <c r="H107" i="3"/>
  <c r="H108" i="3"/>
  <c r="H114" i="3"/>
  <c r="H115" i="3"/>
  <c r="H508" i="3"/>
  <c r="H819" i="3"/>
  <c r="H118" i="3"/>
  <c r="H820" i="3"/>
  <c r="H123" i="3"/>
  <c r="H148" i="3"/>
  <c r="H149" i="3"/>
  <c r="H150" i="3"/>
  <c r="H155" i="3"/>
  <c r="H156" i="3"/>
  <c r="H164" i="3"/>
  <c r="H182" i="3"/>
  <c r="H248" i="3"/>
  <c r="H250" i="3"/>
  <c r="H251" i="3"/>
  <c r="H253" i="3"/>
  <c r="H255" i="3"/>
  <c r="H256" i="3"/>
  <c r="H260" i="3"/>
  <c r="H264" i="3"/>
  <c r="H265" i="3"/>
  <c r="H272" i="3"/>
  <c r="H273" i="3"/>
  <c r="H184" i="3"/>
  <c r="H296" i="3"/>
  <c r="H861" i="3"/>
  <c r="H852" i="3"/>
  <c r="H856" i="3"/>
  <c r="H887" i="3"/>
  <c r="H888" i="3"/>
  <c r="H889" i="3"/>
  <c r="H185" i="3"/>
  <c r="H129" i="3"/>
  <c r="H298" i="3"/>
  <c r="H553" i="3"/>
  <c r="H554" i="3"/>
  <c r="H559" i="3"/>
  <c r="H603" i="3"/>
  <c r="H206" i="3"/>
  <c r="H640" i="3"/>
  <c r="H641" i="3"/>
  <c r="H828" i="3"/>
  <c r="H609" i="3"/>
  <c r="H532" i="3"/>
  <c r="H542" i="3"/>
  <c r="H596" i="3"/>
  <c r="H793" i="3"/>
  <c r="H815" i="3"/>
  <c r="H848" i="3"/>
  <c r="H849" i="3"/>
  <c r="H1186" i="3"/>
  <c r="H1050" i="3"/>
  <c r="H1051" i="3"/>
  <c r="H1054" i="3"/>
  <c r="H1055" i="3"/>
  <c r="H1056" i="3"/>
  <c r="H1057" i="3"/>
  <c r="H1058" i="3"/>
  <c r="H1059" i="3"/>
  <c r="H1061" i="3"/>
  <c r="H769" i="3"/>
  <c r="H1208" i="3"/>
  <c r="H826" i="3"/>
  <c r="H1035" i="3"/>
  <c r="H128" i="3"/>
  <c r="H110" i="3"/>
  <c r="H1018" i="3"/>
  <c r="H792" i="3"/>
  <c r="H1110" i="3"/>
  <c r="H1111" i="3"/>
  <c r="H1112" i="3"/>
  <c r="H1113" i="3"/>
  <c r="H1114" i="3"/>
  <c r="H1115" i="3"/>
  <c r="H1116" i="3"/>
  <c r="H1131" i="3"/>
  <c r="H1046" i="3"/>
  <c r="H684" i="3"/>
  <c r="H685" i="3"/>
  <c r="H686" i="3"/>
  <c r="H505" i="3"/>
  <c r="H550" i="3"/>
  <c r="H785" i="3"/>
  <c r="H786" i="3"/>
  <c r="H808" i="3"/>
  <c r="H809" i="3"/>
  <c r="H687" i="3"/>
  <c r="H284" i="3"/>
  <c r="H700" i="3"/>
  <c r="H704" i="3"/>
  <c r="H1133" i="3"/>
  <c r="H1173" i="3"/>
  <c r="H1174" i="3"/>
  <c r="H998" i="3"/>
  <c r="H262" i="3"/>
  <c r="H843" i="3"/>
  <c r="H1167" i="3"/>
  <c r="H566" i="3"/>
  <c r="H601" i="3"/>
  <c r="H602" i="3"/>
  <c r="H673" i="3"/>
  <c r="H770" i="3"/>
  <c r="H774" i="3"/>
  <c r="H775" i="3"/>
  <c r="H776" i="3"/>
  <c r="H142" i="3"/>
  <c r="H146" i="3"/>
  <c r="H153" i="3"/>
  <c r="H157" i="3"/>
  <c r="H174" i="3"/>
  <c r="H176" i="3"/>
  <c r="H239" i="3"/>
  <c r="H241" i="3"/>
  <c r="H678" i="3"/>
  <c r="H869" i="3"/>
  <c r="H1117" i="3"/>
  <c r="H867" i="3"/>
  <c r="H972" i="3"/>
  <c r="H977" i="3"/>
  <c r="H979" i="3"/>
  <c r="H973" i="3"/>
  <c r="H617" i="3"/>
  <c r="H618" i="3"/>
  <c r="H619" i="3"/>
  <c r="H620" i="3"/>
  <c r="H621" i="3"/>
  <c r="H622" i="3"/>
  <c r="H625" i="3"/>
  <c r="H626" i="3"/>
  <c r="H627" i="3"/>
  <c r="H628" i="3"/>
  <c r="H630" i="3"/>
  <c r="H632" i="3"/>
  <c r="H633" i="3"/>
  <c r="H636" i="3"/>
  <c r="H637" i="3"/>
  <c r="H638" i="3"/>
  <c r="H639" i="3"/>
  <c r="H645" i="3"/>
  <c r="H656" i="3"/>
  <c r="H658" i="3"/>
  <c r="H659" i="3"/>
  <c r="H676" i="3"/>
  <c r="H339" i="3"/>
  <c r="H340" i="3"/>
  <c r="H341" i="3"/>
  <c r="H345" i="3"/>
  <c r="H346" i="3"/>
  <c r="H701" i="3"/>
  <c r="H316" i="3"/>
  <c r="H1063" i="3"/>
  <c r="H1064" i="3"/>
  <c r="H1102" i="3"/>
  <c r="H1103" i="3"/>
  <c r="H1132" i="3"/>
  <c r="H1134" i="3"/>
  <c r="H1157" i="3"/>
  <c r="H1158" i="3"/>
  <c r="H1032" i="3"/>
  <c r="H1053" i="3"/>
  <c r="H1080" i="3"/>
  <c r="H1151" i="3"/>
  <c r="H1152" i="3"/>
  <c r="H1006" i="3"/>
  <c r="H1175" i="3"/>
  <c r="H1176" i="3"/>
  <c r="H1183" i="3"/>
  <c r="H1184" i="3"/>
  <c r="H332" i="3"/>
  <c r="H1188" i="3"/>
  <c r="H1048" i="3"/>
  <c r="H1005" i="3"/>
  <c r="H1197" i="3"/>
  <c r="H1196" i="3"/>
  <c r="H359" i="3"/>
  <c r="H361" i="3"/>
  <c r="H707" i="3"/>
  <c r="H847" i="3"/>
  <c r="H1189" i="3"/>
  <c r="H791" i="3"/>
  <c r="H1180" i="3"/>
  <c r="H292" i="3"/>
  <c r="H521" i="3"/>
  <c r="H665" i="3"/>
  <c r="H666" i="3"/>
  <c r="H663" i="3"/>
  <c r="H1177" i="3"/>
  <c r="H353" i="3"/>
  <c r="H1049" i="3"/>
  <c r="H1093" i="3"/>
  <c r="H1094" i="3"/>
  <c r="H1095" i="3"/>
  <c r="H1096" i="3"/>
  <c r="H1097" i="3"/>
  <c r="H8" i="3"/>
  <c r="H1154" i="3" l="1"/>
  <c r="H82" i="3"/>
  <c r="H84" i="3"/>
  <c r="H1161" i="3"/>
  <c r="H1087" i="3"/>
  <c r="H1084" i="3"/>
  <c r="H1083" i="3"/>
  <c r="H1060" i="3"/>
  <c r="H1047" i="3"/>
  <c r="H1044" i="3"/>
  <c r="H1026" i="3"/>
  <c r="H1069" i="3"/>
  <c r="H1070" i="3"/>
  <c r="H1082" i="3"/>
  <c r="H331" i="3" l="1"/>
  <c r="H323" i="3"/>
  <c r="H1213" i="3"/>
  <c r="H1162" i="3" l="1"/>
  <c r="H1074" i="3" l="1"/>
  <c r="H1073" i="3"/>
  <c r="H1212" i="3"/>
  <c r="H322" i="3"/>
  <c r="H327" i="3"/>
  <c r="H328" i="3"/>
  <c r="H325" i="3"/>
  <c r="H321" i="3"/>
  <c r="H330" i="3"/>
  <c r="H324" i="3"/>
  <c r="H320" i="3"/>
  <c r="H319" i="3"/>
  <c r="H821" i="3" l="1"/>
  <c r="H1071" i="3" l="1"/>
  <c r="H1072" i="3"/>
  <c r="H1159" i="3"/>
  <c r="H1156" i="3"/>
  <c r="H1155" i="3"/>
  <c r="H1187" i="3"/>
  <c r="H1209" i="3"/>
  <c r="H1211" i="3"/>
  <c r="H1025" i="3"/>
  <c r="H88" i="3" l="1"/>
  <c r="G934" i="1" l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W859" i="1"/>
  <c r="U859" i="1"/>
  <c r="G859" i="1" s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37" i="1"/>
  <c r="G836" i="1"/>
  <c r="G835" i="1"/>
  <c r="G834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X811" i="1"/>
  <c r="V811" i="1"/>
  <c r="G811" i="1" s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X590" i="1"/>
  <c r="V590" i="1"/>
  <c r="G590" i="1" s="1"/>
  <c r="X589" i="1"/>
  <c r="V589" i="1"/>
  <c r="G589" i="1" s="1"/>
  <c r="G588" i="1"/>
  <c r="G587" i="1"/>
  <c r="G586" i="1"/>
  <c r="G585" i="1"/>
  <c r="W584" i="1"/>
  <c r="U584" i="1"/>
  <c r="G584" i="1" s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7" i="1"/>
  <c r="G566" i="1"/>
  <c r="G565" i="1"/>
  <c r="G563" i="1"/>
  <c r="G562" i="1"/>
  <c r="G561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497" i="1"/>
  <c r="G496" i="1"/>
  <c r="G495" i="1"/>
  <c r="G494" i="1"/>
  <c r="X493" i="1"/>
  <c r="V493" i="1"/>
  <c r="G493" i="1" s="1"/>
  <c r="X492" i="1"/>
  <c r="V492" i="1"/>
  <c r="G492" i="1" s="1"/>
  <c r="X491" i="1"/>
  <c r="V491" i="1"/>
  <c r="G491" i="1" s="1"/>
  <c r="X490" i="1"/>
  <c r="V490" i="1"/>
  <c r="G490" i="1" s="1"/>
  <c r="G489" i="1"/>
  <c r="G488" i="1"/>
  <c r="G487" i="1"/>
  <c r="N486" i="1"/>
  <c r="G486" i="1"/>
  <c r="G485" i="1"/>
  <c r="G484" i="1"/>
  <c r="G483" i="1"/>
  <c r="G482" i="1"/>
  <c r="G481" i="1"/>
  <c r="G480" i="1"/>
  <c r="G479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6" i="1"/>
  <c r="G285" i="1"/>
  <c r="X284" i="1"/>
  <c r="G284" i="1"/>
  <c r="G283" i="1"/>
  <c r="G282" i="1"/>
  <c r="G281" i="1"/>
  <c r="G280" i="1"/>
  <c r="G279" i="1"/>
  <c r="G278" i="1"/>
  <c r="G276" i="1"/>
  <c r="G275" i="1"/>
  <c r="G274" i="1"/>
  <c r="G273" i="1"/>
  <c r="G272" i="1"/>
  <c r="G271" i="1"/>
  <c r="G270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2" i="1"/>
  <c r="G241" i="1"/>
  <c r="G240" i="1"/>
  <c r="X239" i="1"/>
  <c r="V239" i="1"/>
  <c r="G239" i="1" s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3" i="1"/>
  <c r="G222" i="1"/>
  <c r="G221" i="1"/>
  <c r="G220" i="1"/>
  <c r="G219" i="1"/>
  <c r="G218" i="1"/>
  <c r="G217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U125" i="1"/>
  <c r="G125" i="1" s="1"/>
  <c r="G124" i="1"/>
  <c r="G123" i="1"/>
  <c r="G122" i="1"/>
  <c r="G121" i="1"/>
  <c r="G120" i="1"/>
  <c r="G119" i="1"/>
  <c r="G118" i="1"/>
  <c r="G117" i="1"/>
  <c r="G116" i="1"/>
  <c r="G115" i="1"/>
  <c r="G114" i="1"/>
  <c r="X113" i="1"/>
  <c r="V113" i="1"/>
  <c r="G113" i="1" s="1"/>
  <c r="G112" i="1"/>
  <c r="G111" i="1"/>
  <c r="W110" i="1"/>
  <c r="U110" i="1"/>
  <c r="G110" i="1" s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X90" i="1"/>
  <c r="V90" i="1"/>
  <c r="G90" i="1" s="1"/>
  <c r="X89" i="1"/>
  <c r="W89" i="1"/>
  <c r="U89" i="1"/>
  <c r="G89" i="1" s="1"/>
  <c r="I89" i="1"/>
  <c r="G88" i="1"/>
  <c r="G87" i="1"/>
  <c r="G86" i="1"/>
  <c r="G85" i="1"/>
  <c r="X84" i="1"/>
  <c r="V84" i="1"/>
  <c r="G84" i="1" s="1"/>
  <c r="G83" i="1"/>
  <c r="V82" i="1"/>
  <c r="G82" i="1" s="1"/>
  <c r="G81" i="1"/>
  <c r="G80" i="1"/>
  <c r="G79" i="1"/>
  <c r="G78" i="1"/>
  <c r="G77" i="1"/>
  <c r="G76" i="1"/>
  <c r="G75" i="1"/>
  <c r="G74" i="1"/>
  <c r="X73" i="1"/>
  <c r="G73" i="1"/>
  <c r="X72" i="1"/>
  <c r="G72" i="1"/>
  <c r="G71" i="1"/>
  <c r="G70" i="1"/>
  <c r="G69" i="1"/>
  <c r="G68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19" i="1"/>
  <c r="G18" i="1"/>
  <c r="G17" i="1"/>
  <c r="G16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Ana.Perez</author>
    <author>Guillermo.Reyes</author>
  </authors>
  <commentList>
    <comment ref="O6" authorId="0" shapeId="0" xr:uid="{216BA0DD-4B3C-4F9B-B9A3-4CCBB6A4680B}">
      <text>
        <r>
          <rPr>
            <b/>
            <sz val="9"/>
            <color indexed="81"/>
            <rFont val="Tahoma"/>
            <family val="2"/>
          </rPr>
          <t xml:space="preserve">FORMERRA
</t>
        </r>
      </text>
    </comment>
    <comment ref="O40" authorId="0" shapeId="0" xr:uid="{0C7A3B3E-DA8B-444C-AAF8-166C5F5021FE}">
      <text>
        <r>
          <rPr>
            <b/>
            <sz val="9"/>
            <color indexed="81"/>
            <rFont val="Tahoma"/>
            <family val="2"/>
          </rPr>
          <t>3/7 SABIC MOQ 3903 lbs
Reunión con Benjamin SBD, se aprueba cambio con Nexeo</t>
        </r>
      </text>
    </comment>
    <comment ref="O50" authorId="0" shapeId="0" xr:uid="{9FDF647D-E19B-4197-AC0C-E56C1089BE04}">
      <text>
        <r>
          <rPr>
            <b/>
            <sz val="9"/>
            <color indexed="81"/>
            <rFont val="Tahoma"/>
            <family val="2"/>
          </rPr>
          <t>Formerra</t>
        </r>
      </text>
    </comment>
    <comment ref="O71" authorId="0" shapeId="0" xr:uid="{8227CB6C-5932-4926-9FB4-F74B1CFD887C}">
      <text>
        <r>
          <rPr>
            <b/>
            <sz val="9"/>
            <color indexed="81"/>
            <rFont val="Tahoma"/>
            <family val="2"/>
          </rPr>
          <t>MOQ 3300 LBS</t>
        </r>
      </text>
    </comment>
    <comment ref="O82" authorId="0" shapeId="0" xr:uid="{FE429003-3334-4AB2-80C0-E364BAACBC07}">
      <text>
        <r>
          <rPr>
            <b/>
            <sz val="9"/>
            <color indexed="81"/>
            <rFont val="Tahoma"/>
            <family val="2"/>
          </rPr>
          <t>Directo con KINGFA, SK recolectando en china
Normal $9,000 usd recolección / MOQ</t>
        </r>
      </text>
    </comment>
    <comment ref="R82" authorId="0" shapeId="0" xr:uid="{6C26A099-3393-4EBB-BEDB-CAB6F051792F}">
      <text>
        <r>
          <rPr>
            <b/>
            <sz val="9"/>
            <color indexed="81"/>
            <rFont val="Tahoma"/>
            <family val="2"/>
          </rPr>
          <t>Costo de tramite aduanero</t>
        </r>
      </text>
    </comment>
    <comment ref="O84" authorId="0" shapeId="0" xr:uid="{25DEC53C-BB5D-4439-A5EB-3AEB55FC6A33}">
      <text>
        <r>
          <rPr>
            <b/>
            <sz val="9"/>
            <color indexed="81"/>
            <rFont val="Tahoma"/>
            <family val="2"/>
          </rPr>
          <t>Directo con KINGFA, SK recolectando en china
Normal $9,000 usd recolección / MOQ</t>
        </r>
      </text>
    </comment>
    <comment ref="R84" authorId="0" shapeId="0" xr:uid="{F2711E5C-9803-4757-A5D7-5CB6E098DE61}">
      <text>
        <r>
          <rPr>
            <b/>
            <sz val="9"/>
            <color indexed="81"/>
            <rFont val="Tahoma"/>
            <family val="2"/>
          </rPr>
          <t>Costo de tramite aduanero</t>
        </r>
      </text>
    </comment>
    <comment ref="O85" authorId="0" shapeId="0" xr:uid="{7EE97238-90E7-403E-A402-D2BEF3A9438D}">
      <text>
        <r>
          <rPr>
            <b/>
            <sz val="9"/>
            <color indexed="81"/>
            <rFont val="Tahoma"/>
            <family val="2"/>
          </rPr>
          <t>SABIC</t>
        </r>
      </text>
    </comment>
    <comment ref="O88" authorId="0" shapeId="0" xr:uid="{DC0DE562-2432-48A9-AA51-485A805F0E64}">
      <text>
        <r>
          <rPr>
            <b/>
            <sz val="9"/>
            <color indexed="81"/>
            <rFont val="Tahoma"/>
            <family val="2"/>
          </rPr>
          <t>Directo con KINGFA, SK recolectando en china
Normal $9,000 usd recolección / MOQ</t>
        </r>
      </text>
    </comment>
    <comment ref="R88" authorId="0" shapeId="0" xr:uid="{20B5C7BB-2D19-4192-B543-DF76A539C569}">
      <text>
        <r>
          <rPr>
            <b/>
            <sz val="9"/>
            <color indexed="81"/>
            <rFont val="Tahoma"/>
            <family val="2"/>
          </rPr>
          <t>Costo de tramite aduanero</t>
        </r>
      </text>
    </comment>
    <comment ref="O95" authorId="0" shapeId="0" xr:uid="{AD47269E-4D3D-40BE-9120-F33E3E940A9D}">
      <text>
        <r>
          <rPr>
            <b/>
            <sz val="9"/>
            <color indexed="81"/>
            <rFont val="Tahoma"/>
            <family val="2"/>
          </rPr>
          <t>SABIC MCQ 1100 LBS</t>
        </r>
      </text>
    </comment>
    <comment ref="O105" authorId="0" shapeId="0" xr:uid="{B5642C6A-4B1C-4A97-A5BE-3EF66D859C85}">
      <text>
        <r>
          <rPr>
            <b/>
            <sz val="9"/>
            <color indexed="81"/>
            <rFont val="Tahoma"/>
            <family val="2"/>
          </rPr>
          <t>SABIC MOQ 4400 LBS</t>
        </r>
      </text>
    </comment>
    <comment ref="O116" authorId="0" shapeId="0" xr:uid="{45ADE4D7-333F-4F05-9066-379CF5A33313}">
      <text>
        <r>
          <rPr>
            <b/>
            <sz val="9"/>
            <color indexed="81"/>
            <rFont val="Tahoma"/>
            <family val="2"/>
          </rPr>
          <t>MOQ 40,476.45 LB</t>
        </r>
      </text>
    </comment>
    <comment ref="O172" authorId="0" shapeId="0" xr:uid="{64A62A87-E4D0-47F7-8349-3A72E455A30B}">
      <text>
        <r>
          <rPr>
            <b/>
            <sz val="9"/>
            <color indexed="81"/>
            <rFont val="Tahoma"/>
            <family val="2"/>
          </rPr>
          <t>Distribuidor FORMERRA</t>
        </r>
      </text>
    </comment>
    <comment ref="O175" authorId="0" shapeId="0" xr:uid="{96049FF7-FA58-4559-8D5D-0074548EAA90}">
      <text>
        <r>
          <rPr>
            <b/>
            <sz val="9"/>
            <color indexed="81"/>
            <rFont val="Tahoma"/>
            <family val="2"/>
          </rPr>
          <t>Precio con ENTEC sin credito y 24 semanas de LT</t>
        </r>
      </text>
    </comment>
    <comment ref="O190" authorId="0" shapeId="0" xr:uid="{14A315FC-B04E-456E-8ADD-09B0A616C484}">
      <text>
        <r>
          <rPr>
            <b/>
            <sz val="9"/>
            <color indexed="81"/>
            <rFont val="Tahoma"/>
            <family val="2"/>
          </rPr>
          <t>Ballyhoo</t>
        </r>
      </text>
    </comment>
    <comment ref="O215" authorId="0" shapeId="0" xr:uid="{9384F566-63D8-4A7C-BD8E-E12061601BFD}">
      <text>
        <r>
          <rPr>
            <b/>
            <sz val="9"/>
            <color indexed="81"/>
            <rFont val="Tahoma"/>
            <family val="2"/>
          </rPr>
          <t>MOQ 353 LBS</t>
        </r>
      </text>
    </comment>
    <comment ref="R244" authorId="0" shapeId="0" xr:uid="{A66FCC70-CB26-4FB4-8199-FD51340B5F81}">
      <text>
        <r>
          <rPr>
            <b/>
            <sz val="9"/>
            <color indexed="81"/>
            <rFont val="Tahoma"/>
            <family val="2"/>
          </rPr>
          <t>Freigh $250/MOQ
0.05 Importacion</t>
        </r>
      </text>
    </comment>
    <comment ref="N252" authorId="0" shapeId="0" xr:uid="{7CD6E0FC-C1DC-4905-99E9-AB7B1553B4B3}">
      <text>
        <r>
          <rPr>
            <b/>
            <sz val="9"/>
            <color indexed="81"/>
            <rFont val="Tahoma"/>
            <family val="2"/>
          </rPr>
          <t>MOQ 6400 con BASF</t>
        </r>
      </text>
    </comment>
    <comment ref="O288" authorId="0" shapeId="0" xr:uid="{8795A0D5-E6BF-418B-8265-63E6454F8FA3}">
      <text>
        <r>
          <rPr>
            <b/>
            <sz val="9"/>
            <color indexed="81"/>
            <rFont val="Tahoma"/>
            <family val="2"/>
          </rPr>
          <t>wt FORMERRA MOQ 2204 LBS</t>
        </r>
      </text>
    </comment>
    <comment ref="Q309" authorId="0" shapeId="0" xr:uid="{0760DA14-C6E0-4434-B6FC-FCA42B989EB5}">
      <text>
        <r>
          <rPr>
            <b/>
            <sz val="9"/>
            <color indexed="81"/>
            <rFont val="Tahoma"/>
            <family val="2"/>
          </rPr>
          <t>Este nuevo precio ya esta considerando en el FG</t>
        </r>
      </text>
    </comment>
    <comment ref="R310" authorId="0" shapeId="0" xr:uid="{11F23697-EA35-4893-9B16-92DADD71E4F6}">
      <text>
        <r>
          <rPr>
            <b/>
            <sz val="9"/>
            <color indexed="81"/>
            <rFont val="Tahoma"/>
            <family val="2"/>
          </rPr>
          <t>Se considero en base al $ total de importacion entre MOQ 55 lb, revisado con el Ing Alanis</t>
        </r>
      </text>
    </comment>
    <comment ref="O313" authorId="0" shapeId="0" xr:uid="{3FDEDC0D-CDD5-4553-9EAD-46904A83756C}">
      <text>
        <r>
          <rPr>
            <b/>
            <sz val="9"/>
            <color indexed="81"/>
            <rFont val="Tahoma"/>
            <family val="2"/>
          </rPr>
          <t>Directo con KINGFA, SK recolectando en china
Normal $9,000 usd recolección / MOQ</t>
        </r>
      </text>
    </comment>
    <comment ref="R313" authorId="0" shapeId="0" xr:uid="{01F740CE-E6C4-4E6C-8F75-B5B31CF2AEEE}">
      <text>
        <r>
          <rPr>
            <b/>
            <sz val="9"/>
            <color indexed="81"/>
            <rFont val="Tahoma"/>
            <family val="2"/>
          </rPr>
          <t>Costo de tramite aduanero</t>
        </r>
      </text>
    </comment>
    <comment ref="O332" authorId="0" shapeId="0" xr:uid="{78B9FB98-3808-4211-8258-C884C89FD770}">
      <text>
        <r>
          <rPr>
            <b/>
            <sz val="9"/>
            <color indexed="81"/>
            <rFont val="Tahoma"/>
            <family val="2"/>
          </rPr>
          <t>Aereo</t>
        </r>
      </text>
    </comment>
    <comment ref="R333" authorId="0" shapeId="0" xr:uid="{63338B91-1516-4EAA-96C9-CF548FEDA733}">
      <text>
        <r>
          <rPr>
            <b/>
            <sz val="9"/>
            <color indexed="81"/>
            <rFont val="Tahoma"/>
            <family val="2"/>
          </rPr>
          <t>10/10 Flete $16,900 pesos entre la cantidad recolectada</t>
        </r>
      </text>
    </comment>
    <comment ref="O337" authorId="0" shapeId="0" xr:uid="{1089557D-131F-474A-9593-3A0EDA06C41B}">
      <text>
        <r>
          <rPr>
            <b/>
            <sz val="9"/>
            <color indexed="81"/>
            <rFont val="Tahoma"/>
            <family val="2"/>
          </rPr>
          <t>Directo con KINGFA, SK recolectando en china
Normal $9,000 usd recolección / MOQ</t>
        </r>
      </text>
    </comment>
    <comment ref="R337" authorId="0" shapeId="0" xr:uid="{C5726600-EB54-4BB2-AE0E-520C3317ADC1}">
      <text>
        <r>
          <rPr>
            <b/>
            <sz val="9"/>
            <color indexed="81"/>
            <rFont val="Tahoma"/>
            <family val="2"/>
          </rPr>
          <t>Costo de tramite aduanero</t>
        </r>
      </text>
    </comment>
    <comment ref="R338" authorId="0" shapeId="0" xr:uid="{ABDED107-58E5-4499-958E-855DE309383B}">
      <text>
        <r>
          <rPr>
            <b/>
            <sz val="9"/>
            <color indexed="81"/>
            <rFont val="Tahoma"/>
            <family val="2"/>
          </rPr>
          <t>9/4 Ultimo flete $9500 usd entre la  cantidad recolecada 39683 lbs</t>
        </r>
      </text>
    </comment>
    <comment ref="O358" authorId="0" shapeId="0" xr:uid="{EFEE9F4A-BFAD-489E-86E9-A778775F2D64}">
      <text>
        <r>
          <rPr>
            <b/>
            <sz val="9"/>
            <color indexed="81"/>
            <rFont val="Tahoma"/>
            <family val="2"/>
          </rPr>
          <t>Precio colocado en Apodaca</t>
        </r>
      </text>
    </comment>
    <comment ref="R358" authorId="0" shapeId="0" xr:uid="{814ED4DF-1457-4A62-BFBC-62335993756F}">
      <text>
        <r>
          <rPr>
            <b/>
            <sz val="9"/>
            <color indexed="81"/>
            <rFont val="Tahoma"/>
            <family val="2"/>
          </rPr>
          <t>8/8 Flete $3227 entre la cantidad recolectada 6613 lbs</t>
        </r>
      </text>
    </comment>
    <comment ref="O360" authorId="0" shapeId="0" xr:uid="{83AB83F9-A088-42CF-BF37-36642C6B6C98}">
      <text>
        <r>
          <rPr>
            <b/>
            <sz val="9"/>
            <color indexed="81"/>
            <rFont val="Tahoma"/>
            <family val="2"/>
          </rPr>
          <t>ENTEC distribuidor</t>
        </r>
      </text>
    </comment>
    <comment ref="O376" authorId="0" shapeId="0" xr:uid="{08CF0C79-A988-4945-95BE-ABB49E7EF5E0}">
      <text>
        <r>
          <rPr>
            <b/>
            <sz val="9"/>
            <color indexed="81"/>
            <rFont val="Tahoma"/>
            <family val="2"/>
          </rPr>
          <t>wt cliente</t>
        </r>
      </text>
    </comment>
    <comment ref="O380" authorId="0" shapeId="0" xr:uid="{B588E003-4AD0-4E8A-BE1E-2A7B44C34707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384" authorId="0" shapeId="0" xr:uid="{7DCF8A9C-CBCB-46FD-B2A5-BA95AAED6611}">
      <text>
        <r>
          <rPr>
            <b/>
            <sz val="9"/>
            <color indexed="81"/>
            <rFont val="Tahoma"/>
            <family val="2"/>
          </rPr>
          <t>Chase P</t>
        </r>
      </text>
    </comment>
    <comment ref="O386" authorId="0" shapeId="0" xr:uid="{2A278B66-6812-4DE7-AB0D-4620F6265DB5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390" authorId="0" shapeId="0" xr:uid="{4FC0364A-4681-445D-913E-EE2369F80BB8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398" authorId="0" shapeId="0" xr:uid="{650B5BBC-9222-48DB-9E38-129EFFF46750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R398" authorId="0" shapeId="0" xr:uid="{FC2427F9-1806-4FB0-A603-DC7294843B2C}">
      <text>
        <r>
          <rPr>
            <b/>
            <sz val="9"/>
            <color indexed="81"/>
            <rFont val="Tahoma"/>
            <family val="2"/>
          </rPr>
          <t>Recolección + Importacion</t>
        </r>
      </text>
    </comment>
    <comment ref="R399" authorId="0" shapeId="0" xr:uid="{4C0ED4C7-B129-40A2-95E6-62EB3F053614}">
      <text>
        <r>
          <rPr>
            <b/>
            <sz val="9"/>
            <color indexed="81"/>
            <rFont val="Tahoma"/>
            <family val="2"/>
          </rPr>
          <t>Freigh $250/MOQ
0.05 Importacion</t>
        </r>
      </text>
    </comment>
    <comment ref="N404" authorId="0" shapeId="0" xr:uid="{BB259237-F473-4FD7-81F3-EF44595BE3F3}">
      <text>
        <r>
          <rPr>
            <b/>
            <sz val="9"/>
            <color indexed="81"/>
            <rFont val="Tahoma"/>
            <family val="2"/>
          </rPr>
          <t>Minimo</t>
        </r>
      </text>
    </comment>
    <comment ref="O408" authorId="0" shapeId="0" xr:uid="{A3266EE6-FF83-4C1E-85A8-085CECCF0700}">
      <text>
        <r>
          <rPr>
            <b/>
            <sz val="9"/>
            <color indexed="81"/>
            <rFont val="Tahoma"/>
            <family val="2"/>
          </rPr>
          <t>Precio de Albea + recolección</t>
        </r>
      </text>
    </comment>
    <comment ref="O412" authorId="0" shapeId="0" xr:uid="{066F00BA-6655-481F-94BA-03F8F010F465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17" authorId="0" shapeId="0" xr:uid="{16F87BFE-7BAE-4253-AC20-2DD30AF8BF38}">
      <text>
        <r>
          <rPr>
            <b/>
            <sz val="9"/>
            <color indexed="81"/>
            <rFont val="Tahoma"/>
            <family val="2"/>
          </rPr>
          <t>SERENDIPITY ELECTRONICS</t>
        </r>
      </text>
    </comment>
    <comment ref="R421" authorId="0" shapeId="0" xr:uid="{881B2F08-82C7-4BC5-B459-DA272D1A1480}">
      <text>
        <r>
          <rPr>
            <b/>
            <sz val="9"/>
            <color indexed="81"/>
            <rFont val="Tahoma"/>
            <family val="2"/>
          </rPr>
          <t>DHL + Importacion</t>
        </r>
      </text>
    </comment>
    <comment ref="R423" authorId="0" shapeId="0" xr:uid="{6E0C1E3A-9E8D-4B9A-8C8C-B09408B508C0}">
      <text>
        <r>
          <rPr>
            <b/>
            <sz val="9"/>
            <color indexed="81"/>
            <rFont val="Tahoma"/>
            <family val="2"/>
          </rPr>
          <t xml:space="preserve">Tarifa, material de china </t>
        </r>
      </text>
    </comment>
    <comment ref="R424" authorId="0" shapeId="0" xr:uid="{DD4E02EA-F040-4627-9045-364A2BB85193}">
      <text>
        <r>
          <rPr>
            <b/>
            <sz val="9"/>
            <color indexed="81"/>
            <rFont val="Tahoma"/>
            <family val="2"/>
          </rPr>
          <t>Envio + Importacion</t>
        </r>
      </text>
    </comment>
    <comment ref="O426" authorId="0" shapeId="0" xr:uid="{EC033674-5F22-42C6-AF3C-E67716F8BB9D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27" authorId="0" shapeId="0" xr:uid="{3C47FFC7-36DC-4D17-A769-8213F2293973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28" authorId="0" shapeId="0" xr:uid="{711FAD2A-0EA4-42E1-8169-9BCD34BB9366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33" authorId="0" shapeId="0" xr:uid="{6D0FAD6D-E382-43F0-9497-6D0092A1E9E9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49" authorId="0" shapeId="0" xr:uid="{961E5F4F-3B34-4A0B-85C4-2F81F6737E98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457" authorId="0" shapeId="0" xr:uid="{1C5A340B-EAF6-4A1E-ACB1-84A243A6C162}">
      <text>
        <r>
          <rPr>
            <b/>
            <sz val="9"/>
            <color indexed="81"/>
            <rFont val="Tahoma"/>
            <family val="2"/>
          </rPr>
          <t>Serendipity MOQ 2205 lbs</t>
        </r>
      </text>
    </comment>
    <comment ref="O463" authorId="0" shapeId="0" xr:uid="{599B74C7-AEF3-4B64-865C-5F93ED723EB9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B465" authorId="0" shapeId="0" xr:uid="{ABFDD761-E711-4921-B0E2-E5026779715C}">
      <text>
        <r>
          <rPr>
            <b/>
            <sz val="9"/>
            <color indexed="81"/>
            <rFont val="Tahoma"/>
            <family val="2"/>
          </rPr>
          <t>Reemplazada por 1109394</t>
        </r>
      </text>
    </comment>
    <comment ref="O471" authorId="0" shapeId="0" xr:uid="{2B27EEAA-EC5E-4526-8D19-052A72A25788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R472" authorId="0" shapeId="0" xr:uid="{114C2748-1F4E-476F-94C6-21FC1D07FA99}">
      <text>
        <r>
          <rPr>
            <b/>
            <sz val="9"/>
            <color indexed="81"/>
            <rFont val="Tahoma"/>
            <family val="2"/>
          </rPr>
          <t>3900 recoleccion</t>
        </r>
      </text>
    </comment>
    <comment ref="O508" authorId="0" shapeId="0" xr:uid="{2D216AB6-C249-4CB6-A051-1A643E555FD9}">
      <text>
        <r>
          <rPr>
            <b/>
            <sz val="9"/>
            <color indexed="81"/>
            <rFont val="Tahoma"/>
            <family val="2"/>
          </rPr>
          <t>Unitario + 16iva + envio $450/MOQ</t>
        </r>
      </text>
    </comment>
    <comment ref="Q508" authorId="0" shapeId="0" xr:uid="{37814933-518C-459C-B51C-F53F03F3347E}">
      <text>
        <r>
          <rPr>
            <b/>
            <sz val="9"/>
            <color indexed="81"/>
            <rFont val="Tahoma"/>
            <family val="2"/>
          </rPr>
          <t>Unitario + 16iva</t>
        </r>
      </text>
    </comment>
    <comment ref="R508" authorId="0" shapeId="0" xr:uid="{F3FB7F20-690E-4012-8705-9CF02D35A25F}">
      <text>
        <r>
          <rPr>
            <b/>
            <sz val="9"/>
            <color indexed="81"/>
            <rFont val="Tahoma"/>
            <family val="2"/>
          </rPr>
          <t>Recoleccion $295/MOQ</t>
        </r>
      </text>
    </comment>
    <comment ref="R608" authorId="0" shapeId="0" xr:uid="{6817AE27-41C4-4F9E-880E-B11BE5AF558D}">
      <text>
        <r>
          <rPr>
            <b/>
            <sz val="9"/>
            <color indexed="81"/>
            <rFont val="Tahoma"/>
            <family val="2"/>
          </rPr>
          <t>16% + envio</t>
        </r>
      </text>
    </comment>
    <comment ref="R617" authorId="0" shapeId="0" xr:uid="{3A49EB85-1D6A-4353-9612-5E443BE1F02F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18" authorId="0" shapeId="0" xr:uid="{76CAD608-0013-4CC6-9D63-C7B87274D55B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19" authorId="0" shapeId="0" xr:uid="{CEB46667-B1C5-4312-9070-DB4AD797BC84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0" authorId="0" shapeId="0" xr:uid="{B0D3E32F-E6C8-4537-AD75-586BE206931C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1" authorId="0" shapeId="0" xr:uid="{FAAA31BA-0D1B-40E6-A19C-4DE64400E08D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2" authorId="0" shapeId="0" xr:uid="{39F78E7D-0DDC-4A6A-BA53-4CCFBC8CDAED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5" authorId="0" shapeId="0" xr:uid="{391CBF22-3F75-447E-9C5A-362E5A113CAD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6" authorId="0" shapeId="0" xr:uid="{AA7F8A49-0F60-4506-A0D5-4D3B91127708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7" authorId="0" shapeId="0" xr:uid="{CF88671D-71DF-4270-9072-EC930B07F514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28" authorId="0" shapeId="0" xr:uid="{329E5B29-E5FC-4C08-BD14-D55F8D883000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0" authorId="0" shapeId="0" xr:uid="{EB5066D0-112D-4D4D-AB37-AB7692538B09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2" authorId="0" shapeId="0" xr:uid="{5FC9C4EB-CABD-4349-9490-95F06659089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3" authorId="0" shapeId="0" xr:uid="{F043AAD3-5F80-4A93-BBAB-35CA3762D22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6" authorId="0" shapeId="0" xr:uid="{7231385B-0C30-4B42-983A-8E018F84AE1B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7" authorId="0" shapeId="0" xr:uid="{AAC0D304-28B7-430F-AC8F-A835629835F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8" authorId="0" shapeId="0" xr:uid="{DBABA067-FE8C-4779-B892-D3AAF2AE1BD4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39" authorId="0" shapeId="0" xr:uid="{80A07A11-07FC-44CC-B560-8900D1B3EBEA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45" authorId="0" shapeId="0" xr:uid="{C7194D4A-E8F5-4A64-8797-A312F7952A06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56" authorId="0" shapeId="0" xr:uid="{8FCF4300-AC6A-489F-AF7B-886ADE2EC09E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58" authorId="0" shapeId="0" xr:uid="{AA2ABFC7-03E2-4C75-8540-FE8DD175328A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59" authorId="0" shapeId="0" xr:uid="{2F047E6F-7B67-45EB-BB01-7CC1ED788CC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70" authorId="0" shapeId="0" xr:uid="{FE3E2BE4-8262-4F22-B490-4AB618F630CB}">
      <text>
        <r>
          <rPr>
            <b/>
            <sz val="9"/>
            <color indexed="81"/>
            <rFont val="Tahoma"/>
            <family val="2"/>
          </rPr>
          <t>Freigh 300/MOQ
Importacion .05</t>
        </r>
      </text>
    </comment>
    <comment ref="R676" authorId="0" shapeId="0" xr:uid="{D5B81607-DAB9-4D0E-BE29-5EE610D487EC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84" authorId="0" shapeId="0" xr:uid="{7C21E611-6003-4311-A131-15C3E793B15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85" authorId="0" shapeId="0" xr:uid="{A27F05AC-924F-4E17-9DF5-FDE354F9DCE5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86" authorId="0" shapeId="0" xr:uid="{AF258408-582A-4A3A-B103-4B713796F89D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687" authorId="0" shapeId="0" xr:uid="{22A849A3-F974-4C57-B213-61CB7A9CFA75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700" authorId="0" shapeId="0" xr:uid="{8EB94EF9-D9D9-490E-9E44-216821745BF3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701" authorId="0" shapeId="0" xr:uid="{6BB75251-280C-4368-A49D-2C1A8886BEB7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704" authorId="0" shapeId="0" xr:uid="{5B1A0AF0-FB93-47DF-BDD8-B67BD237971B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O709" authorId="0" shapeId="0" xr:uid="{2C9A3411-7EF2-4AF4-AAB9-144110EA233C}">
      <text>
        <r>
          <rPr>
            <b/>
            <sz val="9"/>
            <color indexed="81"/>
            <rFont val="Tahoma"/>
            <family val="2"/>
          </rPr>
          <t>JCI Reynosa</t>
        </r>
      </text>
    </comment>
    <comment ref="O715" authorId="0" shapeId="0" xr:uid="{C0D3CEF3-781E-4D28-BE3F-9C102A3C1F35}">
      <text>
        <r>
          <rPr>
            <b/>
            <sz val="9"/>
            <color indexed="81"/>
            <rFont val="Tahoma"/>
            <family val="2"/>
          </rPr>
          <t>MOQ 50 LBS</t>
        </r>
      </text>
    </comment>
    <comment ref="O723" authorId="0" shapeId="0" xr:uid="{E70D40DA-11A8-4939-A628-20D0102068BA}">
      <text>
        <r>
          <rPr>
            <b/>
            <sz val="9"/>
            <color indexed="81"/>
            <rFont val="Tahoma"/>
            <family val="2"/>
          </rPr>
          <t>MOQ 50 LBS</t>
        </r>
      </text>
    </comment>
    <comment ref="O738" authorId="0" shapeId="0" xr:uid="{F9FA7666-B6C6-4F93-A816-F5D7FBB5732F}">
      <text>
        <r>
          <rPr>
            <b/>
            <sz val="9"/>
            <color indexed="81"/>
            <rFont val="Tahoma"/>
            <family val="2"/>
          </rPr>
          <t>Precio del cliente + recoleccion</t>
        </r>
      </text>
    </comment>
    <comment ref="R790" authorId="0" shapeId="0" xr:uid="{72B9FE7C-C63F-47B5-90F8-9DFF24C82AF9}">
      <text>
        <r>
          <rPr>
            <b/>
            <sz val="9"/>
            <color indexed="81"/>
            <rFont val="Tahoma"/>
            <family val="2"/>
          </rPr>
          <t>16% + envio</t>
        </r>
      </text>
    </comment>
    <comment ref="R813" authorId="0" shapeId="0" xr:uid="{F73ABC66-5411-42C6-9440-1FFDF14BD1CF}">
      <text>
        <r>
          <rPr>
            <b/>
            <sz val="9"/>
            <color indexed="81"/>
            <rFont val="Tahoma"/>
            <family val="2"/>
          </rPr>
          <t>16% + envio</t>
        </r>
      </text>
    </comment>
    <comment ref="Q819" authorId="0" shapeId="0" xr:uid="{C08141A3-E569-49C5-A931-718B9429599A}">
      <text>
        <r>
          <rPr>
            <b/>
            <sz val="9"/>
            <color indexed="81"/>
            <rFont val="Tahoma"/>
            <family val="2"/>
          </rPr>
          <t>Precio unitario
+
16%</t>
        </r>
      </text>
    </comment>
    <comment ref="R819" authorId="0" shapeId="0" xr:uid="{99C80244-8989-4989-B415-1E9F8644A80B}">
      <text>
        <r>
          <rPr>
            <b/>
            <sz val="9"/>
            <color indexed="81"/>
            <rFont val="Tahoma"/>
            <family val="2"/>
          </rPr>
          <t>Envio + 16%</t>
        </r>
      </text>
    </comment>
    <comment ref="Q820" authorId="0" shapeId="0" xr:uid="{094DD992-D541-40D3-A68C-55401F402D24}">
      <text>
        <r>
          <rPr>
            <b/>
            <sz val="9"/>
            <color indexed="81"/>
            <rFont val="Tahoma"/>
            <family val="2"/>
          </rPr>
          <t>Precio unitario
+
16%</t>
        </r>
      </text>
    </comment>
    <comment ref="R820" authorId="0" shapeId="0" xr:uid="{86186CFF-AC8E-4F93-B52A-EE8D7A932486}">
      <text>
        <r>
          <rPr>
            <b/>
            <sz val="9"/>
            <color indexed="81"/>
            <rFont val="Tahoma"/>
            <family val="2"/>
          </rPr>
          <t>Envio + 16%</t>
        </r>
      </text>
    </comment>
    <comment ref="N821" authorId="0" shapeId="0" xr:uid="{CAAD8F64-83B6-4CB2-B01E-D657AF40B0E0}">
      <text>
        <r>
          <rPr>
            <b/>
            <sz val="9"/>
            <color indexed="81"/>
            <rFont val="Tahoma"/>
            <family val="2"/>
          </rPr>
          <t>Cajas de 720 pcs</t>
        </r>
      </text>
    </comment>
    <comment ref="R821" authorId="0" shapeId="0" xr:uid="{634FAC49-B56F-4F7D-B1B1-6DA27CC1DE85}">
      <text>
        <r>
          <rPr>
            <b/>
            <sz val="9"/>
            <color indexed="81"/>
            <rFont val="Tahoma"/>
            <family val="2"/>
          </rPr>
          <t>4/17 Costo recoleccion $195 entre la cantidad recolectada 8640 lbs</t>
        </r>
      </text>
    </comment>
    <comment ref="R838" authorId="0" shapeId="0" xr:uid="{66C3378A-C023-4FD5-ADF7-9617EEF80BFC}">
      <text>
        <r>
          <rPr>
            <b/>
            <sz val="9"/>
            <color indexed="81"/>
            <rFont val="Tahoma"/>
            <family val="2"/>
          </rPr>
          <t>6/10 Ultimo envio $210 USD entre cantidad enviada 20k pcs</t>
        </r>
      </text>
    </comment>
    <comment ref="R841" authorId="0" shapeId="0" xr:uid="{D6A8B09A-E275-4927-9C2D-74A9E755169A}">
      <text>
        <r>
          <rPr>
            <b/>
            <sz val="9"/>
            <color indexed="81"/>
            <rFont val="Tahoma"/>
            <family val="2"/>
          </rPr>
          <t>8/5 Ultimo envio $520 entre la cantidad enviada 32k pcs</t>
        </r>
      </text>
    </comment>
    <comment ref="Q995" authorId="0" shapeId="0" xr:uid="{8EE12A6A-DBA3-4CEA-9934-DB73279B17B2}">
      <text>
        <r>
          <rPr>
            <b/>
            <sz val="9"/>
            <color indexed="81"/>
            <rFont val="Tahoma"/>
            <family val="2"/>
          </rPr>
          <t>Precio de Spirol</t>
        </r>
      </text>
    </comment>
    <comment ref="R999" authorId="0" shapeId="0" xr:uid="{B152F240-2431-4A17-8F55-D5E0EE359EC9}">
      <text>
        <r>
          <rPr>
            <b/>
            <sz val="9"/>
            <color indexed="81"/>
            <rFont val="Tahoma"/>
            <family val="2"/>
          </rPr>
          <t>21 Marzo
Ultima recoleccion HOU $1600 USD</t>
        </r>
      </text>
    </comment>
    <comment ref="R1000" authorId="0" shapeId="0" xr:uid="{AA095AFE-D106-4017-BB41-3830E60F21A3}">
      <text>
        <r>
          <rPr>
            <b/>
            <sz val="9"/>
            <color indexed="81"/>
            <rFont val="Tahoma"/>
            <family val="2"/>
          </rPr>
          <t>Enero 2025 $2300 USD</t>
        </r>
      </text>
    </comment>
    <comment ref="R1001" authorId="0" shapeId="0" xr:uid="{B151E010-33D7-4679-9FB0-25F52F09F029}">
      <text>
        <r>
          <rPr>
            <b/>
            <sz val="9"/>
            <color indexed="81"/>
            <rFont val="Tahoma"/>
            <family val="2"/>
          </rPr>
          <t>Febrero 2025 $1890 USD</t>
        </r>
      </text>
    </comment>
    <comment ref="O1003" authorId="0" shapeId="0" xr:uid="{CB8BE4A6-9516-4381-BAE8-4DF973EB4257}">
      <text>
        <r>
          <rPr>
            <b/>
            <sz val="9"/>
            <color indexed="81"/>
            <rFont val="Tahoma"/>
            <family val="2"/>
          </rPr>
          <t>Este precio es de Seward Screw, LLC MOQ 40K pcs</t>
        </r>
      </text>
    </comment>
    <comment ref="O1004" authorId="0" shapeId="0" xr:uid="{7CECEA3C-2E8D-4453-BFE0-D06FC520E887}">
      <text>
        <r>
          <rPr>
            <b/>
            <sz val="9"/>
            <color indexed="81"/>
            <rFont val="Tahoma"/>
            <family val="2"/>
          </rPr>
          <t>Este precio era con Novatechnologies</t>
        </r>
      </text>
    </comment>
    <comment ref="O1015" authorId="0" shapeId="0" xr:uid="{3CB4AADD-D99F-4B55-8321-992731985A7C}">
      <text>
        <r>
          <rPr>
            <b/>
            <sz val="9"/>
            <color indexed="81"/>
            <rFont val="Tahoma"/>
            <family val="2"/>
          </rPr>
          <t>wt JCI Reynosa</t>
        </r>
      </text>
    </comment>
    <comment ref="O1016" authorId="0" shapeId="0" xr:uid="{BEC718A9-062D-48D1-923D-4F7E990B10BF}">
      <text>
        <r>
          <rPr>
            <b/>
            <sz val="9"/>
            <color indexed="81"/>
            <rFont val="Tahoma"/>
            <family val="2"/>
          </rPr>
          <t>Wt JCI Reynosa</t>
        </r>
      </text>
    </comment>
    <comment ref="R1069" authorId="1" shapeId="0" xr:uid="{31157636-2EC6-40CE-B972-D52837923EC0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16%.</t>
        </r>
      </text>
    </comment>
    <comment ref="R1070" authorId="1" shapeId="0" xr:uid="{507A0DBD-4171-4B92-A7E8-401089200043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16%.</t>
        </r>
      </text>
    </comment>
    <comment ref="R1154" authorId="1" shapeId="0" xr:uid="{4625A057-F576-4C87-8E96-B97036BEE336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8%</t>
        </r>
      </text>
    </comment>
    <comment ref="R1155" authorId="1" shapeId="0" xr:uid="{2CC0FFC1-4A7B-4382-A8D8-C46BBF38D479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8%</t>
        </r>
      </text>
    </comment>
    <comment ref="R1156" authorId="1" shapeId="0" xr:uid="{C9A47D68-786E-4DB6-A49A-A2EC1960BC45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8%</t>
        </r>
      </text>
    </comment>
    <comment ref="R1159" authorId="1" shapeId="0" xr:uid="{B8869AA1-14D8-41F5-9C38-5717E4AD3698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8%</t>
        </r>
      </text>
    </comment>
    <comment ref="R1162" authorId="1" shapeId="0" xr:uid="{F321675A-68FB-4FE9-BAEB-224A981A25AD}">
      <text>
        <r>
          <rPr>
            <b/>
            <sz val="9"/>
            <color indexed="81"/>
            <rFont val="Tahoma"/>
            <family val="2"/>
          </rPr>
          <t>Guillermo.Reyes:</t>
        </r>
        <r>
          <rPr>
            <sz val="9"/>
            <color indexed="81"/>
            <rFont val="Tahoma"/>
            <family val="2"/>
          </rPr>
          <t xml:space="preserve">
IVA 16%</t>
        </r>
      </text>
    </comment>
    <comment ref="D1204" authorId="0" shapeId="0" xr:uid="{376D89F6-9D49-4863-B354-2A2D89F7AA1D}">
      <text>
        <r>
          <rPr>
            <b/>
            <sz val="9"/>
            <color indexed="81"/>
            <rFont val="Tahoma"/>
            <family val="2"/>
          </rPr>
          <t>Original Label Rect 84.30 mm X 123.05 mm Clear PE</t>
        </r>
      </text>
    </comment>
    <comment ref="R1236" authorId="0" shapeId="0" xr:uid="{ABD4532D-15DF-4D18-AC04-0A5C01B6BA0B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  <comment ref="R1237" authorId="0" shapeId="0" xr:uid="{C7DC06AA-D1FC-49FB-8470-881F0B1328B0}">
      <text>
        <r>
          <rPr>
            <b/>
            <sz val="9"/>
            <color indexed="81"/>
            <rFont val="Tahoma"/>
            <family val="2"/>
          </rPr>
          <t>Recoleccion $330 dlls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Ana.Perez</author>
  </authors>
  <commentList>
    <comment ref="I75" authorId="0" shapeId="0" xr:uid="{68040AE1-7565-4A2B-BF30-6BCA1B429857}">
      <text>
        <r>
          <rPr>
            <b/>
            <sz val="9"/>
            <color indexed="81"/>
            <rFont val="Tahoma"/>
            <family val="2"/>
          </rPr>
          <t>ARC es distribuidor, pero cuenta con las certificaciones del proveedor del material</t>
        </r>
      </text>
    </comment>
    <comment ref="J75" authorId="0" shapeId="0" xr:uid="{C22FCA15-4E8C-4EE7-AD9C-21DF7BEA2DEA}">
      <text>
        <r>
          <rPr>
            <b/>
            <sz val="9"/>
            <color indexed="81"/>
            <rFont val="Tahoma"/>
            <family val="2"/>
          </rPr>
          <t>ARC es distribuidor, pero cuenta con las certificaciones del proveedor del material</t>
        </r>
      </text>
    </comment>
    <comment ref="L75" authorId="0" shapeId="0" xr:uid="{471ED0BD-5D02-4B81-A54A-D5A4EDF61E04}">
      <text>
        <r>
          <rPr>
            <b/>
            <sz val="9"/>
            <color indexed="81"/>
            <rFont val="Tahoma"/>
            <family val="2"/>
          </rPr>
          <t>ARC es distribuidor, pero cuenta con las certificaciones del proveedor del material</t>
        </r>
      </text>
    </comment>
  </commentList>
</comments>
</file>

<file path=xl/sharedStrings.xml><?xml version="1.0" encoding="utf-8"?>
<sst xmlns="http://schemas.openxmlformats.org/spreadsheetml/2006/main" count="23337" uniqueCount="2726">
  <si>
    <t>Last Update</t>
  </si>
  <si>
    <t>PART No.</t>
  </si>
  <si>
    <t>TYPE</t>
  </si>
  <si>
    <t>DESCRIPTION:</t>
  </si>
  <si>
    <t>FAMILY</t>
  </si>
  <si>
    <t>SUPPLIER</t>
  </si>
  <si>
    <t>UNIT</t>
  </si>
  <si>
    <t>Standard price</t>
  </si>
  <si>
    <t>LEAD TIME (In Weeks)</t>
  </si>
  <si>
    <t>MOQ</t>
  </si>
  <si>
    <t>55 LB</t>
  </si>
  <si>
    <t>550 LB</t>
  </si>
  <si>
    <t>1100 LB</t>
  </si>
  <si>
    <t>2200 LB</t>
  </si>
  <si>
    <t>3200 LB</t>
  </si>
  <si>
    <t>4400 LB</t>
  </si>
  <si>
    <t>6400 LB</t>
  </si>
  <si>
    <t>8800 LB</t>
  </si>
  <si>
    <t>Purchase Price</t>
  </si>
  <si>
    <t>Shipping Cost</t>
  </si>
  <si>
    <t>Actual Purchase Price</t>
  </si>
  <si>
    <t>Contract Price</t>
  </si>
  <si>
    <t>STD PACk</t>
  </si>
  <si>
    <t>CUSTOMER</t>
  </si>
  <si>
    <t>ACTIVE</t>
  </si>
  <si>
    <t>AUTOMOTIVE (Y/N)</t>
  </si>
  <si>
    <t>PPAP STATUS</t>
  </si>
  <si>
    <t>CONTACT</t>
  </si>
  <si>
    <t>PHONE #</t>
  </si>
  <si>
    <t>E-MAIL</t>
  </si>
  <si>
    <t>RESIN</t>
  </si>
  <si>
    <t xml:space="preserve">LEXAN 500-739-SP    BK                                                               </t>
  </si>
  <si>
    <t>PC</t>
  </si>
  <si>
    <t>SABIC</t>
  </si>
  <si>
    <t>LB</t>
  </si>
  <si>
    <t>Y</t>
  </si>
  <si>
    <t>BLACK &amp; DECKER</t>
  </si>
  <si>
    <t>N</t>
  </si>
  <si>
    <t>N/A</t>
  </si>
  <si>
    <t>CRISTINA VARGAS</t>
  </si>
  <si>
    <t>01-55-1105-6746</t>
  </si>
  <si>
    <t>Cristina.Vargas@sabic-ip.com</t>
  </si>
  <si>
    <t xml:space="preserve">CYCOLOY C1200HF-701 BK                                              </t>
  </si>
  <si>
    <t>PC/ABS</t>
  </si>
  <si>
    <t>REVAIR</t>
  </si>
  <si>
    <t>ULTRAMID B3ZG6 BK30564</t>
  </si>
  <si>
    <t>NYLON 6</t>
  </si>
  <si>
    <t>BASF</t>
  </si>
  <si>
    <t xml:space="preserve">ZYTEL 101L BK B 009                                                      </t>
  </si>
  <si>
    <t>NYLON 66</t>
  </si>
  <si>
    <t>JOSE LUIS CHAVEZ</t>
  </si>
  <si>
    <t>(81) 83006051</t>
  </si>
  <si>
    <t>joseluis.chavez@polyone.com</t>
  </si>
  <si>
    <t xml:space="preserve">LEXAN PC 121R-701                                                                </t>
  </si>
  <si>
    <t>Obsolete</t>
  </si>
  <si>
    <t>SHINETSU</t>
  </si>
  <si>
    <t>CLEAR POLYETHYLENE CHEVRON 9700450000</t>
  </si>
  <si>
    <t>--</t>
  </si>
  <si>
    <t>EATON</t>
  </si>
  <si>
    <t xml:space="preserve">CLEAR LUSTRAN ABS LNX LSTR </t>
  </si>
  <si>
    <t>GRIVORY GV5H NATURAL  (50% GLASS FILLED AMORPHOUS NYLON)</t>
  </si>
  <si>
    <t>CYCOLOY LG9000-798 BK</t>
  </si>
  <si>
    <t>TRW / CEQUENT</t>
  </si>
  <si>
    <t>CYCOLOY C1000HF - GY5969</t>
  </si>
  <si>
    <t>TRW</t>
  </si>
  <si>
    <t>LUSTRAN 648 PD64890400060/5007</t>
  </si>
  <si>
    <t>ABS</t>
  </si>
  <si>
    <t>LUIS MONCADA</t>
  </si>
  <si>
    <t>844 419 1959</t>
  </si>
  <si>
    <t>Luis.Moncada@PolyOne.com</t>
  </si>
  <si>
    <t>LEXAN 241R-701 BLACK</t>
  </si>
  <si>
    <t>EMU PLASTICS</t>
  </si>
  <si>
    <t>CYCOLOY MC8002 100 (Natural)</t>
  </si>
  <si>
    <t>AFX (Sabic)</t>
  </si>
  <si>
    <t>AFX</t>
  </si>
  <si>
    <t>LUSTRAN ABS PG298</t>
  </si>
  <si>
    <t>AMILAN CM1011G15-B2</t>
  </si>
  <si>
    <t>PA 6 15% GF</t>
  </si>
  <si>
    <t>AFX (Toray)</t>
  </si>
  <si>
    <t>167A EBONY GMP PVC 037 (AFX P/N: 11126885HF)</t>
  </si>
  <si>
    <t>PVC</t>
  </si>
  <si>
    <t>AFX (Nexeo/Comtrex)</t>
  </si>
  <si>
    <t>LEXAN 241-416 AMBER</t>
  </si>
  <si>
    <t xml:space="preserve">PETRA 130FR  BK-112 ES006                                                           </t>
  </si>
  <si>
    <t>PET</t>
  </si>
  <si>
    <t>NORYL PX0 871-50551 BROWN</t>
  </si>
  <si>
    <t>PPE+PS</t>
  </si>
  <si>
    <t>kg</t>
  </si>
  <si>
    <t>499 KG</t>
  </si>
  <si>
    <t>TRW/METHODE</t>
  </si>
  <si>
    <t>NORYL PX0 871-701 BK</t>
  </si>
  <si>
    <t>NORYL PX0 871 780 GRAY</t>
  </si>
  <si>
    <t xml:space="preserve">499 KG </t>
  </si>
  <si>
    <t>LEXAN 241-616 RED</t>
  </si>
  <si>
    <t>LEXAN 241 GN3194X GREEN TRANSLUCENT</t>
  </si>
  <si>
    <t xml:space="preserve">LEXAN 241-216 BLUE </t>
  </si>
  <si>
    <t>LEXAN 241-42096 AMBER</t>
  </si>
  <si>
    <t>LEXAN 241-82078 WHITE CLEAR</t>
  </si>
  <si>
    <t xml:space="preserve">LEXAN 241R-112 </t>
  </si>
  <si>
    <t>GRAY RESIN ULTRAMID 8333GHI GY5723 (ULTRA B3ZG6 GY 5723)</t>
  </si>
  <si>
    <t>RTP 300 SC-201230 WHITE</t>
  </si>
  <si>
    <t>RTP</t>
  </si>
  <si>
    <t>VALEO</t>
  </si>
  <si>
    <t>JORGE MALDONADO</t>
  </si>
  <si>
    <t>(81) 1807-4508</t>
  </si>
  <si>
    <t>jmaldonado@rtpcompany.com</t>
  </si>
  <si>
    <t>LEXAN 141-WH8H037X</t>
  </si>
  <si>
    <t xml:space="preserve">LEXAN 241-314 GREEN </t>
  </si>
  <si>
    <t>LEXAN 241RC-616 RED</t>
  </si>
  <si>
    <t>LEXAN 241RC-416 AMBER</t>
  </si>
  <si>
    <t>LEXAN 241R-216 BLUE</t>
  </si>
  <si>
    <t>LEXAN 241R-82078 WHITE</t>
  </si>
  <si>
    <t>LEXAN 241RC-42096 TRANSLUCENT AMBER (ORANGE)</t>
  </si>
  <si>
    <t>LEXAN  241R-627 RED</t>
  </si>
  <si>
    <t xml:space="preserve">CYCOLAC MG38 BK4500- ES006                                                      </t>
  </si>
  <si>
    <t>CYCOLAC MG37EPX-GP (Color:GY4A087)</t>
  </si>
  <si>
    <t>ZANINI</t>
  </si>
  <si>
    <t>CYCOLAC MG37EPX-GP (Color: 3510 Grey)</t>
  </si>
  <si>
    <t>PC-G20-7001 BLACK</t>
  </si>
  <si>
    <t>PC 20%GF</t>
  </si>
  <si>
    <t>POLYMER RESOURCES</t>
  </si>
  <si>
    <t>JHONSON CONTROLS</t>
  </si>
  <si>
    <t>STEVE FABRIZIUS</t>
  </si>
  <si>
    <t xml:space="preserve">913-747-8007 </t>
  </si>
  <si>
    <t>sfabrizius@prlresins.com</t>
  </si>
  <si>
    <t xml:space="preserve">NYPEL 6033G BK ES006                                                    </t>
  </si>
  <si>
    <t xml:space="preserve">ZYTEL HTN51G35HSL BK083 -                                                 </t>
  </si>
  <si>
    <t>PPA</t>
  </si>
  <si>
    <t xml:space="preserve">NATURAL ULTRAMID 8234G NAT ES000                        </t>
  </si>
  <si>
    <t xml:space="preserve">CAPRON 8333GBD YL5853C - ES283                               </t>
  </si>
  <si>
    <t xml:space="preserve">DELRIN 100ST  BK602                                                               </t>
  </si>
  <si>
    <t>POM</t>
  </si>
  <si>
    <t>PROMAPLAST</t>
  </si>
  <si>
    <t>LAURA VILLAREAL</t>
  </si>
  <si>
    <t>(81) 8142 0762</t>
  </si>
  <si>
    <t>lvillareal@promaplast.com</t>
  </si>
  <si>
    <t xml:space="preserve">DELRIN 500P BK 602                                                              </t>
  </si>
  <si>
    <t>LUBRICOMP YL-4030 NAT  YL003C -NA8D027</t>
  </si>
  <si>
    <t>TPE</t>
  </si>
  <si>
    <t xml:space="preserve">ULTRAMID 8233G BK 102   ES006                                  </t>
  </si>
  <si>
    <t>PA 6 33%</t>
  </si>
  <si>
    <t>FORECAST</t>
  </si>
  <si>
    <t xml:space="preserve">XENOY 5220U 8934 ES009 (Charcoal Gray)                  </t>
  </si>
  <si>
    <t>PC/PBT</t>
  </si>
  <si>
    <t xml:space="preserve">XENOY 5220U YW 6A028                                                      </t>
  </si>
  <si>
    <t xml:space="preserve">POLYPROPILENE (PP) PP7000 BLACK                                   </t>
  </si>
  <si>
    <t>PP</t>
  </si>
  <si>
    <t>ALEJANDRO MERCADO</t>
  </si>
  <si>
    <t>210-870-9178</t>
  </si>
  <si>
    <t>Alejandro.Mercado@polyone.com</t>
  </si>
  <si>
    <t xml:space="preserve">NORYL GTX 830 1710 BK - ES006 </t>
  </si>
  <si>
    <t>PA6/PPO</t>
  </si>
  <si>
    <t xml:space="preserve">TERLURAN HI-10 BK ES006                                                      </t>
  </si>
  <si>
    <t>XENOY 5220U BK 1066</t>
  </si>
  <si>
    <t xml:space="preserve">ZYTEL 70G33L  BK031BLACK                                     </t>
  </si>
  <si>
    <t>NYLON 66 33% GF</t>
  </si>
  <si>
    <t xml:space="preserve">ZYTEL 70G33L NC 010 (NATURAL)                              </t>
  </si>
  <si>
    <t>Xenoy 5220U ES397 BTI ORANGE</t>
  </si>
  <si>
    <t xml:space="preserve">1100 LB </t>
  </si>
  <si>
    <t>Xenoy 522OU-BL1A569 Blue</t>
  </si>
  <si>
    <t>XENOY 5220U-RD6D170 RED</t>
  </si>
  <si>
    <t>XENOY X4850-BK1067 BLACK</t>
  </si>
  <si>
    <t>ZANINI (VW)</t>
  </si>
  <si>
    <t>AUTRON 600 HI YL21</t>
  </si>
  <si>
    <t>BOILN</t>
  </si>
  <si>
    <t>JASON LIU</t>
  </si>
  <si>
    <t>86 (0)512 5895 6098</t>
  </si>
  <si>
    <t>jason.liu@boiln.com</t>
  </si>
  <si>
    <t>AUTRON 600 HI BK92</t>
  </si>
  <si>
    <t>B&amp;D</t>
  </si>
  <si>
    <t>SAMPLE</t>
  </si>
  <si>
    <t>INFINO AE-3063I K24678</t>
  </si>
  <si>
    <t>LOTTE ADVANCED MATERIALS</t>
  </si>
  <si>
    <t xml:space="preserve">DAVID LOPEZ </t>
  </si>
  <si>
    <t>(81)1357 4325</t>
  </si>
  <si>
    <t>david.lopez@lottechem.com</t>
  </si>
  <si>
    <t>VALOX 357U-BK1066</t>
  </si>
  <si>
    <t xml:space="preserve">ZYTEL  ST 801 AHS BK 010                                            </t>
  </si>
  <si>
    <t>ZYTEL 70G13-HS1-L BK 031</t>
  </si>
  <si>
    <t>NYLON 6 13% GF</t>
  </si>
  <si>
    <t>VERSAFLEX OM6160-9 BLACK ES0006</t>
  </si>
  <si>
    <t>TPU</t>
  </si>
  <si>
    <t>MARSHA MALONE</t>
  </si>
  <si>
    <t>1-843-637-1616</t>
  </si>
  <si>
    <t>marsha.malone@polyone.com</t>
  </si>
  <si>
    <t>VERSAFLEX OM6059-9 BLACK</t>
  </si>
  <si>
    <t>y</t>
  </si>
  <si>
    <t>QR-1015 BK</t>
  </si>
  <si>
    <t>CITADEL / ALPS</t>
  </si>
  <si>
    <t>ALPS</t>
  </si>
  <si>
    <t>CITLALLI SALGADO</t>
  </si>
  <si>
    <t>899-921-0800 Ext. 2001</t>
  </si>
  <si>
    <t>citlalli.salgado@alpsautomotive.com</t>
  </si>
  <si>
    <t xml:space="preserve">POLYLAC PA-757 BK                                                                  </t>
  </si>
  <si>
    <t>ENTEC</t>
  </si>
  <si>
    <t>JAKE WALKER</t>
  </si>
  <si>
    <t xml:space="preserve">407-717-1717 </t>
  </si>
  <si>
    <t xml:space="preserve">JWalker@EntecResins.com </t>
  </si>
  <si>
    <t xml:space="preserve">CYCOLAC MGX53P  Silver  ES023                                         </t>
  </si>
  <si>
    <t>CYCOLAC Z48 BK 4051</t>
  </si>
  <si>
    <t>TERLURAN GP 22 BK</t>
  </si>
  <si>
    <t>WYATT STINE</t>
  </si>
  <si>
    <t>(404) 788-5963 </t>
  </si>
  <si>
    <t>WStine@EntecResins.com</t>
  </si>
  <si>
    <t>MAGNUM 342EZ ABS REPROSED BK</t>
  </si>
  <si>
    <t>GLOBAL PLASTICS</t>
  </si>
  <si>
    <t>SAINT GOBAIN</t>
  </si>
  <si>
    <t>ALBERTO GARCIA</t>
  </si>
  <si>
    <t>(81) 8351-0774, </t>
  </si>
  <si>
    <t>agarciaflores@prodigy.net.mx</t>
  </si>
  <si>
    <t>TERLURAN GP 22 NATURAL (HIGH GLOSS)</t>
  </si>
  <si>
    <t>TERLURAN HI-10 NR</t>
  </si>
  <si>
    <t>HF-0660I /C83807</t>
  </si>
  <si>
    <t>HP-126 FM KS2890LA GRAY</t>
  </si>
  <si>
    <t xml:space="preserve">KINGFA </t>
  </si>
  <si>
    <t>DAVID ESTRADA (JCI)</t>
  </si>
  <si>
    <t xml:space="preserve">HF-0660I/F44296_E Red </t>
  </si>
  <si>
    <t>HP-126 FM KS3407BK</t>
  </si>
  <si>
    <t>CYCOLAC FR15U NA1000</t>
  </si>
  <si>
    <t xml:space="preserve">LEXAN 101 111 NAT                                                                </t>
  </si>
  <si>
    <t>GUNN PLASTICS</t>
  </si>
  <si>
    <t>KELLY JARAMILLO</t>
  </si>
  <si>
    <t>(203)899-1660</t>
  </si>
  <si>
    <t>gunnplastics@aol.com</t>
  </si>
  <si>
    <t>MAKROLON 2805 550115 NAT</t>
  </si>
  <si>
    <t>BAYER</t>
  </si>
  <si>
    <t>RICARDO IZQUIERDO</t>
  </si>
  <si>
    <t>+52.55.5.72.83</t>
  </si>
  <si>
    <t>ricardo.izquierdo.ri@bayerbms.com</t>
  </si>
  <si>
    <t>MAKROLON 2407 020003 WHITE</t>
  </si>
  <si>
    <t>ALBIS</t>
  </si>
  <si>
    <t>LEXAN 3413 R 131 NAT</t>
  </si>
  <si>
    <t>LEXAN 141R-701 BK</t>
  </si>
  <si>
    <t>LEXAN 121R - 112 CLEAR</t>
  </si>
  <si>
    <t>KIMBALL</t>
  </si>
  <si>
    <t>LEXAN 141R 112 CLEAR</t>
  </si>
  <si>
    <t>LEXAN 940 701 BK</t>
  </si>
  <si>
    <t>LEXAN 940 701534 BK</t>
  </si>
  <si>
    <t>8/12 weeks</t>
  </si>
  <si>
    <t>0399X 75177 C BK</t>
  </si>
  <si>
    <t>PC REGRINDED FOR JIGS</t>
  </si>
  <si>
    <t>LEXAN HF 1110 R - 111</t>
  </si>
  <si>
    <t>PREH</t>
  </si>
  <si>
    <t>MAKROLON 2805 300005 RED</t>
  </si>
  <si>
    <t>MELINDA WITTE</t>
  </si>
  <si>
    <t>281-207-5467</t>
  </si>
  <si>
    <t xml:space="preserve"> melinda.witte@albis.com</t>
  </si>
  <si>
    <t>LEXAN 3412R 131 NAT</t>
  </si>
  <si>
    <t>LEXAN 143 GP 062110 CLEAR</t>
  </si>
  <si>
    <t>LEXAN 121R  WH8C308X</t>
  </si>
  <si>
    <t>LEXAN 141-111  CLEAR</t>
  </si>
  <si>
    <t>MAKROLON 3105-901510 Black</t>
  </si>
  <si>
    <t>LEXAN 143R-111 NATURAL CLEAR</t>
  </si>
  <si>
    <t>LEXAN 103R-71505 ES225 - SMOKE GRAY</t>
  </si>
  <si>
    <t xml:space="preserve">MAKROLON 2407 020083 TRANSLUCENT WHITE </t>
  </si>
  <si>
    <t>MANABU ISHIGURO</t>
  </si>
  <si>
    <t>(956) 627-2033</t>
  </si>
  <si>
    <t xml:space="preserve"> Manabu_Ishiguro@kanematsu-am.com</t>
  </si>
  <si>
    <t>LUPILON MB2213R BK</t>
  </si>
  <si>
    <t>PC+ABS</t>
  </si>
  <si>
    <t>MAKROLON 2407 NATURAL</t>
  </si>
  <si>
    <t>CREATIONS</t>
  </si>
  <si>
    <t>BAYBLEND FR3005HF-901510 BLACK</t>
  </si>
  <si>
    <t>FLEXTRONICS</t>
  </si>
  <si>
    <t xml:space="preserve">BAYBLEND FR3005HF-200221 ORANGE </t>
  </si>
  <si>
    <t>CYCOLOY CX7240U-701 BLACK</t>
  </si>
  <si>
    <t>CYCOLOY C1200HF-YW8001S</t>
  </si>
  <si>
    <t>CYCOLOY C2950-YW8001S</t>
  </si>
  <si>
    <t>CYCOLOY C2950-701</t>
  </si>
  <si>
    <t>CYCOLOY C1200HF-100 NATURAL</t>
  </si>
  <si>
    <t>LUPOY NS5000C BLACK</t>
  </si>
  <si>
    <t>LG CHEM</t>
  </si>
  <si>
    <t>SEOYON</t>
  </si>
  <si>
    <t>CYCOLOY C6200 WH8049</t>
  </si>
  <si>
    <t>CELANEX 3200 ED3002 BLK</t>
  </si>
  <si>
    <t>PBT 15% GF</t>
  </si>
  <si>
    <t>CHANNEL PRIME</t>
  </si>
  <si>
    <t>ZANINI (NISSAN)</t>
  </si>
  <si>
    <t>ANGEL SALDAÑA</t>
  </si>
  <si>
    <t>(+55) 2624 0089</t>
  </si>
  <si>
    <t>asaldana@channelpa.com</t>
  </si>
  <si>
    <t>ASAFOR 78 HT BLACK</t>
  </si>
  <si>
    <t>SOFTER</t>
  </si>
  <si>
    <t>TEXCO</t>
  </si>
  <si>
    <t>CEQUENT</t>
  </si>
  <si>
    <t>JOHNY SOLIS</t>
  </si>
  <si>
    <t xml:space="preserve">972-722-3926 </t>
  </si>
  <si>
    <t>jsolis@texcoresin.com</t>
  </si>
  <si>
    <t>PULSE 2000 EZ BLACK</t>
  </si>
  <si>
    <t>ITW</t>
  </si>
  <si>
    <t xml:space="preserve">DELRIN 511P - 402 BK                                                           </t>
  </si>
  <si>
    <t>DELRIN M590 NC010</t>
  </si>
  <si>
    <t>SOMFY</t>
  </si>
  <si>
    <t>DELRIN 500P NC 010</t>
  </si>
  <si>
    <t>CELCON M270 BK</t>
  </si>
  <si>
    <t>HOSTAFORM C13021 BK14</t>
  </si>
  <si>
    <t>Requested</t>
  </si>
  <si>
    <t>HOSTAFORM C130021 BK14 (CONSIG)</t>
  </si>
  <si>
    <t>Mercado, Alejandro (GRP)/ SALOMON HERNANDEZ</t>
  </si>
  <si>
    <t>1 210 231 0912/  (818)81420762</t>
  </si>
  <si>
    <t>Alejandro.Mercado@polyone.com/shernandez@promaplast.com</t>
  </si>
  <si>
    <t>DELRIN 570 NATURAL NC000</t>
  </si>
  <si>
    <t xml:space="preserve">DELRIN 525GR NC000 </t>
  </si>
  <si>
    <t>DELRIN 100P NC010</t>
  </si>
  <si>
    <t>DELRIN 577 BK000</t>
  </si>
  <si>
    <t>ULTRAFORM 2320-003 NATURAL ACETAL</t>
  </si>
  <si>
    <t>ULTRAFORM 2320-003 BK120</t>
  </si>
  <si>
    <t>NEXEO</t>
  </si>
  <si>
    <t>ADOLFO PEREIRA</t>
  </si>
  <si>
    <t>956-541-2828 (Cell: 956-371-5382)</t>
  </si>
  <si>
    <t>apereira@nexeosolutions.com</t>
  </si>
  <si>
    <t xml:space="preserve">CELCON WR90Z CD32403 BLACK </t>
  </si>
  <si>
    <t>DURACON M90-44 -CF2001 NATURAL</t>
  </si>
  <si>
    <t>MARTIN GODINEZ</t>
  </si>
  <si>
    <t>DELRIN 500P RED</t>
  </si>
  <si>
    <t>DELRIN 500P YELLOW</t>
  </si>
  <si>
    <t>VALOX 420 BK 1066 30% GF</t>
  </si>
  <si>
    <t>PBT</t>
  </si>
  <si>
    <t>VALOX 430 BK 1066 33% GF</t>
  </si>
  <si>
    <t>VALOX 420 SEO BK 1066</t>
  </si>
  <si>
    <t>VALOX 310-BK 1066</t>
  </si>
  <si>
    <t>CELANEX 3200 15% GF</t>
  </si>
  <si>
    <t>ARNITE TV4 230 NAT</t>
  </si>
  <si>
    <t>CHASE PLASTICS</t>
  </si>
  <si>
    <t>MARCO TORRES</t>
  </si>
  <si>
    <t>210-488-6095</t>
  </si>
  <si>
    <t>mtorres@chaseplastics.com</t>
  </si>
  <si>
    <t>CELANEX 1462Z ED-BK225 BLACK</t>
  </si>
  <si>
    <t>PBT 30% GF</t>
  </si>
  <si>
    <t>TRICO</t>
  </si>
  <si>
    <t>NORMA RESENDEZ</t>
  </si>
  <si>
    <t>norma.resendez@tricoproducts.com</t>
  </si>
  <si>
    <t>CELANEX 3200-2 EF2001 NATURAL</t>
  </si>
  <si>
    <t>VALOX DR51-BK1066</t>
  </si>
  <si>
    <t>VALOX DR51-1001 NATURAL</t>
  </si>
  <si>
    <t xml:space="preserve">RPP20EC12BK                                                                              </t>
  </si>
  <si>
    <t>NISSAN</t>
  </si>
  <si>
    <t>1,100 Lb</t>
  </si>
  <si>
    <t>KATHLEEN PASSAFUME</t>
  </si>
  <si>
    <t xml:space="preserve">615-220-7100 </t>
  </si>
  <si>
    <t>k_passafume@nitco-us.com</t>
  </si>
  <si>
    <t xml:space="preserve">PPJ3HSA40BK                                                                              </t>
  </si>
  <si>
    <t>MITSUI</t>
  </si>
  <si>
    <t>IVONNE GONZALES</t>
  </si>
  <si>
    <t xml:space="preserve">(55) 52-84-05-93 </t>
  </si>
  <si>
    <t>I.Gonzalez@mitsui.com</t>
  </si>
  <si>
    <t xml:space="preserve">PP/CO  PROFAX  SB891 NAT                                                 </t>
  </si>
  <si>
    <t>JAVIER GUTIERREZ</t>
  </si>
  <si>
    <t xml:space="preserve">(55) 55310855 </t>
  </si>
  <si>
    <t>JMGutierrez@EntecResins.com</t>
  </si>
  <si>
    <t>RPP20EC79 GRAY</t>
  </si>
  <si>
    <t>PP LPP10BD07HB - BK</t>
  </si>
  <si>
    <t>PP CP AP6106HS NAT L</t>
  </si>
  <si>
    <t xml:space="preserve"> PP COMPOUND 5450 </t>
  </si>
  <si>
    <t>GPP20CS91 HB BK FERREX</t>
  </si>
  <si>
    <t>LPP20BC07HB</t>
  </si>
  <si>
    <t>PRO-FAX SL559M NATURAL</t>
  </si>
  <si>
    <t>INDELPRO</t>
  </si>
  <si>
    <t>ALBEA</t>
  </si>
  <si>
    <t>JUAN PABLO ALANIS GARZA</t>
  </si>
  <si>
    <t>01-81 8748 2916</t>
  </si>
  <si>
    <t>jalanis@indelpro.com</t>
  </si>
  <si>
    <t>BLACK PP7210U X3B1CF PP (50803097-00)</t>
  </si>
  <si>
    <t>POLYONE / SPARTECH</t>
  </si>
  <si>
    <t>CELSTRAN PP-GF50-0453P10/10 BLACK</t>
  </si>
  <si>
    <t>INTEVA</t>
  </si>
  <si>
    <t>RTP 199 X 70836 B BLACK</t>
  </si>
  <si>
    <t>FPP5A30HCYL59</t>
  </si>
  <si>
    <t>INEOS H12E-00 PP</t>
  </si>
  <si>
    <t>RTP 128 Z Z-705488 DK BLUE</t>
  </si>
  <si>
    <t>TBD</t>
  </si>
  <si>
    <t>PRO-FAX 7523 NAT</t>
  </si>
  <si>
    <t>PP/CP</t>
  </si>
  <si>
    <t>CELSTRAN PP-GF40-0414 BLACK</t>
  </si>
  <si>
    <t>JOSH WRIGHT</t>
  </si>
  <si>
    <t>832-509-6714</t>
  </si>
  <si>
    <t>jwright@entecresins.com</t>
  </si>
  <si>
    <t xml:space="preserve">HYTREL 5526 NATURAL                                                       </t>
  </si>
  <si>
    <t>TPC</t>
  </si>
  <si>
    <t xml:space="preserve">SANTOPRENE 201-73 NAT  ES000                                         </t>
  </si>
  <si>
    <t>TPV</t>
  </si>
  <si>
    <t>POLYSTYRENE IMPACT EMPERA 433 NAT</t>
  </si>
  <si>
    <t>BIC</t>
  </si>
  <si>
    <t xml:space="preserve">SANTOPRENE 221-55 NAT                                                    </t>
  </si>
  <si>
    <t>ASHLAND</t>
  </si>
  <si>
    <t>SANTOPRENE 111-45 BK</t>
  </si>
  <si>
    <t>CYCOLOY C6200-701</t>
  </si>
  <si>
    <t>SANTOPRENE 8221-55M300</t>
  </si>
  <si>
    <t>APEX 1008 BK</t>
  </si>
  <si>
    <t>TEKNORAPEX</t>
  </si>
  <si>
    <t>EDUARDO DE LA GARZA</t>
  </si>
  <si>
    <t>81 8057 3993</t>
  </si>
  <si>
    <t>egarza@teknorapex.com</t>
  </si>
  <si>
    <t xml:space="preserve">APEX 1008 YELLOW 476H </t>
  </si>
  <si>
    <t>SANTOPRENE 101-55 BK 55 A TPE</t>
  </si>
  <si>
    <t>FIBERFIL J60/20/E4 BK223</t>
  </si>
  <si>
    <t>SANTOPRENE 121-50M100</t>
  </si>
  <si>
    <t>RTP 2800 B-45A NATURAL</t>
  </si>
  <si>
    <t>SANTOPRENE 103-50 BLACK</t>
  </si>
  <si>
    <t>FLEX R70-304 CLEAR</t>
  </si>
  <si>
    <t>PERELES</t>
  </si>
  <si>
    <t>BETH PEDE</t>
  </si>
  <si>
    <t>beth.pede@pereles.com</t>
  </si>
  <si>
    <t>TEXIN 250DE NATURAL</t>
  </si>
  <si>
    <t>LUBRICOMP YP003 NATURAL</t>
  </si>
  <si>
    <t>SANTOPRENE 101-87 BLACK</t>
  </si>
  <si>
    <t xml:space="preserve">ULTRAMID B3ZG6 GY 7639                                                 </t>
  </si>
  <si>
    <t xml:space="preserve">ULTRAMID B3ZG6 RD 7583                                                 </t>
  </si>
  <si>
    <t>ULTRAMID 1503-2 BK</t>
  </si>
  <si>
    <t xml:space="preserve">ULTRAMID B3ZG6 GY 5723                                                 </t>
  </si>
  <si>
    <t xml:space="preserve">FP62E33HB-BK                    </t>
  </si>
  <si>
    <t>AKULON J-3/15/MF25 BK 9165 55B DSM SAP #9695</t>
  </si>
  <si>
    <t>ULTRAMID B3ZG6 GY 7723 ES-160 'MOWER GRAY'</t>
  </si>
  <si>
    <t>ZYTEL 73G15 HSL BK363 15% GF</t>
  </si>
  <si>
    <t>ZYTEL 101L NC010</t>
  </si>
  <si>
    <t>ZYTEL 70G33HS1L BK031</t>
  </si>
  <si>
    <t>NYLON</t>
  </si>
  <si>
    <t>ZYTEL ST 801 W NC010</t>
  </si>
  <si>
    <t>SCHULAMID 6GF 15 HI CHARCOAL 96.7700 LS</t>
  </si>
  <si>
    <t>SCHULAMID</t>
  </si>
  <si>
    <t>ULTRAMID B3ZG6 GB 16616-N  (Yellow) ES283 CAD FREE</t>
  </si>
  <si>
    <t xml:space="preserve">FP64E33HBBK  </t>
  </si>
  <si>
    <t>CITADEL</t>
  </si>
  <si>
    <t>DEBI SMITH</t>
  </si>
  <si>
    <t>dsmith@citadelplastics.com</t>
  </si>
  <si>
    <t>FP64E33GY218</t>
  </si>
  <si>
    <t>MATRIXX</t>
  </si>
  <si>
    <t>FP63E33HB-BK</t>
  </si>
  <si>
    <t>ULTRAMID B3EG6-BK 00564</t>
  </si>
  <si>
    <t>FP63E33HB-(NATURAL)</t>
  </si>
  <si>
    <t>ULTRAMID B3ZG6 - NATURAL</t>
  </si>
  <si>
    <t>RTP 205 FR BLACK</t>
  </si>
  <si>
    <t xml:space="preserve">NYLON 6 </t>
  </si>
  <si>
    <t>NA</t>
  </si>
  <si>
    <t>AMATEK</t>
  </si>
  <si>
    <t>GRILAMID TR90 NATURAL</t>
  </si>
  <si>
    <t>NYLON 12</t>
  </si>
  <si>
    <t>ZYTEL 70G33HS1L NC010</t>
  </si>
  <si>
    <t>NYLON 66 30%</t>
  </si>
  <si>
    <t>JOSE LUIS VAZQUEZ</t>
  </si>
  <si>
    <t>01-(81) 83006051</t>
  </si>
  <si>
    <t xml:space="preserve"> joseluis.chavez@polyone.com</t>
  </si>
  <si>
    <t>ULTRAMID B3ZG6 RD7920</t>
  </si>
  <si>
    <t>CPP5C25ULBK - 25% TF - PP</t>
  </si>
  <si>
    <t>CITADEL/MATRIXX</t>
  </si>
  <si>
    <t>812-253-5238</t>
  </si>
  <si>
    <t>DURETHAN  BKV50H2.0 901510 BK</t>
  </si>
  <si>
    <t>PA 6, 50 % GF</t>
  </si>
  <si>
    <t>AMODEL AT-6130 HS BK324</t>
  </si>
  <si>
    <t>AKULON K224-G3 BK9384</t>
  </si>
  <si>
    <t>NYLON 6 15% GF</t>
  </si>
  <si>
    <t>PEMARON 260G6 HI YL28</t>
  </si>
  <si>
    <t xml:space="preserve">899 9213253 </t>
  </si>
  <si>
    <t>martin.godinez@sbdinc.com</t>
  </si>
  <si>
    <t>PEMARON 260G6 HI 91BK</t>
  </si>
  <si>
    <t xml:space="preserve">ZYTEL  ST801/1101F BLENDED 10% ST 801 90% 101 F </t>
  </si>
  <si>
    <t>ZYTEL 70G13L-BKB297</t>
  </si>
  <si>
    <t xml:space="preserve">ZYTEL 73G15HSLBK363                                     </t>
  </si>
  <si>
    <t xml:space="preserve">ZYTEL HTN51G35HSL BKB083                                              </t>
  </si>
  <si>
    <t>ZYTEL 101F BKB009</t>
  </si>
  <si>
    <t>ULTRAMID B3S BK00464</t>
  </si>
  <si>
    <t>AMY WEBER</t>
  </si>
  <si>
    <t xml:space="preserve">281-299-7128 </t>
  </si>
  <si>
    <t>aweber@amcopolymers.com</t>
  </si>
  <si>
    <t>ZYTEL  ST801AW NC010</t>
  </si>
  <si>
    <t>ULTRAMID B3WG5 UNCOLORED</t>
  </si>
  <si>
    <t>NYLON 6 25%</t>
  </si>
  <si>
    <t>ZYTEL 101L GYB1000</t>
  </si>
  <si>
    <t>JCI</t>
  </si>
  <si>
    <t>ULTRAMID 8333GHI GY7779</t>
  </si>
  <si>
    <t>DURETHAN BKV30H2.0 901510</t>
  </si>
  <si>
    <t>NYLON 6 30%</t>
  </si>
  <si>
    <t>8992-059513</t>
  </si>
  <si>
    <t>martin.godinez@valeo.com</t>
  </si>
  <si>
    <t>1015GX78V BLACK</t>
  </si>
  <si>
    <t>NYLON 6 GF33%</t>
  </si>
  <si>
    <t>RTP 4499 X 99781 BLACK</t>
  </si>
  <si>
    <t xml:space="preserve">RTP COMPANY </t>
  </si>
  <si>
    <t>LUBRICOMP RAL22S-BK1A851</t>
  </si>
  <si>
    <t>DESMOPAN 455 NAT</t>
  </si>
  <si>
    <t>SEE COMMENT</t>
  </si>
  <si>
    <t>AMODEL AS-1133 HS NAT</t>
  </si>
  <si>
    <t>CHROMA RP23097 WHITE</t>
  </si>
  <si>
    <t>CHROMA</t>
  </si>
  <si>
    <t>PAT SPECIALE</t>
  </si>
  <si>
    <t>815/759-2168</t>
  </si>
  <si>
    <t>pspeciale@chromacolors.com</t>
  </si>
  <si>
    <t>CYCOLAC X17 4051 BK</t>
  </si>
  <si>
    <t>CYCOLAC X15-4176YS</t>
  </si>
  <si>
    <t>CYCOLAC X17 33269US</t>
  </si>
  <si>
    <t>CYCOLAC X15-87934 US</t>
  </si>
  <si>
    <t>ULTRAMID BU50I BK-106</t>
  </si>
  <si>
    <t xml:space="preserve">BASF  </t>
  </si>
  <si>
    <t>XENOY X4820  YW3D010 Dewalt Yellow  ES283</t>
  </si>
  <si>
    <t>VERSOLLAN OM1255NX-9 Black ES006.</t>
  </si>
  <si>
    <t>LEXAN 121R - 111 CLEAR</t>
  </si>
  <si>
    <t>DELPHI</t>
  </si>
  <si>
    <t>CYCOLOY LG9000-BK 1065S</t>
  </si>
  <si>
    <t>LUSTRAN H801 / HH 1891 WHITE</t>
  </si>
  <si>
    <t>Karla Lombardi</t>
  </si>
  <si>
    <t>909-803-2531</t>
  </si>
  <si>
    <t>karla.lombardi@polyone.com</t>
  </si>
  <si>
    <t>BAYBLEND T65 XF BK 901510</t>
  </si>
  <si>
    <t>909-803-2532</t>
  </si>
  <si>
    <t>POCAN B7375 NAT</t>
  </si>
  <si>
    <t>CYCOLAC X15-1000 NAT</t>
  </si>
  <si>
    <t>S&amp;P OPTALIC GO 100 BEIGE</t>
  </si>
  <si>
    <t>MATERIALS GROUP</t>
  </si>
  <si>
    <t>PLEXIGLAS V825-100 ACRYLIC</t>
  </si>
  <si>
    <t>ACRYLIC</t>
  </si>
  <si>
    <t>TELCH</t>
  </si>
  <si>
    <t>RTP 2500A UV S-32777 IVORY</t>
  </si>
  <si>
    <t>LEXAN 3413R-739BK</t>
  </si>
  <si>
    <t>LEXAN 143R YW6146 YELLOW</t>
  </si>
  <si>
    <t>INNOPRENE 2400JB (Jet Black)</t>
  </si>
  <si>
    <t>TPV (EPDM+PP)</t>
  </si>
  <si>
    <t>KUMHO POLYCHEM</t>
  </si>
  <si>
    <t>S&amp;T MOTIV</t>
  </si>
  <si>
    <t xml:space="preserve">DH KIM </t>
  </si>
  <si>
    <t>82-51-635-4801</t>
  </si>
  <si>
    <t>asianchem@korea.com</t>
  </si>
  <si>
    <t>INNOPRENE 2400C (Cocoa)</t>
  </si>
  <si>
    <t>THERMORUN TT914CNP (Natural)</t>
  </si>
  <si>
    <t>TPO (EPDM + PP)</t>
  </si>
  <si>
    <t>MITSUBISHI CHEMICALS</t>
  </si>
  <si>
    <t>Mike Gragtsman</t>
  </si>
  <si>
    <t>(864) 982-2167</t>
  </si>
  <si>
    <t>Mike_Gragtmans@m-chem.com</t>
  </si>
  <si>
    <t>THERMORUN TT914J -- JB 600R (JET BLACK)</t>
  </si>
  <si>
    <t>KANG YU SIL</t>
  </si>
  <si>
    <t>82-51-509-2379</t>
  </si>
  <si>
    <t>spice0605@sntmotiv.com</t>
  </si>
  <si>
    <t>THERMORUN TT914J -- 642H (VERY DARK PEWTER)</t>
  </si>
  <si>
    <t>PRIMALLOY A1500NS BENBL-2998</t>
  </si>
  <si>
    <t xml:space="preserve">NORYL N300X-701 </t>
  </si>
  <si>
    <t>PPE</t>
  </si>
  <si>
    <t>NORYL N300X-873</t>
  </si>
  <si>
    <t>NORYL FN170-70931 DARK GRAY</t>
  </si>
  <si>
    <t>Radilon AUSX200 333 NER</t>
  </si>
  <si>
    <t>RADICI</t>
  </si>
  <si>
    <t>SCOTT KNOOP</t>
  </si>
  <si>
    <t xml:space="preserve">(330) 336-7611 </t>
  </si>
  <si>
    <t>scott.knoop@radicigroup.com</t>
  </si>
  <si>
    <t>Radilon A HS 372 M NER</t>
  </si>
  <si>
    <t>RADILON A.HSK.372M.NER</t>
  </si>
  <si>
    <t>PA66</t>
  </si>
  <si>
    <t>JORGE PINTO</t>
  </si>
  <si>
    <t xml:space="preserve">045-442-1818409  </t>
  </si>
  <si>
    <t>jorge.pinto@radicigroup.com</t>
  </si>
  <si>
    <t>Akulon K224-PG8</t>
  </si>
  <si>
    <t>PA6-40%GF</t>
  </si>
  <si>
    <t>DSM Engineering</t>
  </si>
  <si>
    <t>Daniel Garcia</t>
  </si>
  <si>
    <t xml:space="preserve">+52 668  817 0677 </t>
  </si>
  <si>
    <t>Daniel.Garcia@DSM.COM</t>
  </si>
  <si>
    <t>Akulon J-3/15 BK9384 55B</t>
  </si>
  <si>
    <t>DSM / CHANNEL PRIME</t>
  </si>
  <si>
    <t>EA</t>
  </si>
  <si>
    <t>LEXAN 143R 3A029X UV LONITE</t>
  </si>
  <si>
    <t>VERSALLOY XL 9070X-9 (BLACK)</t>
  </si>
  <si>
    <t>STARPRENE 350</t>
  </si>
  <si>
    <t>STANLEY BLACK &amp; DECKER</t>
  </si>
  <si>
    <t>STARPRENE 360 BLACK</t>
  </si>
  <si>
    <t>SUNSTAR</t>
  </si>
  <si>
    <t>ECHO CHEN</t>
  </si>
  <si>
    <t>86-755-8463-8000</t>
  </si>
  <si>
    <t>echochen@sunstar.cn</t>
  </si>
  <si>
    <t>PAINT</t>
  </si>
  <si>
    <t>NW79-1078</t>
  </si>
  <si>
    <t>MUSASHI</t>
  </si>
  <si>
    <t>GP79-1719</t>
  </si>
  <si>
    <t>LP79-13146 BLACK INK</t>
  </si>
  <si>
    <t>UNP79-15633</t>
  </si>
  <si>
    <t>SILVER PAINT P79-K30651</t>
  </si>
  <si>
    <t>SILVER PAINT GP79-K30650</t>
  </si>
  <si>
    <t>SILVER PAINT P79-K30649</t>
  </si>
  <si>
    <t>BLACK PAINT L-3X1  2LL9505031</t>
  </si>
  <si>
    <t>AKZONOBEL</t>
  </si>
  <si>
    <t>30 GALL</t>
  </si>
  <si>
    <t>JOEL VIVIEROS</t>
  </si>
  <si>
    <t xml:space="preserve">52 81 13 65 30 00 </t>
  </si>
  <si>
    <t xml:space="preserve">joel.viveros@akzonobel.com </t>
  </si>
  <si>
    <t>SATIN NICKEL PAINT 318LE51168</t>
  </si>
  <si>
    <t>GM</t>
  </si>
  <si>
    <t>RED SPOT</t>
  </si>
  <si>
    <t>10 GALL</t>
  </si>
  <si>
    <t>JULIA THURMAN</t>
  </si>
  <si>
    <t xml:space="preserve">812.428.9186   </t>
  </si>
  <si>
    <t>JEThurman@redspot.com</t>
  </si>
  <si>
    <t>CLEAR</t>
  </si>
  <si>
    <t>PAINT CLEAR COAT 318LE51637</t>
  </si>
  <si>
    <t>DARK GRAY METALLIC PAINT 318LE102A</t>
  </si>
  <si>
    <t>PAINT CLEAR COAT 318LE103</t>
  </si>
  <si>
    <t>BASE</t>
  </si>
  <si>
    <t>BASE COAT SATIN NICKEL (318LE163A)</t>
  </si>
  <si>
    <t>PAINT CLEAR COAT FOR 318LE163 (318LE166)</t>
  </si>
  <si>
    <t>Refined Silver WA50LU-527Q – 2K Urethane (MC 99MP-N)</t>
  </si>
  <si>
    <t>DHAKE</t>
  </si>
  <si>
    <t>Graphite Silver WA50LU-558Q – 2K Urethane (MC 100MP-N)</t>
  </si>
  <si>
    <t>Catalyst (90% Solids) (C-17)</t>
  </si>
  <si>
    <t>THINNER</t>
  </si>
  <si>
    <t>Thinner (DB # 19)</t>
  </si>
  <si>
    <t>BLACK LOW GLOSS URETHANE PAINT 318LE50001</t>
  </si>
  <si>
    <t>39 KG</t>
  </si>
  <si>
    <t>TRANSLUCENT WHITE ABRAS, RESIST URETH PAINT 318LE50311BB</t>
  </si>
  <si>
    <t>318LE20760 - BLACK LOW GLOSS ABRASION RESISTANT</t>
  </si>
  <si>
    <t>Eaton - Rockers</t>
  </si>
  <si>
    <t>KG</t>
  </si>
  <si>
    <t>10 gal</t>
  </si>
  <si>
    <t>Carrillo,Patricia</t>
  </si>
  <si>
    <t>(812) 428-9100</t>
  </si>
  <si>
    <t>PCarrillo@redspot.com</t>
  </si>
  <si>
    <t>318LE51254 - WHITE TRANSLUCENT (Daylight White)</t>
  </si>
  <si>
    <t>SF-2000 WK PUG043407 BLACK</t>
  </si>
  <si>
    <t>NOROO BEE</t>
  </si>
  <si>
    <t>16.2KG</t>
  </si>
  <si>
    <t>PPG OMNI MTK COLOR SILVER MET.(926000)</t>
  </si>
  <si>
    <t>SUMINISTROS INDUSTRIALES SAMO</t>
  </si>
  <si>
    <t>LT</t>
  </si>
  <si>
    <t>SAUL MONTES</t>
  </si>
  <si>
    <t>smontes@sisamo.com.mx</t>
  </si>
  <si>
    <t>PAINT 05011308 - Gray</t>
  </si>
  <si>
    <t>GIS</t>
  </si>
  <si>
    <t>GAL</t>
  </si>
  <si>
    <t>318LE375 EBONY BLACK BASECOAT UAWAWHA</t>
  </si>
  <si>
    <t>318LE1120 SILVER MOUNTAIN</t>
  </si>
  <si>
    <t>ACRYTHANE 1000-E  BQM1</t>
  </si>
  <si>
    <t>Nissan (Zanini) - Exterior</t>
  </si>
  <si>
    <t>DAI NIPPON</t>
  </si>
  <si>
    <t>4 WEEKS</t>
  </si>
  <si>
    <t>18 Kg (39.6 lbs)</t>
  </si>
  <si>
    <t>1 Can (18 Kg)</t>
  </si>
  <si>
    <t>Judith Sanchez Reyna</t>
  </si>
  <si>
    <t>(465) 967 24 54 al 57</t>
  </si>
  <si>
    <t xml:space="preserve"> jsanchez@dainippon.com.mx</t>
  </si>
  <si>
    <t>ACRYTHANE 1000-E BA20</t>
  </si>
  <si>
    <t>08 ACRYTHANE 1000-E BB17</t>
  </si>
  <si>
    <t>ACRYTHANE 1000-E BK23</t>
  </si>
  <si>
    <t>ACRYTHANE 1000-E BKH3</t>
  </si>
  <si>
    <t>ACRYTHANE 1000-E BK36</t>
  </si>
  <si>
    <t>ACRYTHANE-E 1000 RBK</t>
  </si>
  <si>
    <t>ACRYTHANE 1250 CLEAR</t>
  </si>
  <si>
    <t>ACRYTHANE 95D BLACK (Chrome Plated)</t>
  </si>
  <si>
    <t>4800LE47B - JET BLACK 600R</t>
  </si>
  <si>
    <t>303LE88 - MIDDLE COAT PAINT</t>
  </si>
  <si>
    <t>UV720</t>
  </si>
  <si>
    <t>UV7200</t>
  </si>
  <si>
    <t>UV CLEAR LOW GLOSS XPC70030</t>
  </si>
  <si>
    <t>PPG</t>
  </si>
  <si>
    <t>UV CLEAR LOW GLOSS XPC70031</t>
  </si>
  <si>
    <t>CLEAR COAT N78100</t>
  </si>
  <si>
    <t xml:space="preserve">COSMO LOGO BADGE NOKIA BLACK LITE TOP COAT </t>
  </si>
  <si>
    <t>COSMO LOGO BADGE NOKIA BLAK LITE BASE COAT</t>
  </si>
  <si>
    <t>COSMO LOGO BADGE NOKIA BLACK LITE PAD PRINT</t>
  </si>
  <si>
    <t>COSMO XPRESS MUSIC BLACK TOP COAT</t>
  </si>
  <si>
    <t>CSOMO XPRESS MUSIC BLACK PAD PRINT</t>
  </si>
  <si>
    <t>COSMO BASE COAT BLACK</t>
  </si>
  <si>
    <t>PIGMENT</t>
  </si>
  <si>
    <t>PIGMENT HIPET 9200 HV FOR HONDA</t>
  </si>
  <si>
    <t>COSMO LOGO BADGE NOKIA VIVO WHITE</t>
  </si>
  <si>
    <t>SCARLETT NUMERIC KEY BASE COATED  *** OBSOLETE ***</t>
  </si>
  <si>
    <t>COSMO LOGO BADGE VIVO WHITE TOP COAT</t>
  </si>
  <si>
    <t>NUMERIC KEY LASER * O´HARA *** OBSOLETE ***</t>
  </si>
  <si>
    <t>SCARLETT NUMERIC KEY LASER ECHING</t>
  </si>
  <si>
    <t>COSMO LOGO BADGE CLARO WHITE SMALL PAD PRINT</t>
  </si>
  <si>
    <t>COSMO LOGO BADGE CLARO WHITE SMALL TOP COAT</t>
  </si>
  <si>
    <t>NUMERIC KEY TOP COAT *O´HARA*</t>
  </si>
  <si>
    <t>SCARLET NUMERIC KEY TOP COAT</t>
  </si>
  <si>
    <t xml:space="preserve">SILICA OK-412  </t>
  </si>
  <si>
    <t xml:space="preserve">COSMO XPRESS BLACK BASE COAT </t>
  </si>
  <si>
    <t>CLEAR COAT TM159-0015</t>
  </si>
  <si>
    <t>CLEAR COAT TM167-0030</t>
  </si>
  <si>
    <t>CLEAR COAT TM173-0001</t>
  </si>
  <si>
    <t>CLEAR COAT TM167-0020</t>
  </si>
  <si>
    <t>BECKERS</t>
  </si>
  <si>
    <t xml:space="preserve">Gall </t>
  </si>
  <si>
    <t>RISDOM</t>
  </si>
  <si>
    <t>CLEAR COAT TM167-0091P</t>
  </si>
  <si>
    <t>Gall</t>
  </si>
  <si>
    <t>PY BLUE INK REFLEX 520</t>
  </si>
  <si>
    <t>SEMI MATE CLEAR COAT D8117</t>
  </si>
  <si>
    <t>TP 218/E50 INK [ COATING ]</t>
  </si>
  <si>
    <t xml:space="preserve">TP 218/B50 INK [ TINTA AZUL ] </t>
  </si>
  <si>
    <t>INK-B N50 NT BLACK C-MIX 2000 1302N50</t>
  </si>
  <si>
    <t>TRANS TECH</t>
  </si>
  <si>
    <t>ARMANDO PALOMO</t>
  </si>
  <si>
    <t>630.752.4000</t>
  </si>
  <si>
    <t>apalomo@itwtranstech.com</t>
  </si>
  <si>
    <t>INK-B Y50 NT GOLDEN YELLOW C-MIX 2000 1302Y50</t>
  </si>
  <si>
    <t>TP 218/M50 INK [ TINTA MAGENTA ]</t>
  </si>
  <si>
    <t>TP 218/O50 INK [ TINTA ORANGE ]</t>
  </si>
  <si>
    <t>TP 218/Y30 INK [ TINTA PRIMEROSE ]</t>
  </si>
  <si>
    <t>B&amp;D, Shinetsu</t>
  </si>
  <si>
    <t>TP218/R50 INK [ TINTA ROJA ]</t>
  </si>
  <si>
    <t>INK P-9nt-184-tp RED R1699244</t>
  </si>
  <si>
    <t>TP 218/G50 INK [ TINTA VERDE ]</t>
  </si>
  <si>
    <t>TP 218/V50 INK [ TINTA VIOLET ]</t>
  </si>
  <si>
    <t>TP 218/V50 INK [ TINTA WHITE]</t>
  </si>
  <si>
    <t xml:space="preserve">BLACK INK TPR 426  </t>
  </si>
  <si>
    <t>SILVER INK TPR 191</t>
  </si>
  <si>
    <t>SILVER PAINT GP79-1720</t>
  </si>
  <si>
    <t>INK-P PMS 3245U R1694278 REVAIR GREEN</t>
  </si>
  <si>
    <t>CAV 510-AMERICAN RED</t>
  </si>
  <si>
    <t>FC 737 PAN 285 C</t>
  </si>
  <si>
    <t>CAV 710-BLACK</t>
  </si>
  <si>
    <t>CAV 440-BLUE</t>
  </si>
  <si>
    <t>CAV 320-FAST GREEN</t>
  </si>
  <si>
    <t>CAV 500-FIRE RED</t>
  </si>
  <si>
    <t>CAV 350-GREEN</t>
  </si>
  <si>
    <t>CAV NC210-LEMON YELLOW</t>
  </si>
  <si>
    <t>CAV 580-MAGENTA</t>
  </si>
  <si>
    <t>CAV 800-MEDIUM CLEAR</t>
  </si>
  <si>
    <t>CAV NC220-MEDIUM YELLOW</t>
  </si>
  <si>
    <t>CAV NC200-PRIMROSE YELLOW</t>
  </si>
  <si>
    <t>FC 735 PAN 200 C</t>
  </si>
  <si>
    <t>CAV 550-RUBY RED</t>
  </si>
  <si>
    <t>CAV 460-SKY BLUE</t>
  </si>
  <si>
    <t>CAV 400-ULTRA BLUE</t>
  </si>
  <si>
    <t>CAV NC265-ULTRA ORANGE</t>
  </si>
  <si>
    <t>FC 741 PAN 356 C</t>
  </si>
  <si>
    <t>CAV 495-VIOLET</t>
  </si>
  <si>
    <t>BLACK PAINT LP79-K13146</t>
  </si>
  <si>
    <t>WHITE PAINT P79-K30717</t>
  </si>
  <si>
    <t>CAV 120-WHITE</t>
  </si>
  <si>
    <t xml:space="preserve">DARK BLUE INK 2 SG740 </t>
  </si>
  <si>
    <t>DARK BLUE INK 3 SG740</t>
  </si>
  <si>
    <t>BLUE PAINT P79-K30718</t>
  </si>
  <si>
    <t>PY WHITE INK 70</t>
  </si>
  <si>
    <t>BLUE INK REFLEX PY 520</t>
  </si>
  <si>
    <t xml:space="preserve">PY RED INK 30  </t>
  </si>
  <si>
    <t>PY YELLOW INK 21</t>
  </si>
  <si>
    <t>PIGMENT NH-190L FOR HONDA</t>
  </si>
  <si>
    <t>PY BLUE INK 461</t>
  </si>
  <si>
    <t>PY BLUE INK 371855</t>
  </si>
  <si>
    <t xml:space="preserve">TPR ROJO INK CCM-N342  </t>
  </si>
  <si>
    <t>PY GRIS 10C</t>
  </si>
  <si>
    <t>INK B-2MTNT-335-TP VP-S7-07W</t>
  </si>
  <si>
    <t>INK 434 BROWN ON BLACK SUB (R1699472)</t>
  </si>
  <si>
    <t>CAN</t>
  </si>
  <si>
    <t>INK R 1699533 COSTUM INK  B-VW  WHITE</t>
  </si>
  <si>
    <t>T3181365LH LOW GLOSS WHITE ABRASION RESISTANT PAINT</t>
  </si>
  <si>
    <t>ALEXIT LASER HAPTIC COATING 402 LN TOP COAT</t>
  </si>
  <si>
    <t>MANKIEWICZ</t>
  </si>
  <si>
    <t>T3030000LH, MB CLEAR URETHANE PAINT</t>
  </si>
  <si>
    <t>COSTUM COLOR INK-B B-B-1432 YELLOW (Dewalt)  (R1699243)</t>
  </si>
  <si>
    <t>COOL GRAY 2U VERTEX STANDARD (MIX)</t>
  </si>
  <si>
    <t>comment</t>
  </si>
  <si>
    <t>FLATTENING AGENT M148</t>
  </si>
  <si>
    <t>SANTOPRENE EBONY  167A ELP-26606  221-55</t>
  </si>
  <si>
    <t>221-55</t>
  </si>
  <si>
    <t>LANCER</t>
  </si>
  <si>
    <t>PIGMENT LIGHT CASHMERE 830K ELC-46018  0332</t>
  </si>
  <si>
    <t>PIGMENT LIGHT TITANIUM  311N ELC-28000  0332</t>
  </si>
  <si>
    <t>PIGMENT VERY LIGHT CASHMERE 314N ELC-46014  0332</t>
  </si>
  <si>
    <t>PIGMENT COCOA 413P ELC-46112 0332</t>
  </si>
  <si>
    <t>PIGMENT EBONY 30-919762 (SB 891)</t>
  </si>
  <si>
    <t>SB-891</t>
  </si>
  <si>
    <t>UCC</t>
  </si>
  <si>
    <t>NELLY ROFRIGUEZ</t>
  </si>
  <si>
    <t>81 8262-5208</t>
  </si>
  <si>
    <t>NRodriguez@uniformcolor.com</t>
  </si>
  <si>
    <t>PIGMENT LIGHT CASHMERE 30-816091 (SB 891)</t>
  </si>
  <si>
    <t>PIGMENT LIGHT TITANIUM 30-919763 (SB 891)</t>
  </si>
  <si>
    <t>PIGMENT VERY LIGHT CASHMERE 30-816092 (SB 891)</t>
  </si>
  <si>
    <t>PIGMENT COCOA 30-919764 (SB891)</t>
  </si>
  <si>
    <t>PIGMENT RED RAL 3020</t>
  </si>
  <si>
    <t>PIGMENT MB WHITE PBA LL8844 GP (A.SCHULMAN)</t>
  </si>
  <si>
    <t>PIGMENT UN0055P* MB DEEP BLACK (CLARIANT)</t>
  </si>
  <si>
    <t>CLARIANT</t>
  </si>
  <si>
    <t>MARK DAWSON</t>
  </si>
  <si>
    <t xml:space="preserve">508 829 3931 </t>
  </si>
  <si>
    <t>mark.dawson@clariant.com</t>
  </si>
  <si>
    <t>PIGMENT EBONY 167A (95-91497)</t>
  </si>
  <si>
    <t>8221-55</t>
  </si>
  <si>
    <t>PIGMENT VY LT CASHMERE 314N AES 8221-55</t>
  </si>
  <si>
    <t xml:space="preserve">PIGMENT EBONY 167A 50-93277  </t>
  </si>
  <si>
    <t>SER. PART</t>
  </si>
  <si>
    <t>PIGMENT LIGHT CASHMERE 830K 50-83762</t>
  </si>
  <si>
    <t>PIGMENT YELLOW NC13620015</t>
  </si>
  <si>
    <t>PIGMENT MED NEUTRAL 50-83763</t>
  </si>
  <si>
    <t>PIGMENT MD DK PEWTR 110D</t>
  </si>
  <si>
    <t>PIGMENT 30-817450 LT FROST BEIGE COLOR CONCENTRATE</t>
  </si>
  <si>
    <t>PIGMENT RED PP/PE 32-601</t>
  </si>
  <si>
    <t>PIGMENT CNY13652 BLK</t>
  </si>
  <si>
    <t>ELP-27643  8221-55M300 167A EBONY</t>
  </si>
  <si>
    <t>ALETRA</t>
  </si>
  <si>
    <t>BARB EARNEST</t>
  </si>
  <si>
    <t>(330)794-9922</t>
  </si>
  <si>
    <t>bearnest@lancerdispersions.com</t>
  </si>
  <si>
    <t>PIGMENT LIGHT CASHMERE 830K (95-8750) AES 8221-55</t>
  </si>
  <si>
    <t>PIGMENT VERY LIGHT CASHMERE 314N (95-8751) AES 8221-55</t>
  </si>
  <si>
    <t>PIGMENT LIGHT TITANIUM 311N (95-91498) AES 8221-55</t>
  </si>
  <si>
    <t>PIGMENT COCOA 413P (95-91499) AED 8221-55</t>
  </si>
  <si>
    <t>PIGMENT DK2 LT PEBBLE BEIGE</t>
  </si>
  <si>
    <t>SCHULMAN</t>
  </si>
  <si>
    <t>PIGMENT XDV DK SLATE</t>
  </si>
  <si>
    <t>TREXPRENE A55CI CHRYSLER DK2 LIGHT PEEBLE BEIGE</t>
  </si>
  <si>
    <t>COMTREX</t>
  </si>
  <si>
    <t>TREXPRENE A55CI CHRYSLER XDV DARK SLATE</t>
  </si>
  <si>
    <t>PIGMENT CC801W-JA6A BLACK</t>
  </si>
  <si>
    <t>PIGMENT 10-67796 JESTER RED 19-1862</t>
  </si>
  <si>
    <t>PIGMENT NC13620021 FOR PC LEXAN 3412R(DEEP YELLOW)</t>
  </si>
  <si>
    <t>PIGMENT NC13620015 FOR PC LEXAN 3413R(DEEP YELLOW)</t>
  </si>
  <si>
    <t>RENOL CNY14179(9779) MED GREY</t>
  </si>
  <si>
    <t>RENOL CNY 14096(9777)MD BEIGE</t>
  </si>
  <si>
    <t>RENOL 104E DK REGAL BLUE 00038943</t>
  </si>
  <si>
    <t>TRW SAFETY</t>
  </si>
  <si>
    <t>RENOL 9780  DK GREY 00075427</t>
  </si>
  <si>
    <t>PA133GY-1081 7701 GRAPHITE</t>
  </si>
  <si>
    <t>RENOL-GREEN SB62820067-ZN</t>
  </si>
  <si>
    <t>TREXPRENE A55CI DX-9 BLACK</t>
  </si>
  <si>
    <t>WENDY DEFILIPI</t>
  </si>
  <si>
    <t>TREXPRENE A55CI HL-1 FROST BEIGE</t>
  </si>
  <si>
    <t>NRR0002816 N/C BLACK COLOR CONCENTRATE DX-09</t>
  </si>
  <si>
    <t>Nelly Rodriguez</t>
  </si>
  <si>
    <t>PIGMENT 36-94510 (Jet Black 600R) -- Master WPPGLG600R</t>
  </si>
  <si>
    <t>PIGMENT 36-94511 (Very Dark Pewter) -- Master WPPGLG642H</t>
  </si>
  <si>
    <t>PIGMENT 10-707 - WHITE ABS</t>
  </si>
  <si>
    <t>AFX P/N: 10-707</t>
  </si>
  <si>
    <t>AFX (UCC)</t>
  </si>
  <si>
    <t>BLACK PE, PP, NYLON (COLOR CONCENTRATE)</t>
  </si>
  <si>
    <t>AFX P/N: 32907</t>
  </si>
  <si>
    <t>NAT FOAMING AGENT P2635-08</t>
  </si>
  <si>
    <t>PIGMENT UV INTENSE ORANGE (CC00002087WE) -- 4%</t>
  </si>
  <si>
    <t>POLYONE COLORS</t>
  </si>
  <si>
    <t>909-803-2530</t>
  </si>
  <si>
    <t>PIGMENT THINFORD GREEN (CC00005891WE) -- 5%</t>
  </si>
  <si>
    <t>PIGMENT 6300 BLACK (CC10124308WE)</t>
  </si>
  <si>
    <t>PIGMENT IPG RED ES068 (CC10090973WE) - 4%</t>
  </si>
  <si>
    <t>PIGMENT INTENSE ORANGE (CC10061286WE) - 4%</t>
  </si>
  <si>
    <t>PIGMENT INTENSE ORANGE - ABS (CC10058490WE)</t>
  </si>
  <si>
    <t>PIGMENT  X26272C  WHITE, BLUE PE</t>
  </si>
  <si>
    <t>Eva Morin</t>
  </si>
  <si>
    <t>336-629-9184</t>
  </si>
  <si>
    <t>emorin@plasticscolor.com</t>
  </si>
  <si>
    <t>PIGMENT BLUE PEARL ANC02663WW</t>
  </si>
  <si>
    <t>PENN COLOR</t>
  </si>
  <si>
    <t xml:space="preserve"> Stephen Osmian</t>
  </si>
  <si>
    <t>610-202-9502</t>
  </si>
  <si>
    <t>sosmian@penncolor.com</t>
  </si>
  <si>
    <t>PAD DURATHON S410 60-65 WHT ALUM M6 TAP (S35410)</t>
  </si>
  <si>
    <t>PIGMENT NEOSTYREN GREEN 2378</t>
  </si>
  <si>
    <t>PIGMENT CNY12056 NY 050.00:1 REEDLITE ORANGE</t>
  </si>
  <si>
    <t>PA</t>
  </si>
  <si>
    <t>PIGMENT EBONY WPPGLG167A</t>
  </si>
  <si>
    <t>JUAN RODIRGUEZ</t>
  </si>
  <si>
    <t>JRodriguez@uniformcolor.com</t>
  </si>
  <si>
    <t>PIGMENT 7938948C RED</t>
  </si>
  <si>
    <t>PIGMENT PP94766034 BLACK W/UV PP HOMO</t>
  </si>
  <si>
    <t>PIGMENT RENOL-GRIS AB72613052-ZT</t>
  </si>
  <si>
    <t>JUAN MANUEL MORENO</t>
  </si>
  <si>
    <t>81 82 52 22 55</t>
  </si>
  <si>
    <t>juanmanuel.moreno@clariant.com</t>
  </si>
  <si>
    <t>PIGMENT RENOL-ROJO MO32613009-ZT</t>
  </si>
  <si>
    <t>PIGMENT RENOL-GRIS MO72613028-ZT</t>
  </si>
  <si>
    <t xml:space="preserve">PIGMENT RENOL-GRIS MO72613031-ZT </t>
  </si>
  <si>
    <t>PIGMENT POM-M90-07-K30680</t>
  </si>
  <si>
    <t>PIGMENT 80-6634 RED</t>
  </si>
  <si>
    <t xml:space="preserve">PIGMENT 10-903 BLACK </t>
  </si>
  <si>
    <t>DILUENT (#013)</t>
  </si>
  <si>
    <t xml:space="preserve">DILUENT (#305) </t>
  </si>
  <si>
    <t>DILUENT (#306)</t>
  </si>
  <si>
    <t>THINNER 27975</t>
  </si>
  <si>
    <t>THINNER 27970</t>
  </si>
  <si>
    <t>THINNER 27095</t>
  </si>
  <si>
    <t>THINNER "A"</t>
  </si>
  <si>
    <t xml:space="preserve">DILUYENT TPV </t>
  </si>
  <si>
    <t>THINNER K625</t>
  </si>
  <si>
    <t>THINNER K237</t>
  </si>
  <si>
    <t>THINNER K235</t>
  </si>
  <si>
    <t>THINNER 29625</t>
  </si>
  <si>
    <t>THINNER 27993</t>
  </si>
  <si>
    <t>RETARDANTE 196</t>
  </si>
  <si>
    <t>DYSSA</t>
  </si>
  <si>
    <t>THINNER NT 0251</t>
  </si>
  <si>
    <t>THINNER TT 135</t>
  </si>
  <si>
    <t>THINNER ZT105</t>
  </si>
  <si>
    <t>THINNER VD (1201012)</t>
  </si>
  <si>
    <t>GALLON</t>
  </si>
  <si>
    <t>THINNER BGA (1205050)</t>
  </si>
  <si>
    <t>THINNER VC009</t>
  </si>
  <si>
    <t>THINNER SV4380</t>
  </si>
  <si>
    <t>HARDENNER</t>
  </si>
  <si>
    <t>LE9425B URETHANE HARDNER</t>
  </si>
  <si>
    <t>COLOR INK PMS 434 INK TYPE B</t>
  </si>
  <si>
    <t>VALENTIN</t>
  </si>
  <si>
    <t>HARDENER BH 120301</t>
  </si>
  <si>
    <t>THINNER VD 1201012</t>
  </si>
  <si>
    <t>KGS</t>
  </si>
  <si>
    <t>GALL</t>
  </si>
  <si>
    <t>ACRYTHANE E-9600 THINNER</t>
  </si>
  <si>
    <t>16 Kg (35.2 lbs)</t>
  </si>
  <si>
    <t>1 Can (16 Kg)</t>
  </si>
  <si>
    <t>ACRYTHANE E-9700 THINNER</t>
  </si>
  <si>
    <t>ACRYTHANE HARDNER - Dai Nippon Base Coat</t>
  </si>
  <si>
    <t>ACRYTHANE 1250 HARDNER - Dai Nippon Clear Coat</t>
  </si>
  <si>
    <t>THINNER (REDUCTOR 3614)</t>
  </si>
  <si>
    <t>PRIMER (PRIMARIO 47S)</t>
  </si>
  <si>
    <t>11T02403K07 (PURGING THINNER)</t>
  </si>
  <si>
    <t>T-911 THINNER UN1263</t>
  </si>
  <si>
    <t>THINNER MR185</t>
  </si>
  <si>
    <t>THINNER DT885</t>
  </si>
  <si>
    <t>SV4380 THINNER</t>
  </si>
  <si>
    <t>ALEXIT THINNER 901-86</t>
  </si>
  <si>
    <t>ML</t>
  </si>
  <si>
    <t>200ML</t>
  </si>
  <si>
    <t xml:space="preserve">HARDENER JA95OH </t>
  </si>
  <si>
    <t>HARDENNER H330</t>
  </si>
  <si>
    <t>HARDENNER H-610</t>
  </si>
  <si>
    <t>HARDNER (GLH)</t>
  </si>
  <si>
    <t>HARDENNER H-250</t>
  </si>
  <si>
    <t>HARDENNER H-760</t>
  </si>
  <si>
    <t>HARDENNER H-600</t>
  </si>
  <si>
    <t>HARDENNER H-300-50.</t>
  </si>
  <si>
    <t>HARDENER TV130</t>
  </si>
  <si>
    <t>HARDENNER TV140</t>
  </si>
  <si>
    <t>LIBAI SILVER NG151-75620</t>
  </si>
  <si>
    <t>LIBAI SILVER NG252-88028</t>
  </si>
  <si>
    <t>PRIMER TF118-0001</t>
  </si>
  <si>
    <t>HARDENNER 2K 2HA2029000</t>
  </si>
  <si>
    <t>10 gall</t>
  </si>
  <si>
    <t>DB-HARDENER (BTX-FREE) XUB004187</t>
  </si>
  <si>
    <t>HARDENER FAST MH167</t>
  </si>
  <si>
    <t>ALEXIT HARDENER 405-4P</t>
  </si>
  <si>
    <t>HARDENER D8239</t>
  </si>
  <si>
    <t>REDUCER</t>
  </si>
  <si>
    <t>379S21654CCA REDUCED HIGH GLOSS 2K POLY</t>
  </si>
  <si>
    <t>SILICONE KBE-1003</t>
  </si>
  <si>
    <t>ACETONA 01</t>
  </si>
  <si>
    <t>BADAFI</t>
  </si>
  <si>
    <t>PORR</t>
  </si>
  <si>
    <t>PRIMER</t>
  </si>
  <si>
    <t xml:space="preserve">DR-253(BH2) D/G PTIMER (MEX, BTX-FREE) PUG043817 </t>
  </si>
  <si>
    <t>ALEXIT GRUNDIERUNG 463-1H 9201</t>
  </si>
  <si>
    <t>INSERT</t>
  </si>
  <si>
    <t xml:space="preserve">BEARING 696949/R8LLU V Jr C3 V2 L19D </t>
  </si>
  <si>
    <t>CW BEARING</t>
  </si>
  <si>
    <t>LISA ANDREWS</t>
  </si>
  <si>
    <t>(704) 394-1324</t>
  </si>
  <si>
    <t>lisa.andrews@cwbearing.com</t>
  </si>
  <si>
    <t>LABEL</t>
  </si>
  <si>
    <t>PRINTING LABEL (391899-00)</t>
  </si>
  <si>
    <t>ITW GRAPHICS</t>
  </si>
  <si>
    <t>PRINTING LABEL (398031-00) 4.5'' X 1.9'' SPEC 16306</t>
  </si>
  <si>
    <t xml:space="preserve">PRINTING LABEL (398065-00) 3'' X 1.4''   SPEC 16307 </t>
  </si>
  <si>
    <t>LABEL (090102) B&amp;D PN:618335-00 COLLAR ADJUSTING</t>
  </si>
  <si>
    <t>KURZ</t>
  </si>
  <si>
    <t>DONNELL DIETRICH</t>
  </si>
  <si>
    <t>(704) 927-3775</t>
  </si>
  <si>
    <t>donnell.dietrich@kurzusa.com</t>
  </si>
  <si>
    <t>387374-00 label collar</t>
  </si>
  <si>
    <t>SI-CAL</t>
  </si>
  <si>
    <t>PATRICIA PIERRO</t>
  </si>
  <si>
    <t>508 898 1800</t>
  </si>
  <si>
    <t>Pat@si-cal.com</t>
  </si>
  <si>
    <t>HEAT TRANSFER LABEL FOR 618193 (SA20105)</t>
  </si>
  <si>
    <t>COMPONENT</t>
  </si>
  <si>
    <t xml:space="preserve"> 93-XX-103624-2C _(Screw stud, brs nkl stud with black finish, #8x3/8 self tapping screw steel)</t>
  </si>
  <si>
    <t>SCOVILL FASTENERS</t>
  </si>
  <si>
    <t>5 MIL</t>
  </si>
  <si>
    <t>LAPKING</t>
  </si>
  <si>
    <t>SCREW PPH SMS 4x 1/4 ZA (1131202)</t>
  </si>
  <si>
    <t>FASTENAL</t>
  </si>
  <si>
    <t>RIVET .095 X 13/16 X 3/16 (12117-00369)</t>
  </si>
  <si>
    <t>RIVER SEMITUBULAR 7/16 LENGTH  (5057486)</t>
  </si>
  <si>
    <t>SCREW MTD 8X3/4</t>
  </si>
  <si>
    <t>D-Tach</t>
  </si>
  <si>
    <t>PPH MS M3-0.5X10 Z    (91189)</t>
  </si>
  <si>
    <t>MASTER CARRIER</t>
  </si>
  <si>
    <t>NYLOCK NUT M3-0.5 Z  (40143)</t>
  </si>
  <si>
    <t>METAL INSERT 623784-00</t>
  </si>
  <si>
    <t>BDK</t>
  </si>
  <si>
    <t>BLACK DECKER  HAMPSTEAD</t>
  </si>
  <si>
    <t>KATHY MURRAY</t>
  </si>
  <si>
    <t>410-239-5122</t>
  </si>
  <si>
    <t>kathy.murray@sbdinc.com</t>
  </si>
  <si>
    <t>PENN ENGINEERING</t>
  </si>
  <si>
    <t>PPHMS M4-0.7X12Z / 5064450 (91202)</t>
  </si>
  <si>
    <t>645139-00 DETENT SPRING SHIFTER</t>
  </si>
  <si>
    <t>VICKY HUANG</t>
  </si>
  <si>
    <t>886-4-22715199# 107</t>
  </si>
  <si>
    <t>sales01@kingyao.com</t>
  </si>
  <si>
    <t>LAIRD CONTACT STRIPS (METAL INSERTS)</t>
  </si>
  <si>
    <t>CARRIER ATTACH CLIP</t>
  </si>
  <si>
    <t>CLUTH PIN (653437-00)</t>
  </si>
  <si>
    <t>SHIFTER DETENT SPRING N046212-C2D1</t>
  </si>
  <si>
    <t>PLASTIC ARROWHEAD PILLAR CLIP (TERMAX p/n 58001)</t>
  </si>
  <si>
    <t>TERMAX</t>
  </si>
  <si>
    <t xml:space="preserve">S&amp;T </t>
  </si>
  <si>
    <t>JESSICA GARIBO</t>
  </si>
  <si>
    <t xml:space="preserve">847-519-1500 </t>
  </si>
  <si>
    <t xml:space="preserve">JGaribo@termax.com </t>
  </si>
  <si>
    <t>U-NUT MT M4.2 2.0-3.0 PNL PT MAGNI/SLVR</t>
  </si>
  <si>
    <t>EFC International</t>
  </si>
  <si>
    <t>Marnee David</t>
  </si>
  <si>
    <t>314-439-4341</t>
  </si>
  <si>
    <t>mdavid@efc-intl.com</t>
  </si>
  <si>
    <t xml:space="preserve">582832-00 SHAFT, PENDULUM </t>
  </si>
  <si>
    <t>EAST WEST COMPONENTS, INC.</t>
  </si>
  <si>
    <t>STEVE LAVECCHIA</t>
  </si>
  <si>
    <t xml:space="preserve">  215-616-4414</t>
  </si>
  <si>
    <t>slavecchia@ewcomponents.com</t>
  </si>
  <si>
    <t xml:space="preserve">582832-01 SHAFT, PENDULUM </t>
  </si>
  <si>
    <t>TAPERED HEAT-INSERT IUB-M2.5-1</t>
  </si>
  <si>
    <t>D.B. ROBERTS COMPANY</t>
  </si>
  <si>
    <t>MARGARITA PEÑA</t>
  </si>
  <si>
    <t>01152-33-3133-4365</t>
  </si>
  <si>
    <t>mvazquez@dbroberts.com</t>
  </si>
  <si>
    <t xml:space="preserve">RKE 4 KEY HONDA </t>
  </si>
  <si>
    <t>USA</t>
  </si>
  <si>
    <t xml:space="preserve">RKE 3 KEY HONDA </t>
  </si>
  <si>
    <t>MEX</t>
  </si>
  <si>
    <t>SA Housing Powers B&amp;D RIGHT</t>
  </si>
  <si>
    <t>Black &amp; Decker</t>
  </si>
  <si>
    <t>SA Housing Powers B&amp;D LEFT</t>
  </si>
  <si>
    <t>28255733 EVIC LH HOUSING 6 KEYS BLANK</t>
  </si>
  <si>
    <t>SAMOH</t>
  </si>
  <si>
    <t>28255735 ODO LH HOUSING 2 KEYS  BLANK</t>
  </si>
  <si>
    <t>HI-TECH COREA</t>
  </si>
  <si>
    <t>28255736 ODO LH HOUSING 4 BLANK</t>
  </si>
  <si>
    <t>28255732 CRUISE RH HOUSING 6 KEYS BLANK</t>
  </si>
  <si>
    <t>28255731 CRUISE RH HOUSING 4 KEYS  BLANK</t>
  </si>
  <si>
    <t>SA DUST CANISTER 41470</t>
  </si>
  <si>
    <t>POREX</t>
  </si>
  <si>
    <t>AURORA MCCOY</t>
  </si>
  <si>
    <t xml:space="preserve">(678) 479-1649 </t>
  </si>
  <si>
    <t>Aurora.McCoy@porex.com</t>
  </si>
  <si>
    <t>FORD RKE 03.959.258 MOLDED PANIC BUTTON.</t>
  </si>
  <si>
    <t>KOREA KEEPERS</t>
  </si>
  <si>
    <t xml:space="preserve">FORD RKE 03.959.257 MOLDED TRUNK BUTTON. </t>
  </si>
  <si>
    <t>FORD RKE 03.959.256 MOLDED UNLOCK BUTTON.</t>
  </si>
  <si>
    <t xml:space="preserve">FORD RKE 03.959.255 MOLDED LOCK BUTTON. </t>
  </si>
  <si>
    <t>O' RING # 386819-00</t>
  </si>
  <si>
    <t>FALCON SEAL &amp; SUPPLY</t>
  </si>
  <si>
    <t>28255734 EVIC LH HOUSING 4 KEYS BLANK</t>
  </si>
  <si>
    <t>RUBBER FIT</t>
  </si>
  <si>
    <t>1781344 MC Half Assembly from korea</t>
  </si>
  <si>
    <t>KOREA</t>
  </si>
  <si>
    <t>LEAD WIRE ASSEMBLY  13998104</t>
  </si>
  <si>
    <t>TRW ELECTRONICS</t>
  </si>
  <si>
    <t>GISELA TORRES</t>
  </si>
  <si>
    <t>9213400 EXT 4219</t>
  </si>
  <si>
    <t>5057473 RUNNER WHEEL LARGE</t>
  </si>
  <si>
    <t>MEGATECHWAY</t>
  </si>
  <si>
    <t>RICK SADLER</t>
  </si>
  <si>
    <t xml:space="preserve">440-725-7826 </t>
  </si>
  <si>
    <t>rsadler@megatechway.com</t>
  </si>
  <si>
    <t>LEAD WIRE ASSEMBLY 13117101</t>
  </si>
  <si>
    <t>LEAD WIRE ASSEMBLY 13119101</t>
  </si>
  <si>
    <t>1200</t>
  </si>
  <si>
    <t>LEAD WIRE ASSEMBLY 13120101</t>
  </si>
  <si>
    <t>SELF-ADHESIVE CABLE CLAMP</t>
  </si>
  <si>
    <t>DATA CORD</t>
  </si>
  <si>
    <t>12765187 WIRE LEAD ASSY-RD 416820BD46M</t>
  </si>
  <si>
    <t>KEY 32</t>
  </si>
  <si>
    <t>12765188 WIRE LEAD ASSY-YL  416820BD47M</t>
  </si>
  <si>
    <t>12765189 WIRE LEAD ASSY-BK  416820BD48M</t>
  </si>
  <si>
    <t>12765190 WIRE LEAD ASSY-5BU 416820BD49M</t>
  </si>
  <si>
    <t>12765191 WIRE LEAD ASSY-5BUYL1 416820BD50M</t>
  </si>
  <si>
    <t>12765192 WIRE LEAD ASSY-BK5GN1 416820BD51M</t>
  </si>
  <si>
    <t>FP-301 3/8" BK BULK SPOOL</t>
  </si>
  <si>
    <t>KEYLESS</t>
  </si>
  <si>
    <t>3MMM</t>
  </si>
  <si>
    <t>12765173 WIRE LEAD ASSY-RD 416084AC1M</t>
  </si>
  <si>
    <t>KEY 28</t>
  </si>
  <si>
    <t>12765174 WIRE LEAD ASSY-YL  416084AC2M</t>
  </si>
  <si>
    <t>12765175 WIRE LEAD ASSY-BK  416084AC3M</t>
  </si>
  <si>
    <t>12765176 WIRE LEAD ASSY-5BU 416084AC4M</t>
  </si>
  <si>
    <t>12765177 WIRE LEAD ASSY-5BUYL1 416084AC5M</t>
  </si>
  <si>
    <t>12765178 WIRE LEAD ASSY-BK5GN1 416084AC6M</t>
  </si>
  <si>
    <t>PAINT MASKING JIG</t>
  </si>
  <si>
    <t>RH PAINT MASKING JIG</t>
  </si>
  <si>
    <t xml:space="preserve">DUMMY KEY </t>
  </si>
  <si>
    <t>COVER PROTECTIVE 410129XXM</t>
  </si>
  <si>
    <t>KEYBUZZER</t>
  </si>
  <si>
    <t>METHODE</t>
  </si>
  <si>
    <t>GINA PARRISH</t>
  </si>
  <si>
    <t>(309)333-2934</t>
  </si>
  <si>
    <t>gina.parrish@methode.com</t>
  </si>
  <si>
    <t xml:space="preserve">INSERT 410125XXM </t>
  </si>
  <si>
    <t>410125XXM INSERT</t>
  </si>
  <si>
    <t>WIRE LEAD ASSY 415274XE3M</t>
  </si>
  <si>
    <t>WIRE LEAD ASSY-BKPK2 412587XXM</t>
  </si>
  <si>
    <t>WIRE LEAD ASSY-BKPK2 415988XB1M</t>
  </si>
  <si>
    <t>WIRE LEAD ASSY-BKPK2 412093XXM</t>
  </si>
  <si>
    <t>WIRE LEAD ASSY 415274XE2M</t>
  </si>
  <si>
    <t>12784102 WIRE LEAD ASSY-RD (412132XT29M)</t>
  </si>
  <si>
    <t>DISARM</t>
  </si>
  <si>
    <t>12784103 WIRE LEAD ASSY-BK (412132XT30M)</t>
  </si>
  <si>
    <t>12784104 WIRE LEAD ASSY-GN (412132XT31M)</t>
  </si>
  <si>
    <t>12784105 WIRE LEAD ASSY-RED (412132XU26M)</t>
  </si>
  <si>
    <t>12784106 WIRE LEAD ASSY-BK (412132XU27M)</t>
  </si>
  <si>
    <t>12784107 WIRE LEAD ASSY-GN (412132XU28M)</t>
  </si>
  <si>
    <t>12784108 WIRE LEAD ASSY-RD (412132XX10M)</t>
  </si>
  <si>
    <t>12784109 WIRE LEAD ASSY-BK (412132XX11M)</t>
  </si>
  <si>
    <t>12784110 WIRE LEAD ASSY-GN (412132XX12M)</t>
  </si>
  <si>
    <t>12784113 WIRE LEAD ASSY-RD (412132XX1M)</t>
  </si>
  <si>
    <t>12784114 WIRE LEAD ASSY-RD (412132XX21M)</t>
  </si>
  <si>
    <t>12948188  WIRE LEAD ASSY-GN (412132XX9M)</t>
  </si>
  <si>
    <t>12784115 WIRE LEAD ASSY-BK (412132XX1M)</t>
  </si>
  <si>
    <t>12784129 WIRE LEAD ASSY-BK (412267XX2M)</t>
  </si>
  <si>
    <t>12784116   WIRE LEAD ASSY-BK (412132XX2M)</t>
  </si>
  <si>
    <t>12784117  WIRE LEAD ASSY-GN (412132XX3M)</t>
  </si>
  <si>
    <t>12784125 WIRE LEAD ASSY-RD (412267XX13M)</t>
  </si>
  <si>
    <t>12948187  WIRE LEAD ASSY-BK (412132XX8M)</t>
  </si>
  <si>
    <t>12784119 WIRE LEAD ASSY-BK (412132XX5M)</t>
  </si>
  <si>
    <t>12784127 WIRE LEAD ASSY-GN (412267XX15M)</t>
  </si>
  <si>
    <t>12784128 WIRE LEAD ASSY-RD (412267XX1M)</t>
  </si>
  <si>
    <t>12784124  WIRE LEAD ASSY-GN (412267XX12M)</t>
  </si>
  <si>
    <t>12784115 WIRE LEAD ASSY-BK (412132XX22M)</t>
  </si>
  <si>
    <t>12784123 WIRE LEAD ASSY-BK (412267XX11M)</t>
  </si>
  <si>
    <t>12784126 WIRE LEAD ASSY-BK (412267XX14M)</t>
  </si>
  <si>
    <t>12784118 WIRE LEAD ASSY-RD (412132XX4M)</t>
  </si>
  <si>
    <t>12784131 WIRE LEAD ASSY-RD (412267XX4M)</t>
  </si>
  <si>
    <t>12784130 WIRE LEAD ASSY-GN (412267XX3M)</t>
  </si>
  <si>
    <t>12784262 WIRE LEAD ASSY-BK (416820XY4M)</t>
  </si>
  <si>
    <t>12784253 WIRE LEAD ASSY-GN (416820AV42M)</t>
  </si>
  <si>
    <t>12784257 WIRE LEAD ASSY-RD (416820BA43M)</t>
  </si>
  <si>
    <t>12784258 WIRE LEAD ASSY-GN (416820BA44M)</t>
  </si>
  <si>
    <t>12784251 WIRE LEAD ASSY-RD (416820AV40M)</t>
  </si>
  <si>
    <t>12784252 WIRE LEAD ASSY-BK (416820AV41M)</t>
  </si>
  <si>
    <t>12784259 WIRE LEAD ASSY-RD (416820AW37M)</t>
  </si>
  <si>
    <t>12784255 WIRE LEAD ASSY-BK (416820AW38M)</t>
  </si>
  <si>
    <t>12784256 WIRE LEAD ASSY-GN (416820AW39M)</t>
  </si>
  <si>
    <t>12784260 WIRE LEAD ASSY-BK (416820BF53M)</t>
  </si>
  <si>
    <t>12784261 WIRE LEAD ASSY-RD (416820XY3M)</t>
  </si>
  <si>
    <t>12784120  WIRE LEAD ASSY-GN (412132XX6M)</t>
  </si>
  <si>
    <t>12784132  WIRE LEAD ASSY-BK (412267XX5M)</t>
  </si>
  <si>
    <t>12784133 WIRE LEAD ASSY-GN (412267XX6M)</t>
  </si>
  <si>
    <t>12784134 WIRE LEAD ASSY-RD (412267XX7M)</t>
  </si>
  <si>
    <t>12784135 WIRE LEAD ASSY-BK (412267XX8M)</t>
  </si>
  <si>
    <t>12784136 WIRE LEAD ASSY-GN (412267XX9M)</t>
  </si>
  <si>
    <t>12784164  WIRE LEAD ASSY-BK (412852XE7M)</t>
  </si>
  <si>
    <t>12784163  WIRE LEAD ASSY-GN (412852XE6M)</t>
  </si>
  <si>
    <t>12948186  WIRE  LEAD ASSY -RD (412132XX7M)</t>
  </si>
  <si>
    <t>12784122 WIRE LEAD ASSY-RD (412267XX10M)</t>
  </si>
  <si>
    <t>12784254 WIRE LEAD ASSY-RD</t>
  </si>
  <si>
    <t>12784254 WIRE LEAD ASSY-RD (416820AW37M)</t>
  </si>
  <si>
    <t>12759189 INSERT (512247XXM)</t>
  </si>
  <si>
    <t>12759271 TAPE-ID DISARM D219 D258 (517120XCM)</t>
  </si>
  <si>
    <t>12765200 INSERT-PREMOLD</t>
  </si>
  <si>
    <t xml:space="preserve">KEY 12765126 </t>
  </si>
  <si>
    <t>12765194 WIRE LEAD ASSY-RD</t>
  </si>
  <si>
    <t>12765195 WIRE LEAD ASSY-YL</t>
  </si>
  <si>
    <t>12765196 WIRE LEAD ASSY-BK</t>
  </si>
  <si>
    <t>12765197 WIRE LEAD ASSY-5BU</t>
  </si>
  <si>
    <t>12765198 WIRE LEAD ASSY-5BUYL1</t>
  </si>
  <si>
    <t>12765199 WIRE LEAD ASSY-BK5GN1</t>
  </si>
  <si>
    <t xml:space="preserve">12764309 TUBE-PVC BK 515388XG2M </t>
  </si>
  <si>
    <t>12765181 WIRE LEAD ASSY-RD 16820BC24</t>
  </si>
  <si>
    <t>12765182 WIRE LEAD ASSY-YL  16820BC25</t>
  </si>
  <si>
    <t>12765183 WIRE LEAD ASSY-BK 16820BC26</t>
  </si>
  <si>
    <t xml:space="preserve">12765184 WIRE LEAD ASSY-5BU 16820BC27 </t>
  </si>
  <si>
    <t xml:space="preserve">12765185 WIRE LEAD ASSY-5BUYL1 16820BC28 </t>
  </si>
  <si>
    <t>12765186 WIRE LEAD ASSY-BK5GN1 16820BC29</t>
  </si>
  <si>
    <t>10126XX3 WIRE LEAD ASSY</t>
  </si>
  <si>
    <t>METHODE/KEYBUZZER</t>
  </si>
  <si>
    <t>412066 WIRE LEAD ASSY</t>
  </si>
  <si>
    <t>16483XD5 WIRE LEAD ASSY (12759227)</t>
  </si>
  <si>
    <t>16483XD2 WIRE LEAD ASSY (12759226)</t>
  </si>
  <si>
    <t>710983XX WIRE LEAD ASSEMBLY # 410876XX</t>
  </si>
  <si>
    <t xml:space="preserve">METHODE </t>
  </si>
  <si>
    <t>CONSIGNED</t>
  </si>
  <si>
    <t>CONS</t>
  </si>
  <si>
    <t>710816XX WIRE LEAD ASSEMBLY</t>
  </si>
  <si>
    <t>PIN GROOVED (659050-00)</t>
  </si>
  <si>
    <t>RBC</t>
  </si>
  <si>
    <t>JENNIFER BERGER</t>
  </si>
  <si>
    <t>574-546-4455</t>
  </si>
  <si>
    <t>JBerger@rbcbearings.com</t>
  </si>
  <si>
    <t>710983XX WIRE LEAD ASSY</t>
  </si>
  <si>
    <t>METAL INSERT 33020850A TONGUE PLATE</t>
  </si>
  <si>
    <t>TONGUE</t>
  </si>
  <si>
    <t>TRW MIDLAND</t>
  </si>
  <si>
    <t>MARLENE GALOWWAY</t>
  </si>
  <si>
    <t>705-526-8791</t>
  </si>
  <si>
    <t>Marlene.Galloway@TRW.COM</t>
  </si>
  <si>
    <t>INSERT 12765180 (515181XBM)</t>
  </si>
  <si>
    <t>ULTRA STAMPING</t>
  </si>
  <si>
    <t>INSERT 12759150 (418556XAM)</t>
  </si>
  <si>
    <t>CONTACT CARD</t>
  </si>
  <si>
    <t>INSERT 12759190</t>
  </si>
  <si>
    <t>INSERT 12759189</t>
  </si>
  <si>
    <t>METAL INSERT 62602F</t>
  </si>
  <si>
    <t>METAL INSERT 34076950</t>
  </si>
  <si>
    <t>CELAY</t>
  </si>
  <si>
    <t>IÑAKI PADILLA</t>
  </si>
  <si>
    <t xml:space="preserve"> (461) 6187200 </t>
  </si>
  <si>
    <t>ipadilla@celay.com.mx</t>
  </si>
  <si>
    <t>METAL INSERT 32637A</t>
  </si>
  <si>
    <t>612154-00 CLUTCH PIN</t>
  </si>
  <si>
    <t>INS 148354-03 BIT CLIP</t>
  </si>
  <si>
    <t>638727-00 RAMP CLUTCH PIN</t>
  </si>
  <si>
    <t>629830-00 RAMP CLUTCH PIN</t>
  </si>
  <si>
    <t>METAL INSERT A16447 (Fan A16623)</t>
  </si>
  <si>
    <t>N036369 CLUTCH COLLAR (FG) - DMP Component</t>
  </si>
  <si>
    <t>BLACK DECKER (DMP)</t>
  </si>
  <si>
    <t>METAL INSERT FAN 872652</t>
  </si>
  <si>
    <t>BLACK DECKER  REYNOSA</t>
  </si>
  <si>
    <t xml:space="preserve">FAN INSERT METAL N541865 </t>
  </si>
  <si>
    <t>M3 HEX KEY SHORT ARM MI02-843-56</t>
  </si>
  <si>
    <t>BDS FASTENER &amp; SUPPLY LLC</t>
  </si>
  <si>
    <t>M3 HEX KEY SHORT ARM MI02-843-64</t>
  </si>
  <si>
    <t>INSERT MI34-1740-5</t>
  </si>
  <si>
    <t>RUNNER ASSEMBLY 1780892</t>
  </si>
  <si>
    <t>D-TACH PCB (PRINTED CIRCUIT BOARD)</t>
  </si>
  <si>
    <t>TUBE-PVC 12759186</t>
  </si>
  <si>
    <t>TUBE-PVC BK 12759181</t>
  </si>
  <si>
    <t>12759176 TUBE-PVC BK (512135BA30M)</t>
  </si>
  <si>
    <t>12759170 TUBE-PVC BK</t>
  </si>
  <si>
    <t>12765131 LEAD WIRE ASSEMBLY</t>
  </si>
  <si>
    <t>CARTON</t>
  </si>
  <si>
    <t>CORRUGATED BOX 22X14 1/2 X 8 1/8</t>
  </si>
  <si>
    <t>LONDON / SI EMPAQUES</t>
  </si>
  <si>
    <t>VARIOS</t>
  </si>
  <si>
    <t>MAVET DOMINGUEZ (LONDON)  / ELIUD ALVARADO ( SI EMPAQUES)</t>
  </si>
  <si>
    <t>LON 9-51-20-88 / SIE 9-25-98-21</t>
  </si>
  <si>
    <t>mavet@londonintegration.com / ealvarado@siempaques.com</t>
  </si>
  <si>
    <t>CORRUGATED PAD 21 3/4 X 14 1/4</t>
  </si>
  <si>
    <t>CORRUGATED BOX BX101806</t>
  </si>
  <si>
    <t>CORRUGATED BOX 19.60  X 11.41 X 5.67    COSMO LAIRD</t>
  </si>
  <si>
    <t>AMERICA EMPACK</t>
  </si>
  <si>
    <t>CORRUGATED PAD 19.50 X 11.25 X 5.45     COSMO LAIRD</t>
  </si>
  <si>
    <t>CORRUGATED BOX 376 X 303 X 364 mm</t>
  </si>
  <si>
    <t>BOX REY</t>
  </si>
  <si>
    <t>JUAN MALDONADO</t>
  </si>
  <si>
    <t>52*312215*11</t>
  </si>
  <si>
    <t>juan_angelm@steep.com.mx</t>
  </si>
  <si>
    <t>CORRUGATED BOX SMALL (SOMFY)</t>
  </si>
  <si>
    <t>BAG</t>
  </si>
  <si>
    <t>BAG  ZIPLOCK 4 X 6"</t>
  </si>
  <si>
    <t>VERITIV</t>
  </si>
  <si>
    <t>EDGAR GARCIA</t>
  </si>
  <si>
    <t xml:space="preserve">951-85-19 </t>
  </si>
  <si>
    <t>edgar.garcia@veritivcorp.com</t>
  </si>
  <si>
    <t>CORRUGATED BOX 370 X 300 X 355 F C</t>
  </si>
  <si>
    <t>?</t>
  </si>
  <si>
    <t>HEAT TRANFER LABEL FOR DRILL 650197 (643138-01) (SPECT: 15749)</t>
  </si>
  <si>
    <t>HEAT TRANSFER LABEL FOR 648225-00</t>
  </si>
  <si>
    <t>RICK BOLLY</t>
  </si>
  <si>
    <t>508-989-1800</t>
  </si>
  <si>
    <t>decorating-solutions@hotmail.com</t>
  </si>
  <si>
    <t>HEAT TRANSFER LABEL (SA9637)  (B&amp;D p/n: N036369)</t>
  </si>
  <si>
    <t>HEAT TRANSFER LABEL PM 380 MATTE BLACK  1.875" X 1000'</t>
  </si>
  <si>
    <t>GREAT WESTERN FOILS, INC.</t>
  </si>
  <si>
    <t>BRIAN BOLAND</t>
  </si>
  <si>
    <t xml:space="preserve">805-375-4336 </t>
  </si>
  <si>
    <t>brian@GWFOILS.COM</t>
  </si>
  <si>
    <t>HEAT TRANSFER LABEL BLACK &amp; GRAY DANGER LOGO (B&amp;D p/n: 148291-00)</t>
  </si>
  <si>
    <t>HEAT TRANFER LABEL FOR HAMMER 650196 (643138-00) (SPECT: 15750)</t>
  </si>
  <si>
    <t>CORRUGATED PAD 37.5 X 45.5''  (DETONATOR BLOCK)</t>
  </si>
  <si>
    <t>AUSTIN</t>
  </si>
  <si>
    <t>CORRUGATED BOX 38'' X 46'' X 26'' (DETONATOR BLOCK)</t>
  </si>
  <si>
    <t>CORRUGATED BOX 337 X 458 X 204</t>
  </si>
  <si>
    <t>CORRUGATED WHITE BOX 15X13 1/4 X 6 1/4</t>
  </si>
  <si>
    <t>CORRUGATED BOX 23 15/16 X 19 13/16 X 27 15/16 200 C</t>
  </si>
  <si>
    <t>CORRUGATED BOX 20 1/16 X 14 3/16 X 14 3/16</t>
  </si>
  <si>
    <t>GMT001</t>
  </si>
  <si>
    <t>STRONG BOX</t>
  </si>
  <si>
    <t xml:space="preserve">CORRUGATED PAD 24X19 1/2 </t>
  </si>
  <si>
    <t>RSC 24.25 X 15.31 X 13.13  CAJAS MEDICAL MOLDING</t>
  </si>
  <si>
    <t>VICTORY  PACKAGING</t>
  </si>
  <si>
    <t>HERMOTRONIC</t>
  </si>
  <si>
    <t>CORRUGATED BOX 16" X 12" X 12" 32 ECT</t>
  </si>
  <si>
    <t>ALEJANDRO GUEVARA</t>
  </si>
  <si>
    <t xml:space="preserve"> jose.guevara@zaniniindustries.com</t>
  </si>
  <si>
    <t>CORRUGATED BOX 32 3/4 " X 20 19/32" X 22 1/8" 32 ECT</t>
  </si>
  <si>
    <t>LONDON</t>
  </si>
  <si>
    <t xml:space="preserve">MAVET DOMINGUEZ </t>
  </si>
  <si>
    <t xml:space="preserve"> 9-51-20-88</t>
  </si>
  <si>
    <t xml:space="preserve">mavet@londonintegration.com </t>
  </si>
  <si>
    <t xml:space="preserve">CORRUGATED PAD 20 5/16 " X 32 6/16" </t>
  </si>
  <si>
    <t>CORRUGATED BOX 32 3/4 " X 20 19/32" X 22 1/8" 44 ECT</t>
  </si>
  <si>
    <t>CORRUGATED BOX WITH LID 35.5 X 27.5 X 18 3/4, 48 ECT B/KRAFT</t>
  </si>
  <si>
    <t xml:space="preserve">CORRUGATED BOX 44" X 20" X 11" 32 ECT </t>
  </si>
  <si>
    <t>SI EMPAQUES</t>
  </si>
  <si>
    <t>ELIUD ALVARADO</t>
  </si>
  <si>
    <t>925-98-21</t>
  </si>
  <si>
    <t>ealvarado@siempaques.com</t>
  </si>
  <si>
    <t>CORRUGATED PAD 41 1/4 X 31" 32 ECT</t>
  </si>
  <si>
    <t>CORRUGATED BUILDABLE INSERT 37 5/8 X 19 7/8 32 ECT IN 8</t>
  </si>
  <si>
    <t>CORRUGATED BOX 32 3/4 " X 20 19/32" X 22 1/8" 42 ECT (DOUBLE CORRUGATED)</t>
  </si>
  <si>
    <t>CORRUGATED PAD 20 5/16 " X 32 6/16" 42 ECT (DOUBLE CORRUGATED)</t>
  </si>
  <si>
    <t>CORRUGATED PAD 22" x 20 1/2"</t>
  </si>
  <si>
    <t>CORRUGATED BOX 12" X 10" X 8"</t>
  </si>
  <si>
    <t>DIVIDER/PAD - 14 1/4" X 2 3/4"</t>
  </si>
  <si>
    <t>AFX P/N: 1659</t>
  </si>
  <si>
    <t>CORRUGATED BOX - 19.875" X 13.25" X 7.5"</t>
  </si>
  <si>
    <t>AFX P/N: 1559</t>
  </si>
  <si>
    <t>CORRUGATED BOX - 23 1/4" X 15" X 11 11/16"</t>
  </si>
  <si>
    <t>AFX P/N: 1660</t>
  </si>
  <si>
    <t>DIVIDER/PAD - 22 7/8" X 15 3/8"</t>
  </si>
  <si>
    <t>AFX P/N: 1661</t>
  </si>
  <si>
    <t xml:space="preserve"> BAG</t>
  </si>
  <si>
    <t>PLASTIC BAG (POLYETHYLENE) - HIGH DENSITY (30 X 40)</t>
  </si>
  <si>
    <t>AFX P/N: 1681</t>
  </si>
  <si>
    <t>CARDBOARD CORNER 2X2X24" CAL. 160</t>
  </si>
  <si>
    <t>CORRUGATED BOX - 16.653" x 12.519" x 7.35"  (32 ECT)</t>
  </si>
  <si>
    <t>PARTITION W/25 - 16.63" X 12.25" X 2.51" (29 ECT)</t>
  </si>
  <si>
    <t>RAFAEL AREVALO VIDALES</t>
  </si>
  <si>
    <t>951.09.39, 951.20.88 Y 951.17.63</t>
  </si>
  <si>
    <t>rafael@londonintegration.com</t>
  </si>
  <si>
    <t>CORRUGATED PAD - 16.62" X 12.48" (29 ECT)</t>
  </si>
  <si>
    <t>CORRUGATED BOX - 44" x 24" x 20"  (32 ECT)</t>
  </si>
  <si>
    <t>CORRUGATED PAD - 43.80" X 23.80" (29 ECT)</t>
  </si>
  <si>
    <t>CORRUGATED BOX  12”  W X 22” L X 7.5”H</t>
  </si>
  <si>
    <t>CORRUGATED BOX   22” W   X 24” L X 10” H</t>
  </si>
  <si>
    <t>CORRUGATED BOX   22” W X 24” L X 20” H</t>
  </si>
  <si>
    <t>CORRUGATED BOX  16” W X 22” L X 10” H</t>
  </si>
  <si>
    <t>CORRUGATED BOX  12” W X L 44” X 12” H</t>
  </si>
  <si>
    <t>CORRUGATED DIVIDER 21 7/8" X 14 5/16" X 1/16"  W/16 SPACES</t>
  </si>
  <si>
    <t>LPB</t>
  </si>
  <si>
    <t>8992 910247</t>
  </si>
  <si>
    <t>eliudlpb1@gmail.com</t>
  </si>
  <si>
    <t>TRAY</t>
  </si>
  <si>
    <t>ALPS RETURNABLE PACKING</t>
  </si>
  <si>
    <t>PLASTICO</t>
  </si>
  <si>
    <t>PLASTIC RETURNABLE BOX FOR PANEL</t>
  </si>
  <si>
    <t>PLASTIC RETURNABLE BOX TIER ONE 23 X 14 X 7 INCH</t>
  </si>
  <si>
    <t>EUROPLAST</t>
  </si>
  <si>
    <t>PLASTIC TRAY FOR  IDEFIX</t>
  </si>
  <si>
    <t>PLASTIC TRAY FOR SOFT KEY</t>
  </si>
  <si>
    <t>WHITE TRAY 502 * 354 mm</t>
  </si>
  <si>
    <t>PLASTIC TRAY FOR COSMO</t>
  </si>
  <si>
    <t>PACKING TRAY 511315 (U228-TOP)</t>
  </si>
  <si>
    <t>SSAE PRODUCTS</t>
  </si>
  <si>
    <t>EDUARDO RIOS</t>
  </si>
  <si>
    <t xml:space="preserve">62*194010*5 </t>
  </si>
  <si>
    <t>eduardo@ssaeproducts.com</t>
  </si>
  <si>
    <t>PACKING TRAY 510464 (GMT001)</t>
  </si>
  <si>
    <t>PACKING TRAY 511453 (U228 BOTTOM)</t>
  </si>
  <si>
    <t>TRAY FOR 80 PCS HAZZARD BUTTON 224703 MADE OF BLACK HIPS 1 mm THICKNESS X 505 mm X 356 mm</t>
  </si>
  <si>
    <t>TRAY FOR 24 PCS OF MIRROR HOUSING MADE OF BLACK HIPS 1mm THICKNESS X 505 mm X 356 mm</t>
  </si>
  <si>
    <t>TRAY FOR KNOB (TRW)</t>
  </si>
  <si>
    <t>KNOB</t>
  </si>
  <si>
    <t>TRAY FOR BUTTON HAZZARD 411</t>
  </si>
  <si>
    <t>BUTTON</t>
  </si>
  <si>
    <t>tray for trw tongues</t>
  </si>
  <si>
    <t>RETURNABLE BOX (BLUE) - 21" X 21" X 19" H</t>
  </si>
  <si>
    <t>PRONTO</t>
  </si>
  <si>
    <t>Mucio Camarena</t>
  </si>
  <si>
    <t>951-4240 and 951-1063</t>
  </si>
  <si>
    <t>comercializadorapronto@prodigy.net.mx</t>
  </si>
  <si>
    <t>LAMINATED FOAM BAG - Thickness 1/32": Width 12 " X Length 21"</t>
  </si>
  <si>
    <t>ARESI</t>
  </si>
  <si>
    <t>LAMINATED FOAM BAG - Thickness 1/32": Width 10 1/2 " X Length 17"</t>
  </si>
  <si>
    <t>CORRUGATED BOX 30 1/2" X 19" X 21"</t>
  </si>
  <si>
    <t>CORRUGATED BOX 20" x 10" x 12 1/2 - (VOLEX B&amp;D)</t>
  </si>
  <si>
    <t xml:space="preserve">CORRUGATED PAD - 30.25" X 21" </t>
  </si>
  <si>
    <t>PARTITION W/39, 19.5" X 12"</t>
  </si>
  <si>
    <t>PLASTIC TRAY FOR ROCKER (6 x 6, 36 pcs) - Clear</t>
  </si>
  <si>
    <t>GENARO DE LEON</t>
  </si>
  <si>
    <t>GenaroDeLeon@Eaton.com</t>
  </si>
  <si>
    <t>PLASTIC TRAY (PET) CLEAR CAL. 40 495 X 385MM FOR PANEL 631</t>
  </si>
  <si>
    <t>BAG FOR GENERAL PACKAGING</t>
  </si>
  <si>
    <t>COSMO ASSEMBLY NOKIA LOGO</t>
  </si>
  <si>
    <t>COSMO XPRESS MUSIC BLACK CUT</t>
  </si>
  <si>
    <t>COSMO LOGO BADGE NOKIA BLAK LITE CUT</t>
  </si>
  <si>
    <t>COSMO LOGO BADGE VIVO WHITE CUT</t>
  </si>
  <si>
    <t>BOLSA DE PLASTICO 30 X 40 C 1.25</t>
  </si>
  <si>
    <t>PUBLIPAK</t>
  </si>
  <si>
    <t>3X3 2MIL CLEAR RECLOSEABLE POLY BAG</t>
  </si>
  <si>
    <t>4X8 4MIL POLYBAG</t>
  </si>
  <si>
    <t>COSMO LOGO BADGE  CLARO WHITE SMALL CUT</t>
  </si>
  <si>
    <t>NYLON BAG H243306K BLACK 24 X 33"</t>
  </si>
  <si>
    <t>LAPKING/KIMBALL</t>
  </si>
  <si>
    <t>BAG 10'' X 13'' ZIPLOCK</t>
  </si>
  <si>
    <t>BAG 17'' X 25''</t>
  </si>
  <si>
    <t xml:space="preserve">BAG NYLON 25 CM X 40 CM </t>
  </si>
  <si>
    <t>QUALITY PACKING SERVICE</t>
  </si>
  <si>
    <t>ARON GONZALEZ</t>
  </si>
  <si>
    <t xml:space="preserve">   9-20-46-16         </t>
  </si>
  <si>
    <t>aron.qps1@gmail.com</t>
  </si>
  <si>
    <t>BAG NYLON 60 CM X 60 CM</t>
  </si>
  <si>
    <t xml:space="preserve">BAG LDPE CAL.1.9  4" X 6" </t>
  </si>
  <si>
    <t xml:space="preserve">FOAM POUCH 1/32" THICKNESS, 6"X16" OPEN BY 6" </t>
  </si>
  <si>
    <t>VALLEY PACKAGING</t>
  </si>
  <si>
    <t>FERNANDO ARGUELLES</t>
  </si>
  <si>
    <t>(956) 515-3487</t>
  </si>
  <si>
    <t>valleypackaging2@gmail.com</t>
  </si>
  <si>
    <t xml:space="preserve">FOAM POUCH 1/32" THICKNESS, 5.5"X10.5" OPEN BY 5.5" </t>
  </si>
  <si>
    <t>D-TACH BAG LABEL</t>
  </si>
  <si>
    <t>INSTRUCTION SHEET LABEL</t>
  </si>
  <si>
    <t>6880309L65-0 INSTRUCTIVE RLN5211A (PHOENIX MUC ERIC INSERT)</t>
  </si>
  <si>
    <t>6880309M23-0 INSTRUCTIVE RLN5211A (PHOENIX MUC ERIC INSERT)</t>
  </si>
  <si>
    <t>5487591E01 WARNING LABEL</t>
  </si>
  <si>
    <t>THOMCO</t>
  </si>
  <si>
    <t>KARLA WHITFIELD</t>
  </si>
  <si>
    <t>678-597-5735</t>
  </si>
  <si>
    <t xml:space="preserve">kwhitfield@thomco.biz </t>
  </si>
  <si>
    <t>RLN5211A BARCODE WHITE LABEL</t>
  </si>
  <si>
    <t>RLN5212A BARCODE WHITE LABEL</t>
  </si>
  <si>
    <t xml:space="preserve">LABEL ID </t>
  </si>
  <si>
    <t>12948166 LABEL ID</t>
  </si>
  <si>
    <t>12948168 LABEL ID</t>
  </si>
  <si>
    <t>Thermal Transfer Label - 2.0" x 1.0"</t>
  </si>
  <si>
    <t>TEKNA IMPACT</t>
  </si>
  <si>
    <t>12 DAYS</t>
  </si>
  <si>
    <t>n/a</t>
  </si>
  <si>
    <t>NORMA ANAYA</t>
  </si>
  <si>
    <t>(956)213-8285</t>
  </si>
  <si>
    <t>Thermal Transfer Label - 2.0" x 0.5"</t>
  </si>
  <si>
    <t>RODRIGO NAVARRETE</t>
  </si>
  <si>
    <t>(956) 213-8285</t>
  </si>
  <si>
    <t>rodrigo.navarrete@tekna-impact.com</t>
  </si>
  <si>
    <t>WRAP</t>
  </si>
  <si>
    <t>BUBBLE WRAP 1/2" of 48 X 12"</t>
  </si>
  <si>
    <t>BUBBLE WRAP 3/16" of 24 X 12"</t>
  </si>
  <si>
    <t>INDUSTRIAL PAPER SHEET 50X30CM</t>
  </si>
  <si>
    <t xml:space="preserve">PLASTIC DISC 2.25" </t>
  </si>
  <si>
    <t>PLASTIC INSERT FOR N569438</t>
  </si>
  <si>
    <t>FOAM</t>
  </si>
  <si>
    <t>ANTI-STATIC DIE CUT FOAM # 1.7 (27.5 x 4.5 x 8")</t>
  </si>
  <si>
    <t>ANTI-STATIC FOAM # 1.7 (27.5 X 4 X 2")</t>
  </si>
  <si>
    <t>FOAM FOR PACKAGING</t>
  </si>
  <si>
    <t>ABSAREY</t>
  </si>
  <si>
    <t>COSMO DST TAPE</t>
  </si>
  <si>
    <t xml:space="preserve">H404814N   NATURAL 40”X48” 14 MIC </t>
  </si>
  <si>
    <t>TODOS</t>
  </si>
  <si>
    <t>BAG NYLON 20 X 30 CM</t>
  </si>
  <si>
    <t>1 KG</t>
  </si>
  <si>
    <t xml:space="preserve">LABEL FOR FGS IDENTIFICATION 4'' X 6'' </t>
  </si>
  <si>
    <t>DIGITEC</t>
  </si>
  <si>
    <t>B&amp;D / KIMBALL</t>
  </si>
  <si>
    <t>MARCO TELLEZ</t>
  </si>
  <si>
    <t>868-8122-083 / 920-52-20</t>
  </si>
  <si>
    <t>marcot@cdigitec.com</t>
  </si>
  <si>
    <t>METAL INSERT P/N 144794-00 FOR FANS 153663-00, 389517-00 AND 393237-00</t>
  </si>
  <si>
    <t xml:space="preserve">METAL BEARING FOR 391564-00 IMPACT ABSORBER AND 622173-00 SA BEARING BLOCK </t>
  </si>
  <si>
    <t>NSK</t>
  </si>
  <si>
    <t>INSERT FAN 607960 (REV. 1)</t>
  </si>
  <si>
    <t>PAM HRIBIK</t>
  </si>
  <si>
    <t>814-776-2141 x. 1822</t>
  </si>
  <si>
    <t>PHribik@metalpowderproducts.com</t>
  </si>
  <si>
    <t>sprocket insert 874078</t>
  </si>
  <si>
    <t>METAL POWDER PRODUCTS</t>
  </si>
  <si>
    <t>METAL INSERT 402157-00</t>
  </si>
  <si>
    <t>VS INDUSTRIES</t>
  </si>
  <si>
    <t>BEARING , BALL - PART NO. 330003-CAT1</t>
  </si>
  <si>
    <t>NSK/BLACK $ DECKER</t>
  </si>
  <si>
    <t>OMAR VARGAS</t>
  </si>
  <si>
    <t>Omar.Vargas@sbdinc.com</t>
  </si>
  <si>
    <t>REJILLA DE CARTON CORRUGADO</t>
  </si>
  <si>
    <t>PARTITION A 32 12/16" X 5 1/16 " WITH B 20 9/16" X 5 1/16" 32 ECT</t>
  </si>
  <si>
    <t>PARTITION CHIPBOARD 30 PTS 560 X 366 X 29 MM</t>
  </si>
  <si>
    <t>PURGE</t>
  </si>
  <si>
    <t>CEL-SPAN 300 PURGE PU1001</t>
  </si>
  <si>
    <t>PHOENIX PLASTICS</t>
  </si>
  <si>
    <t>ALL</t>
  </si>
  <si>
    <t>Barbara Winslett</t>
  </si>
  <si>
    <t>936.760.2311</t>
  </si>
  <si>
    <t>CSR@phoenixplastics.com</t>
  </si>
  <si>
    <t>PLAQUE BLANK LG9000BK 4X4</t>
  </si>
  <si>
    <t>CEL-SPAN 606P PA1015</t>
  </si>
  <si>
    <t>ASACLEAN GRADE U</t>
  </si>
  <si>
    <t>ASA CLEAN</t>
  </si>
  <si>
    <t>MJH62354801 42PW5 TOP</t>
  </si>
  <si>
    <t>HD ELECTRONIC</t>
  </si>
  <si>
    <t>MJH62355001 42W5 BOTTOM</t>
  </si>
  <si>
    <t>MJH62354901 SIDEL (L)</t>
  </si>
  <si>
    <t>MJH62354902 SIDEL ®</t>
  </si>
  <si>
    <t>MJH62355801</t>
  </si>
  <si>
    <t>MJH62355901</t>
  </si>
  <si>
    <t>MJH62356001</t>
  </si>
  <si>
    <t>MJH62356002</t>
  </si>
  <si>
    <t>MDS62831135 GASKET</t>
  </si>
  <si>
    <t>MDS63351701 GASKET</t>
  </si>
  <si>
    <t>MDS62831182 GASKET</t>
  </si>
  <si>
    <t>MDS63530301 GASKET</t>
  </si>
  <si>
    <t>MEV50119315 INSULATOR</t>
  </si>
  <si>
    <t>MDS62831133 GASKET</t>
  </si>
  <si>
    <t>MDS62831158 GASKET</t>
  </si>
  <si>
    <t>MDS63351702 GASKET</t>
  </si>
  <si>
    <t>MDS62831131 TAPE</t>
  </si>
  <si>
    <t>MDS62831180 TAPE</t>
  </si>
  <si>
    <t>MDS63351703 GASKET</t>
  </si>
  <si>
    <t>MDS63351713 GASKET</t>
  </si>
  <si>
    <t>MDS63530302 GASKET</t>
  </si>
  <si>
    <t>MEV50119319 INSULATOR</t>
  </si>
  <si>
    <t>MDS62831130 TAPE</t>
  </si>
  <si>
    <t>MDS62831132 TAPE</t>
  </si>
  <si>
    <t>MDS63351704 GASKET</t>
  </si>
  <si>
    <t>MEV50119320 INSULATOR</t>
  </si>
  <si>
    <t>MDS62511914 GASKET</t>
  </si>
  <si>
    <t>MDS62511915 GASKET</t>
  </si>
  <si>
    <t>MDS62511940 GASKET</t>
  </si>
  <si>
    <t>MDS61915990 GASKET</t>
  </si>
  <si>
    <t>700*240*175 CAJA D/CARTON</t>
  </si>
  <si>
    <t>1200*240*175 CAJA D/CARTON</t>
  </si>
  <si>
    <t>1101043R</t>
  </si>
  <si>
    <t>CYCOLOY C1200HF-701 BK  (Regrind)</t>
  </si>
  <si>
    <t>SAMKWANG</t>
  </si>
  <si>
    <t>PIGMENT 80-9257218NF BLACK</t>
  </si>
  <si>
    <t>PIGMENT 80-425721 8ND YELLOW</t>
  </si>
  <si>
    <t>PEMARON 660G33L BK91</t>
  </si>
  <si>
    <t>PA66 33% GF</t>
  </si>
  <si>
    <t>1102006R</t>
  </si>
  <si>
    <t>TERLURAN GP 22 BK (Regrind)</t>
  </si>
  <si>
    <t>1102010R</t>
  </si>
  <si>
    <t>HF-0660I /C83807 (Regrind)</t>
  </si>
  <si>
    <t>IUB-0420-1 ULTRASONIC INSERT</t>
  </si>
  <si>
    <t>HF-0660I G33996 CHARCOAL</t>
  </si>
  <si>
    <t>ADDITIVE</t>
  </si>
  <si>
    <t>SERENDIPITY ELECTRONICS</t>
  </si>
  <si>
    <t>YOVANNA CAMARGO CABALLERO</t>
  </si>
  <si>
    <t xml:space="preserve">631-424-2244 </t>
  </si>
  <si>
    <t>Yovannac@SerendipityElectronics.com</t>
  </si>
  <si>
    <t>CYCOLOY C2950 HF FROST WHITE</t>
  </si>
  <si>
    <t>LEXAN 943A CLEAR</t>
  </si>
  <si>
    <t>UBE NYLON 1015GX78V</t>
  </si>
  <si>
    <t>899 9322107</t>
  </si>
  <si>
    <t>ELIUD ALVARADO ( SI EMPAQUES)</t>
  </si>
  <si>
    <t xml:space="preserve"> 9-25-98-21</t>
  </si>
  <si>
    <t>SIE 9-25-98-21</t>
  </si>
  <si>
    <t>HF-0660I G33992 CHARCOAL</t>
  </si>
  <si>
    <t>PERFORMANCE MASTERBATCH</t>
  </si>
  <si>
    <t xml:space="preserve">PIGMENT RENOL-BLANCO SB02613061-ZT </t>
  </si>
  <si>
    <t>JULIO DEL ANGEL</t>
  </si>
  <si>
    <t xml:space="preserve">(444) 411 62 42  </t>
  </si>
  <si>
    <t>Julio.Delangel@lyondellbasell.com</t>
  </si>
  <si>
    <t>KANEMATSU</t>
  </si>
  <si>
    <t>SOJITZ</t>
  </si>
  <si>
    <t>YASUYO OKUYAMA</t>
  </si>
  <si>
    <t>yokuyama@sojitz-plastics.com</t>
  </si>
  <si>
    <t>FOAMING AGENT ENDEX 1020 29W014</t>
  </si>
  <si>
    <t>PLASTIC TRAY WHITE 350MM X300MM X 110MM (FOR 24 PCS)</t>
  </si>
  <si>
    <t>PLASTIC RETURNABLE BOX VALEO NF241507AS</t>
  </si>
  <si>
    <t>FOAM TRAY 355MM X 265MM ( FOR 25 PCS) WHITE</t>
  </si>
  <si>
    <t xml:space="preserve">CHIPBOARD PAD 30 PTS  21 1/2" x 13"  </t>
  </si>
  <si>
    <t>CORRUGATED BOX 23 1/8" x 13 5/8" x 22 5/8"</t>
  </si>
  <si>
    <t>JULIO DE LA CRUZ</t>
  </si>
  <si>
    <t>81 8262 5200</t>
  </si>
  <si>
    <t>jdelacruz@uniformcolor.com</t>
  </si>
  <si>
    <t>LIP HING METAL MANUFACTURING</t>
  </si>
  <si>
    <t>KING LEE</t>
  </si>
  <si>
    <t>714- 928-1717</t>
  </si>
  <si>
    <t xml:space="preserve">king.lee@liphing.com </t>
  </si>
  <si>
    <t>DAVE SCHMITTING</t>
  </si>
  <si>
    <t>262-268-0200</t>
  </si>
  <si>
    <t>dave@bdsfastener.com</t>
  </si>
  <si>
    <t>Last modification date</t>
  </si>
  <si>
    <t>Last price</t>
  </si>
  <si>
    <t>PULSE 2000EZ NATURAL</t>
  </si>
  <si>
    <t xml:space="preserve">   GARRETT PETERS</t>
  </si>
  <si>
    <t>361-334-4975</t>
  </si>
  <si>
    <t>BALLYHOO PLASTICS</t>
  </si>
  <si>
    <t>Garrett@BallyhooPlastics.com</t>
  </si>
  <si>
    <t>ANGIE RAMIREZ DELGADO</t>
  </si>
  <si>
    <t xml:space="preserve">722-2548993 </t>
  </si>
  <si>
    <t>angeles.ramirez@basf.com</t>
  </si>
  <si>
    <t>ROMUALDO DE LA CRUZ</t>
  </si>
  <si>
    <t>Romualdo.DelaCruz@sbdinc.com</t>
  </si>
  <si>
    <t xml:space="preserve">PLASTIC RETURNABLE BOX VALEO NSO1512-05 </t>
  </si>
  <si>
    <t>PLASTIC TRAY (B) WHITE 350MM X300MM X 50MM (FOR 24 PCS)</t>
  </si>
  <si>
    <t>CHIPBOARD PAD 30 PTS  26 x 22 CM</t>
  </si>
  <si>
    <t>ALLE-100 DX9 BLACK LASERETCH S/B 2K</t>
  </si>
  <si>
    <t>JACK YANG</t>
  </si>
  <si>
    <t>81 13653086</t>
  </si>
  <si>
    <t>jack.yang3@akzonobel.com</t>
  </si>
  <si>
    <t>APC 300H00028 HARDENER MX NA</t>
  </si>
  <si>
    <t>APC SOLVENT VC009 NA 5 GAL PREH</t>
  </si>
  <si>
    <t>PLASTIC RETURNABLE BOX FOR PANEL (YELLOW)</t>
  </si>
  <si>
    <t>FILM</t>
  </si>
  <si>
    <t>GERGONNE</t>
  </si>
  <si>
    <t>FILM GERGONNE REF. 2671E3X_01 TRANSLUCID BLUE (26.7MM X 26.7MM X 0.07MM)</t>
  </si>
  <si>
    <t>EMMA ORDAZ</t>
  </si>
  <si>
    <t xml:space="preserve">81-2063-5446 </t>
  </si>
  <si>
    <t>e.ordaz@gergonne.mx</t>
  </si>
  <si>
    <t>MIRIAM UMANZOR</t>
  </si>
  <si>
    <t>216-571-2186</t>
  </si>
  <si>
    <t>mumanzor@kingfa.com</t>
  </si>
  <si>
    <t>HP-126-FMS4R-T0016 RED</t>
  </si>
  <si>
    <t>BAG NYLON 20 X 30 NATURAL C-200</t>
  </si>
  <si>
    <t>PIGMENT RENOL-GRIS NC71613053-ZT</t>
  </si>
  <si>
    <t xml:space="preserve">AUTRON 504BK 93 </t>
  </si>
  <si>
    <t>KIAN  WEE</t>
  </si>
  <si>
    <t>kianwee@boiln.com</t>
  </si>
  <si>
    <t>SHUMAN PC/ABS 310 BLACK</t>
  </si>
  <si>
    <t>KINGS YAO</t>
  </si>
  <si>
    <t>CHIPBOARD PAD 21 3/4 X 14 1/4</t>
  </si>
  <si>
    <t xml:space="preserve"> N</t>
  </si>
  <si>
    <t>ULTRAMID A3Z HP UV BLACK 23220</t>
  </si>
  <si>
    <t>DURACON M90-45 CD9300 BLACK</t>
  </si>
  <si>
    <t>956-572-1584</t>
  </si>
  <si>
    <t>PIGMENT 620970 BLACK</t>
  </si>
  <si>
    <t>CEW</t>
  </si>
  <si>
    <t>PIGMENT VCE11069UV HOP WHITE</t>
  </si>
  <si>
    <t>PE/PP</t>
  </si>
  <si>
    <t>CUSTOM ENGINEERED WHEELS, INC.</t>
  </si>
  <si>
    <t>GRACIELA GONZALEZ</t>
  </si>
  <si>
    <t xml:space="preserve">899 958-1793 </t>
  </si>
  <si>
    <t>graciela.gonzalez@cewmail.com</t>
  </si>
  <si>
    <t>AKULON K224-PG3 NATURAL</t>
  </si>
  <si>
    <t>HUB PRESS-IN NEW HUB60</t>
  </si>
  <si>
    <t>HUB75/EXT106</t>
  </si>
  <si>
    <t>HUB QIUCKIE ALUMINUM HUB47</t>
  </si>
  <si>
    <t>HUB ROOF 0.33IN PREC INDICATOR GROOVE HUB41</t>
  </si>
  <si>
    <t>CELANEX 2004-2 ED3807 BLACK</t>
  </si>
  <si>
    <t>THERMYLENE P-9900-1761</t>
  </si>
  <si>
    <t>x</t>
  </si>
  <si>
    <t>ZYTEL ST801AW BK195</t>
  </si>
  <si>
    <t>CUSTOMER PARTE NUMBER</t>
  </si>
  <si>
    <t>I31807</t>
  </si>
  <si>
    <t>I31762</t>
  </si>
  <si>
    <t>I31309</t>
  </si>
  <si>
    <t>I31760</t>
  </si>
  <si>
    <t>I31791</t>
  </si>
  <si>
    <t>I31355</t>
  </si>
  <si>
    <t xml:space="preserve">  </t>
  </si>
  <si>
    <t>AKULON K224-G3 BK25018</t>
  </si>
  <si>
    <t xml:space="preserve"> </t>
  </si>
  <si>
    <t>LYONDELLBASELL ADVANCED POLYMERS (A. SCHULMAN)</t>
  </si>
  <si>
    <t>INPAD</t>
  </si>
  <si>
    <t xml:space="preserve">THINNER 03-TPWC </t>
  </si>
  <si>
    <t>INK TPW 02-TPW-2035C RED</t>
  </si>
  <si>
    <t xml:space="preserve">HARDENER 03-TPWH500 </t>
  </si>
  <si>
    <t>AVIENT CORPORATION</t>
  </si>
  <si>
    <t xml:space="preserve">DIVIDER 6 ½ X 2 ½ X 1 1/8 </t>
  </si>
  <si>
    <t>PLASTIC</t>
  </si>
  <si>
    <t>AVIENT DISTRIBUTION</t>
  </si>
  <si>
    <t xml:space="preserve">RENOL BLACK SB92613039-ZT </t>
  </si>
  <si>
    <t>AVIENT COLORS</t>
  </si>
  <si>
    <t>CHROMA COLOR</t>
  </si>
  <si>
    <t>CHEVRON MARLEX 9018 HDPE</t>
  </si>
  <si>
    <t>HDPE</t>
  </si>
  <si>
    <t>HCP</t>
  </si>
  <si>
    <t>RETURNABLE TOTE BOX | HCP 2# | 57*37.5*23CM</t>
  </si>
  <si>
    <t>106-0850-06|601498 BAG CLEAR ANTI-STATIC|39X36X14 MICRON</t>
  </si>
  <si>
    <t xml:space="preserve">PINNACLE PP 1635 HOMOPOLYMER 35 MELT NATURAL </t>
  </si>
  <si>
    <t>334-9435-01 Badger Black PXC-0503843</t>
  </si>
  <si>
    <t>CRODA INCROSLIP SL-BE (HU) DJ08511/0025/F19/9</t>
  </si>
  <si>
    <t>SKYGREEN PETG K2012 CLEAR</t>
  </si>
  <si>
    <t>PETG</t>
  </si>
  <si>
    <t>300-3804-00|RESIN LUBRICANT ADDITIVE~ SUKANO S061</t>
  </si>
  <si>
    <t>PETG colorant NUDE 41 | CHEEKY LDR 33:1 | 7M7091 Primary</t>
  </si>
  <si>
    <t>42114510 Carton BOX 57*37.5*23CM</t>
  </si>
  <si>
    <t>Katalin.Carreto@Avient.com</t>
  </si>
  <si>
    <t>KATALIN CORRETO</t>
  </si>
  <si>
    <t>PEMARON 260G6HI YL21</t>
  </si>
  <si>
    <t>KIAN WEE</t>
  </si>
  <si>
    <t>INABATA</t>
  </si>
  <si>
    <t xml:space="preserve">INFINO SC-1102UR </t>
  </si>
  <si>
    <t>Atlas Polymer Inc</t>
  </si>
  <si>
    <t>Adtec Colorant Corporation</t>
  </si>
  <si>
    <t xml:space="preserve">INFINO SC-1220R </t>
  </si>
  <si>
    <t>6AC9-71409  Rich Red</t>
  </si>
  <si>
    <t>6AC0-22257 Black</t>
  </si>
  <si>
    <t>BOX 1010 X 1041 X 1114 32 C KRAFT</t>
  </si>
  <si>
    <t>PAD 1040 X 1000 SG C KRAFT</t>
  </si>
  <si>
    <t>CORBOX</t>
  </si>
  <si>
    <t>BISSELL</t>
  </si>
  <si>
    <t>BOX 272 X 215 X 155 32 C KRAFT</t>
  </si>
  <si>
    <t>BOX 12" X 16" X 8 1/4"</t>
  </si>
  <si>
    <t>BOX 11 5/8*7 15/16*5 5/16</t>
  </si>
  <si>
    <t>BOX 1010 * 1041 * 1114 32 C KRAFT</t>
  </si>
  <si>
    <t>PAD 1040 * 1000 SG C KRAFT</t>
  </si>
  <si>
    <t xml:space="preserve">Insert Stator Core 000 </t>
  </si>
  <si>
    <t>Insert Stator Core 001</t>
  </si>
  <si>
    <t>PC 141-112</t>
  </si>
  <si>
    <t>PP3B0BK- 1E8L9</t>
  </si>
  <si>
    <t>Acrylic (PMMA)   DF23 8N</t>
  </si>
  <si>
    <t>ZYTEL  ST801AW NC010</t>
  </si>
  <si>
    <t xml:space="preserve">CONTAINER (HDPE) 40"L X 48"W X 45"H </t>
  </si>
  <si>
    <t>LAYER DIVIDER PADS 45.2" x 37"</t>
  </si>
  <si>
    <t xml:space="preserve">PARTITION SET (30 INDIVIDUAL CELLS) 6.625" x 6.625" x 2.5" </t>
  </si>
  <si>
    <t>TOP CAP  (HDPE) 40" x 45"</t>
  </si>
  <si>
    <t>PALLET (HDPE) 40" x 48"</t>
  </si>
  <si>
    <t>RENOL BLACK SB94613043</t>
  </si>
  <si>
    <t>carolc@texcoresin.com</t>
  </si>
  <si>
    <t>Carol Combs</t>
  </si>
  <si>
    <t>110 LB</t>
  </si>
  <si>
    <t>HF-0660I /C83807 GRAY</t>
  </si>
  <si>
    <t>LPP10BD07HB-BK</t>
  </si>
  <si>
    <t>175 LB</t>
  </si>
  <si>
    <t>2 BOX</t>
  </si>
  <si>
    <t>IK INABATA MEXICO</t>
  </si>
  <si>
    <t>PAU ULTRAMID A4H BLACK</t>
  </si>
  <si>
    <t>60-4247 THERMPLASTIC VYDYNE 909 BLACK</t>
  </si>
  <si>
    <t>60-4250 VYDYNE 909 NATURAL (NYLON UNFILLED)</t>
  </si>
  <si>
    <t>THERMOPLASTIC AMODEL AFA6133</t>
  </si>
  <si>
    <t xml:space="preserve">FP63E33HBBK </t>
  </si>
  <si>
    <t>AMETEK</t>
  </si>
  <si>
    <t xml:space="preserve">PC+ABS </t>
  </si>
  <si>
    <t>ABS C2950HF 66615 RED CYCOLOY FR</t>
  </si>
  <si>
    <t>CYCOLOY LG9000-700734 BK1044</t>
  </si>
  <si>
    <t>KINGFA</t>
  </si>
  <si>
    <t>ABS KingFa HF-630-EN</t>
  </si>
  <si>
    <t xml:space="preserve">ABS </t>
  </si>
  <si>
    <t>RETURNABLE PLASTIC BOX</t>
  </si>
  <si>
    <t>RENOL-ROJO NC32613036-ZT</t>
  </si>
  <si>
    <t>Nylon 66</t>
  </si>
  <si>
    <t>TORAY RESIN MEXICO</t>
  </si>
  <si>
    <t>FR530BK507 RYNITE FR530 POLYESTER</t>
  </si>
  <si>
    <t>AMILAN CM3004-V0 NAT</t>
  </si>
  <si>
    <t>LG LUPOY GN5001RFL_KA02*350</t>
  </si>
  <si>
    <t>NAGASE WAHLEE PLASTIC</t>
  </si>
  <si>
    <t>CHICONY</t>
  </si>
  <si>
    <t>Nylon 66-25%GF</t>
  </si>
  <si>
    <t>VYDYNE R525J NT0721</t>
  </si>
  <si>
    <t>ANTICORROSIVO</t>
  </si>
  <si>
    <t xml:space="preserve">NIDEC MOTOR CORP. SPEC L04D                </t>
  </si>
  <si>
    <t>ENGINEERED LUBRICANTS</t>
  </si>
  <si>
    <t>QT</t>
  </si>
  <si>
    <t>NIDEC</t>
  </si>
  <si>
    <t>PA 66 14%</t>
  </si>
  <si>
    <t>KNAPE</t>
  </si>
  <si>
    <t>8500-8TW FELT CUSHION</t>
  </si>
  <si>
    <t>MARIAN CHICAGO</t>
  </si>
  <si>
    <t>PC LEXAN CFR9712</t>
  </si>
  <si>
    <t>MAKROLON 6455-551045 CLR.</t>
  </si>
  <si>
    <t>INVISTA AP 6106-HS PDAP6106HS60</t>
  </si>
  <si>
    <t>NETAFIM</t>
  </si>
  <si>
    <t>AP</t>
  </si>
  <si>
    <t>ZYTEL 8018HS BKB085 - Nylon 66</t>
  </si>
  <si>
    <t>ULTRADUR TYP B4300G6 SCHWARZ 5110</t>
  </si>
  <si>
    <t>CMPL4X6AKCL600</t>
  </si>
  <si>
    <t>1501945-34-A</t>
  </si>
  <si>
    <t>1501946-00-B</t>
  </si>
  <si>
    <t>SPIROL M4X6</t>
  </si>
  <si>
    <t>1407025-A</t>
  </si>
  <si>
    <t>1407025-B</t>
  </si>
  <si>
    <t>1407025-C</t>
  </si>
  <si>
    <t>1407025-D</t>
  </si>
  <si>
    <t>FAN INSERT METAL N541865</t>
  </si>
  <si>
    <t>TERM OF
PAYMENTS</t>
  </si>
  <si>
    <t>ASA CLEAN (ASAHI KASEI)</t>
  </si>
  <si>
    <t>CORRUGATED BOX METHOD 24''X 14'' X 5''</t>
  </si>
  <si>
    <t xml:space="preserve">PARTITION METHODE 4 X6 </t>
  </si>
  <si>
    <t>BOX COVER 28*15*3 METHODE</t>
  </si>
  <si>
    <t>BAG ESD METHODE 13'' X 7''</t>
  </si>
  <si>
    <t>BAG ESD TRANSPARENT METHODE 28'' X 14''</t>
  </si>
  <si>
    <t>PCS</t>
  </si>
  <si>
    <t>EMiramontes@AmcoPolymers.com
toliva@amcopolymers.com</t>
  </si>
  <si>
    <t>brianh@all-res.com</t>
  </si>
  <si>
    <t xml:space="preserve">Brian Hong </t>
  </si>
  <si>
    <t>SEMCSCENTRAL@Avient.com</t>
  </si>
  <si>
    <t>Dave</t>
  </si>
  <si>
    <t>Kian Wee</t>
  </si>
  <si>
    <t>NEWELL</t>
  </si>
  <si>
    <t>INEOS LUSTRAN 31</t>
  </si>
  <si>
    <t>PIGMENTO RENOL BK (4%)</t>
  </si>
  <si>
    <t>BUSBAR, B-PHASE (1501945-34-A)</t>
  </si>
  <si>
    <t>BUSBAR, C-PHASE (1501946-00-B)</t>
  </si>
  <si>
    <t>jhong@ewcomponents.com</t>
  </si>
  <si>
    <t>John Hong</t>
  </si>
  <si>
    <t>cperez@marianchicago.com
dpatel@marianchicago.com</t>
  </si>
  <si>
    <t>klavertue@prlresins.com</t>
  </si>
  <si>
    <t>860-751-7938</t>
  </si>
  <si>
    <t>RTP COMPANY</t>
  </si>
  <si>
    <t>CBentrim@pemnet.com</t>
  </si>
  <si>
    <t>215-766-8853 ext. 1178</t>
  </si>
  <si>
    <t>PS-PLUS PURGA QUIMICA</t>
  </si>
  <si>
    <t>PURGE ULTRAPLAST MEXICO</t>
  </si>
  <si>
    <t>CLASE</t>
  </si>
  <si>
    <t>GIRO</t>
  </si>
  <si>
    <t>CERTIFICADO
(ISO 9001-2015)</t>
  </si>
  <si>
    <t>CERTIFICADO
(IATF 16949-2016)</t>
  </si>
  <si>
    <t>NOMBRE DEL PROVEEDOR</t>
  </si>
  <si>
    <t>CONTACTO</t>
  </si>
  <si>
    <t>A</t>
  </si>
  <si>
    <t>B</t>
  </si>
  <si>
    <t>No Automotriz</t>
  </si>
  <si>
    <t>TELEFONO / FAX</t>
  </si>
  <si>
    <t>CORREO</t>
  </si>
  <si>
    <t>(81) 3145 5707</t>
  </si>
  <si>
    <t>dlopez@methode.com</t>
  </si>
  <si>
    <t>Automotriz</t>
  </si>
  <si>
    <t>'KingYao-Vicky Huang' &lt;vicky@kingyao.com&gt;</t>
  </si>
  <si>
    <t>FECHA DE EXP
(M/D/A)</t>
  </si>
  <si>
    <t>Wellamid® GF33-66 XE-NBK1</t>
  </si>
  <si>
    <t>PRET Advanced Materials, LLC.</t>
  </si>
  <si>
    <t>ABC MG47 BK4500 BK CYCOLAC BAG107- 697400</t>
  </si>
  <si>
    <t>Arturo López</t>
  </si>
  <si>
    <t>52 442 338 0556</t>
  </si>
  <si>
    <t>Arturo.Lopez@PRETgroup.com</t>
  </si>
  <si>
    <t>Jimmy Park 
Moonhyun Kim (Luna)</t>
  </si>
  <si>
    <t xml:space="preserve">
734-217-7920</t>
  </si>
  <si>
    <t>jimmy.park@lotte.net
Moonhyun_Kim@lotte.net</t>
  </si>
  <si>
    <t>INSERTS REUSABLE (017779-000-000)</t>
  </si>
  <si>
    <t>SHIPPER, BOX SMALL (017415-001-000)</t>
  </si>
  <si>
    <t>INSERT A, CORRUGATED (066913-000-000)</t>
  </si>
  <si>
    <t>SHIPPER, CORRUGATED (066912-000-000)</t>
  </si>
  <si>
    <t>Production</t>
  </si>
  <si>
    <t>Transit</t>
  </si>
  <si>
    <t>Total</t>
  </si>
  <si>
    <t>LEAD TIME (Weeks)</t>
  </si>
  <si>
    <t xml:space="preserve">REMAFIN-NEGRO PE-120-USA </t>
  </si>
  <si>
    <t xml:space="preserve">FR3010HF-301648 Red </t>
  </si>
  <si>
    <t>ENTEC POLYMERS</t>
  </si>
  <si>
    <t>N019341, N036359, N036360, N092254</t>
  </si>
  <si>
    <t>SAN</t>
  </si>
  <si>
    <t>FORMERRA</t>
  </si>
  <si>
    <t>AVIENT COLORANTS MX, S.A DE C.V.</t>
  </si>
  <si>
    <t>CHROMA COLOR CORPORATION</t>
  </si>
  <si>
    <t xml:space="preserve">장영찬-YC Jang &lt;jangmara@krkeeper.com&gt; </t>
  </si>
  <si>
    <t xml:space="preserve">Jang </t>
  </si>
  <si>
    <t>KOREA KEEPER CO</t>
  </si>
  <si>
    <t>POLYMER RESOURCES LTD.</t>
  </si>
  <si>
    <t>RUSKIN</t>
  </si>
  <si>
    <t>SMP</t>
  </si>
  <si>
    <t>Notes</t>
  </si>
  <si>
    <t>Varios</t>
  </si>
  <si>
    <t>Status</t>
  </si>
  <si>
    <t>Activo</t>
  </si>
  <si>
    <t xml:space="preserve">HSC 45 x 45 x 44" 42 BC Kraft </t>
  </si>
  <si>
    <t xml:space="preserve">Cecilia Guo </t>
  </si>
  <si>
    <t xml:space="preserve">cecilia.guo@liphing.com </t>
  </si>
  <si>
    <t>V826-58208 (black)     </t>
  </si>
  <si>
    <t>PMMA</t>
  </si>
  <si>
    <t xml:space="preserve">PP-TC15G80 BK001 </t>
  </si>
  <si>
    <t>PA6+30%GF</t>
  </si>
  <si>
    <t>CIA = 0</t>
  </si>
  <si>
    <t>PEPS BUTTON</t>
  </si>
  <si>
    <t>Karen Espinoza</t>
  </si>
  <si>
    <t>PEMARON 260G6HI 91BK</t>
  </si>
  <si>
    <t>Acrylite ® 8N Plus Black 9B8 (9V060)</t>
  </si>
  <si>
    <t>Methacrylate Chemicals Roehm Mexico, S.A de C.V</t>
  </si>
  <si>
    <t>REGENT PRECISION METAL PRODUCTS LIMITED</t>
  </si>
  <si>
    <t>PA6-G30 KA501 RED</t>
  </si>
  <si>
    <t>INSERT WHITE PLATING ZING M5X0.8 (695506001)</t>
  </si>
  <si>
    <t>ABF-0200HF F44509 RED</t>
  </si>
  <si>
    <t>SUPPLIER / Distributor</t>
  </si>
  <si>
    <t>DDL Industries</t>
  </si>
  <si>
    <t>TINTA TPU MARABU 970 BLANCO 1K</t>
  </si>
  <si>
    <t>TAMPOMEX</t>
  </si>
  <si>
    <t>ENDURECEDOR MARABU H1 100 ML</t>
  </si>
  <si>
    <t>THINNER TPV 1L MARABU</t>
  </si>
  <si>
    <t>CELCON WR90Z CD32403 BLACK (131309 Black (POM) ACETAL POLYMER)</t>
  </si>
  <si>
    <t xml:space="preserve">131760 PRO-FAX 7523 NAT </t>
  </si>
  <si>
    <t>Bamberger Amco Polymers</t>
  </si>
  <si>
    <t>WINTECH</t>
  </si>
  <si>
    <t>PC 943A 116 NAT LEXAN BOX200</t>
  </si>
  <si>
    <t xml:space="preserve">BECKY BAUER  
SANDY MARTIN  </t>
  </si>
  <si>
    <t xml:space="preserve">908-930-2710
609-397-6323  </t>
  </si>
  <si>
    <t>anna_carter@nexeoplastics.com
apereira@nexeoplastics.com</t>
  </si>
  <si>
    <t>5075B_8384K</t>
  </si>
  <si>
    <t>CONVENTUS POLYMERS de Mexico</t>
  </si>
  <si>
    <t>Gerardo López Kuri</t>
  </si>
  <si>
    <t>glopezkuri@conventuspolymers.com</t>
  </si>
  <si>
    <t>A218V30 Black</t>
  </si>
  <si>
    <t>SANTOPRENE 101-64</t>
  </si>
  <si>
    <t>ANTECH</t>
  </si>
  <si>
    <t>BKV30H2.0 Black</t>
  </si>
  <si>
    <t>PP Repro Black</t>
  </si>
  <si>
    <t>JH820-M10 NC006</t>
  </si>
  <si>
    <t>PA6-G30 KA884 BK</t>
  </si>
  <si>
    <t>Methode Stellantis</t>
  </si>
  <si>
    <t>INSERT BLACK Zn- PLATING 637351002</t>
  </si>
  <si>
    <t>Angel Chen总经理秘书</t>
  </si>
  <si>
    <t>0769-85909280-828</t>
  </si>
  <si>
    <t>METHODE TESLA</t>
  </si>
  <si>
    <t>Methode FORD</t>
  </si>
  <si>
    <t>Roehm Chemical (Shanghai) Co., Ltd</t>
  </si>
  <si>
    <t>Milwaukee</t>
  </si>
  <si>
    <t>China</t>
  </si>
  <si>
    <t>MPIF FC-0208 DENSITY: 6.4-6.8 GM/CC 695955001</t>
  </si>
  <si>
    <t>PA66 T303 25GF VO BK</t>
  </si>
  <si>
    <t>(PAD) 70 X 40 32 C KRAFT</t>
  </si>
  <si>
    <t>(RSC) 70 X 40 X 33 44 C KRAFT</t>
  </si>
  <si>
    <t>Uniform Color (UCC)</t>
  </si>
  <si>
    <t>Suzhou Jinding Metalúrgico Co., Ltd.</t>
  </si>
  <si>
    <t>Guangdong HTASO New Materials Technology Co., Ltd</t>
  </si>
  <si>
    <t>HW631 (CRN)</t>
  </si>
  <si>
    <t>HW631 (NJR)</t>
  </si>
  <si>
    <t>HT641(CRN)</t>
  </si>
  <si>
    <t>GRAY, PANT427C</t>
  </si>
  <si>
    <t>Celcon M270 (Acetal M270Nat)</t>
  </si>
  <si>
    <t>Valox 357N (Valox 357N/G281781/Mix)</t>
  </si>
  <si>
    <t>SCHNEIDER</t>
  </si>
  <si>
    <t>Li Yan (MISS)</t>
  </si>
  <si>
    <t xml:space="preserve">edgar_avalon@outlook.com&gt; </t>
  </si>
  <si>
    <t>Edgar Avalon</t>
  </si>
  <si>
    <t>service@h-taso.com</t>
  </si>
  <si>
    <t>DORMAKABA</t>
  </si>
  <si>
    <t>NOMEX LABEL</t>
  </si>
  <si>
    <t>GT 75 IT NNB - RESIN</t>
  </si>
  <si>
    <t>HW631 B4009 (CRN)</t>
  </si>
  <si>
    <t>HW631 74006M (DFS)</t>
  </si>
  <si>
    <t>HT641 B4009 (CRN)</t>
  </si>
  <si>
    <t>HT641 74006M (DFS)</t>
  </si>
  <si>
    <t>HW631 8117 (RBQ)</t>
  </si>
  <si>
    <t>HT611 74006M (DFS)</t>
  </si>
  <si>
    <t>HT611 B4009 (CRN)</t>
  </si>
  <si>
    <t>5075B_8384K Alterna</t>
  </si>
  <si>
    <t xml:space="preserve">PC PBT 357 1001 NAT VALOX </t>
  </si>
  <si>
    <t>HT641 8117(BK/RBQ)</t>
  </si>
  <si>
    <t>ARC Resin Corp</t>
  </si>
  <si>
    <t>BOX - MS (RSC) 2360 X 862 44 C KRAFT</t>
  </si>
  <si>
    <t>PAD - MS (PAD) 622 X 470 32 C KRAFT</t>
  </si>
  <si>
    <t>PENDING</t>
  </si>
  <si>
    <t>PTN - MS (PTN) 622 X 516 X 155 32 C KRAFT</t>
  </si>
  <si>
    <t>Bolsa Tela Blanca 22 1/2 x 6 1/2"</t>
  </si>
  <si>
    <t>Amber Mastantuono
Patti Schwendeman</t>
  </si>
  <si>
    <t>BOX 40 X 74 X 11</t>
  </si>
  <si>
    <t>PAD 40 X 74</t>
  </si>
  <si>
    <t>W 22 cm x H 40 cm Foam</t>
  </si>
  <si>
    <t>CELCON ACETAL M90 NAT</t>
  </si>
  <si>
    <t>ACETAL M270BK</t>
  </si>
  <si>
    <t>RYTON R4200BK</t>
  </si>
  <si>
    <t>HSC 45 x 45 x 40" 48 BC Kraft, Faja de reforzamiento 45 x 40" 48 BC Kraft &amp; Tapa 44 1/2 x 44 1/2" 32 C Kraft</t>
  </si>
  <si>
    <t xml:space="preserve">PA66 GS-51 BK NYLATRON </t>
  </si>
  <si>
    <t>Tampico</t>
  </si>
  <si>
    <t>USA/MEX</t>
  </si>
  <si>
    <t>Altamira</t>
  </si>
  <si>
    <t>MX</t>
  </si>
  <si>
    <t>Origen</t>
  </si>
  <si>
    <t>WINTECH KOREA</t>
  </si>
  <si>
    <t>Comercializadora Matsa</t>
  </si>
  <si>
    <t>Volkert Precision</t>
  </si>
  <si>
    <t>South Korea</t>
  </si>
  <si>
    <t>COO USA</t>
  </si>
  <si>
    <t>WINONA</t>
  </si>
  <si>
    <t xml:space="preserve">OHIO, USA </t>
  </si>
  <si>
    <t>COVESTRO BAYBLEND FR 110 PC/ABS BLEND</t>
  </si>
  <si>
    <t>Guangdong, China</t>
  </si>
  <si>
    <t>Republic of Korea</t>
  </si>
  <si>
    <t>S. Korea</t>
  </si>
  <si>
    <t>Liaoning, China</t>
  </si>
  <si>
    <t>Suzhou, China</t>
  </si>
  <si>
    <t>Germany</t>
  </si>
  <si>
    <t>Taiwan</t>
  </si>
  <si>
    <t>Pigmento gray</t>
  </si>
  <si>
    <t>Pigmento blue</t>
  </si>
  <si>
    <t>10S91VE6 COOL GRAY</t>
  </si>
  <si>
    <t>VYDYNE PA66</t>
  </si>
  <si>
    <t>Polyamide 66</t>
  </si>
  <si>
    <t>PA6-GF15</t>
  </si>
  <si>
    <t>ASA</t>
  </si>
  <si>
    <t>PA 6</t>
  </si>
  <si>
    <t>PA 66</t>
  </si>
  <si>
    <t>PP3B0</t>
  </si>
  <si>
    <t>P66</t>
  </si>
  <si>
    <t>PS</t>
  </si>
  <si>
    <t>PBT </t>
  </si>
  <si>
    <t>PA66/6</t>
  </si>
  <si>
    <t>PBT+PC</t>
  </si>
  <si>
    <t>Rio Bravo, MX</t>
  </si>
  <si>
    <t>CA</t>
  </si>
  <si>
    <t>HW631 54015 NJR</t>
  </si>
  <si>
    <t>HW631 73013 EMA</t>
  </si>
  <si>
    <t>50 KG</t>
  </si>
  <si>
    <t>Preh Mexico</t>
  </si>
  <si>
    <t>V825-58208 (black)     </t>
  </si>
  <si>
    <t>TRINSEO</t>
  </si>
  <si>
    <t>INSERT FRAC-250</t>
  </si>
  <si>
    <t>SABIC NORYL GFN2</t>
  </si>
  <si>
    <t xml:space="preserve">DELRIN 500CL </t>
  </si>
  <si>
    <t>CNM270CD3068 CEL CELCON ACE BK</t>
  </si>
  <si>
    <t>郑仕华</t>
  </si>
  <si>
    <t>zsh@szjdyj.com</t>
  </si>
  <si>
    <t>706 333 5347</t>
  </si>
  <si>
    <t xml:space="preserve">Chris Stoehr </t>
  </si>
  <si>
    <t>Sun Luen (HK) Metal Manufactory Co</t>
  </si>
  <si>
    <t>TPE-360D002 BLK</t>
  </si>
  <si>
    <t>AUDIA</t>
  </si>
  <si>
    <t>Supplier Audir
New supplier</t>
  </si>
  <si>
    <t>OK</t>
  </si>
  <si>
    <t>PC REGRINDED FOR JIGS (Inventary RED)</t>
  </si>
  <si>
    <t>Verónica Bustos Rivera</t>
  </si>
  <si>
    <t>STRETCH FILM 20 X 5000 GA 60 PCM</t>
  </si>
  <si>
    <t>ESQUINERO CARTON</t>
  </si>
  <si>
    <t>FLEJES SULTANA</t>
  </si>
  <si>
    <t>PBT 420 BK1066 BK VALOX BOX200</t>
  </si>
  <si>
    <t>ULTRAMID B3ZG6 GB16616-N  (Yellow) ES283 CAD FREE</t>
  </si>
  <si>
    <t xml:space="preserve">ULTRAMID B3ZG6 GY7639                                                 </t>
  </si>
  <si>
    <t>MEXICO</t>
  </si>
  <si>
    <t>TARIMA 40 X 48 CLASE A (NETAFIM)</t>
  </si>
  <si>
    <t>30S81V0T Sand PP QAWI-036</t>
  </si>
  <si>
    <t>Litro</t>
  </si>
  <si>
    <t>PIGMENT 80-6257218NE Red</t>
  </si>
  <si>
    <t>ONCOLOR AMARILLO SB12613045-ZT</t>
  </si>
  <si>
    <t>ONCOLOR AMARILLO MO12613014-ZT</t>
  </si>
  <si>
    <t>sarahi.castro1@sabic.com
myrna.suarez@sabic.com</t>
  </si>
  <si>
    <t>service@h-taso.com
钟柳新 &lt;liuxin.zhong@h-taso.com&gt;</t>
  </si>
  <si>
    <t>Terluran® GP-22 NR 726KG BOX</t>
  </si>
  <si>
    <t>INEOS Styrolution Mexicana,
S.A. de C.V.</t>
  </si>
  <si>
    <t>3500295 3500296</t>
  </si>
  <si>
    <t>3500331 - 336</t>
  </si>
  <si>
    <t>Duracon M25-44 CF2001 (Natural)</t>
  </si>
  <si>
    <t>Promaplast Resinas SA de CV (IMCD COMPANY)</t>
  </si>
  <si>
    <t>Proveedora de Materiales Plásticos S.A. de C.V. (IMCD COMPANY)</t>
  </si>
  <si>
    <t>OMNICOLOR UN0055P (OC9UFA)(461491TVR)</t>
  </si>
  <si>
    <t>Eva Aviles</t>
  </si>
  <si>
    <t>248-620-8802</t>
  </si>
  <si>
    <t>COMPONENT 660579001 (HBI59-1) UNC6-32 SCREW</t>
  </si>
  <si>
    <t>3500331 - 3500336</t>
  </si>
  <si>
    <t>BLENDED PURGE (UCClean G1)</t>
  </si>
  <si>
    <t>APODACA NL</t>
  </si>
  <si>
    <t>Taiwan, China</t>
  </si>
  <si>
    <t>ADDB-167
ADDA-290-1</t>
  </si>
  <si>
    <t>LCSR-27</t>
  </si>
  <si>
    <t>Estatus</t>
  </si>
  <si>
    <t>ONCOLOR GRIS NB73613024-ZT</t>
  </si>
  <si>
    <t>Katya González</t>
  </si>
  <si>
    <t xml:space="preserve">katya.gonzalez@nagase.com.mx </t>
  </si>
  <si>
    <t>ARC60G33-BK</t>
  </si>
  <si>
    <t>NYLON 6 33%</t>
  </si>
  <si>
    <t>Insert</t>
  </si>
  <si>
    <t>LOTTE Chemical California, Inc.</t>
  </si>
  <si>
    <t>630 909 4577</t>
  </si>
  <si>
    <t>VALLEY Plastics &amp; Paper Recycling</t>
  </si>
  <si>
    <t>INSERT MOTOR BLOCK FEED - THRC TERMINAL "NUEVO DISEÑO"</t>
  </si>
  <si>
    <t>PC/ABS REGRIND</t>
  </si>
  <si>
    <t>Supplier confirms that they cannot complete forms</t>
  </si>
  <si>
    <t>Maria Magdalena Mojica Gomez
Carmina Tapia</t>
  </si>
  <si>
    <t xml:space="preserve"> maria-magdalena.mojica@basf.com
carmina.tapia@basf.com</t>
  </si>
  <si>
    <t>Texas Tool Company</t>
  </si>
  <si>
    <t>Taiwán</t>
  </si>
  <si>
    <t>Escocia, Reino Unido</t>
  </si>
  <si>
    <t>A16382F5TE</t>
  </si>
  <si>
    <t>10436452-00 Corr, 23.63x22.13x8.63,44ECT</t>
  </si>
  <si>
    <t>10440731-00 Tray,23.3x11.1.96,PET,CAL4</t>
  </si>
  <si>
    <t>10494756-00 Bag,61 38x76.5cm,VCI,CAL300</t>
  </si>
  <si>
    <t>Mholland</t>
  </si>
  <si>
    <t>ONCOLOR BLACK/FIX/PBT (CC10320891WE) Colorante 01-61-02870- 1</t>
  </si>
  <si>
    <t>Alandro Plastic Resources LLC</t>
  </si>
  <si>
    <t>Sherri.brown@teknorapex.com
egarza@teknorapex.com</t>
  </si>
  <si>
    <t>LIVEWIRE</t>
  </si>
  <si>
    <t>WOORI</t>
  </si>
  <si>
    <t>ANTICORROSIVE</t>
  </si>
  <si>
    <t>PACKING</t>
  </si>
  <si>
    <t>ONCOLOR AZUL AB52613050-ZT</t>
  </si>
  <si>
    <t>ALLEN WRENCHES BY DISK CUT OFF AND DEBUR CLEAN. LEAVE AT 50.0MM LONG</t>
  </si>
  <si>
    <t>Gil Peña</t>
  </si>
  <si>
    <t>Gil Peña  &lt;gil.pena@izvory.com&gt;</t>
  </si>
  <si>
    <t>899 460 1433</t>
  </si>
  <si>
    <t>ULTRAMID* 2710HI BLACK POLYAMIDE</t>
  </si>
  <si>
    <t>LEXAN FR 925-701 Black</t>
  </si>
  <si>
    <t>Noryl N190X</t>
  </si>
  <si>
    <t>PPO</t>
  </si>
  <si>
    <t>Arnitel</t>
  </si>
  <si>
    <t>ABS Resin_HF-06601_NP</t>
  </si>
  <si>
    <t>Celso Palomar &lt;cpalomar@kingfa.com.cn&gt;</t>
  </si>
  <si>
    <t>55 2968 4274</t>
  </si>
  <si>
    <t>NAGASE ENTERPRISE MEXICO</t>
  </si>
  <si>
    <t>Jenny Marsala</t>
  </si>
  <si>
    <t>314-872-9540 ext. 3036</t>
  </si>
  <si>
    <t>MASTER BOX 451X411X444 32 ECT C (FCST: 35000)</t>
  </si>
  <si>
    <t>PARTITION SET 440X400X215 32 ECT C (FCST: 95000)</t>
  </si>
  <si>
    <t>CARTON PAD 407X447 32 ECT C ( FCST: 72000 )</t>
  </si>
  <si>
    <t>Akulon K224-LGM35\BK9717\OFX</t>
  </si>
  <si>
    <t>Hi-Tech Fasteners, Inc.</t>
  </si>
  <si>
    <t>TW</t>
  </si>
  <si>
    <t>Nuevo</t>
  </si>
  <si>
    <t>Hi-Tech Fasteners, Inc</t>
  </si>
  <si>
    <t>Lindsey Tucker</t>
  </si>
  <si>
    <t>(301) 831-1277 x127</t>
  </si>
  <si>
    <t>Albea</t>
  </si>
  <si>
    <t>Pigmento- PVC 0125359AB  PURPLE PP/PCR</t>
  </si>
  <si>
    <t>Pigmento- PGC 0088682DM  TRANS GREEN CL PP</t>
  </si>
  <si>
    <t>Pigmento- PRC 0116230E  CREAMY CORAL (WN)</t>
  </si>
  <si>
    <t>Pigmento- PTC 0115364  BLUSHING NUDE BROWN (WN)</t>
  </si>
  <si>
    <t>Pigmento- PMC 0503773 #12494 GOLD PEARL FDA</t>
  </si>
  <si>
    <t>Pigmento- PMC 0120261L CERAVE FLUORESCENT PURPLE PEARL</t>
  </si>
  <si>
    <t>Pigmento- PMC 0118322 ALBEA GOLD PEARL</t>
  </si>
  <si>
    <t>Pigmento- PRA 4442 2705 ULTRA-TRANS RED</t>
  </si>
  <si>
    <t>Pigmento- PMC 0111299L #5720OU02-V3 SILVER GREY PP</t>
  </si>
  <si>
    <t>Pigmento- PRC 0116231E TULLE RED (WN)</t>
  </si>
  <si>
    <t>BADGER COLOR USA</t>
  </si>
  <si>
    <t>EL630-08\NA99001\71103 Arnitel® Co-Polyester Elastomer 58 Shore D COPE, Injection Molding Grade,
Natural</t>
  </si>
  <si>
    <t xml:space="preserve">Ashley Bystrek </t>
  </si>
  <si>
    <t>262-363-5710</t>
  </si>
  <si>
    <t>Gerardo Garza  </t>
  </si>
  <si>
    <t xml:space="preserve">210-238-3138  </t>
  </si>
  <si>
    <t>gerardo.garza@mholland.com</t>
  </si>
  <si>
    <t xml:space="preserve">PENNCOLOR </t>
  </si>
  <si>
    <t>Evelyn Beltrán</t>
  </si>
  <si>
    <t>446-120-2823</t>
  </si>
  <si>
    <t>ebeltran@penncolor.com</t>
  </si>
  <si>
    <t>UCClean G1 BLENDED PURGE</t>
  </si>
  <si>
    <t>52530512 Ultramid® B3GM35 BK Q642 23220</t>
  </si>
  <si>
    <t>PSW</t>
  </si>
  <si>
    <t>Luran S 777K UV BK61066GM</t>
  </si>
  <si>
    <t>mhinojosa@woori-usa.com</t>
  </si>
  <si>
    <t>Marco Hinojosa</t>
  </si>
  <si>
    <t>11-000-000-021 i-OnColor ABS 1002 BK112</t>
  </si>
  <si>
    <t>Orion Performance Compounds</t>
  </si>
  <si>
    <t>PA6</t>
  </si>
  <si>
    <t>Trexprene A70CI-HF 103H Backen Black</t>
  </si>
  <si>
    <t>General Polymers</t>
  </si>
  <si>
    <t>JCI WICHITA</t>
  </si>
  <si>
    <t>ABS Negro Repro - Negro – REA91</t>
  </si>
  <si>
    <t>USD</t>
  </si>
  <si>
    <t>equal 1109127
Covestro -to- Mholland
USD</t>
  </si>
  <si>
    <t>Covestro -a- Mholland
USD</t>
  </si>
  <si>
    <t>QT = 0.946 lt
USD</t>
  </si>
  <si>
    <t>PESOS</t>
  </si>
  <si>
    <t>1075 Steel RC 48/51
USD</t>
  </si>
  <si>
    <t>Covestro -to- Mholland
USD</t>
  </si>
  <si>
    <t>JCI Reynosa</t>
  </si>
  <si>
    <t>EX9414T-8TB1259X   (SABIC)</t>
  </si>
  <si>
    <t>POLABOND-6041-70A  (RTP)</t>
  </si>
  <si>
    <t>M90NAT CF2001  (Hoescht Celenese Corp.)</t>
  </si>
  <si>
    <t>#JCI 01-61-1440
USD</t>
  </si>
  <si>
    <t>PP+Bio PE Compound</t>
  </si>
  <si>
    <t>PE Compound</t>
  </si>
  <si>
    <t>RFID COVERSAFFIRE LX-D 55.5 x 131mm</t>
  </si>
  <si>
    <t xml:space="preserve">CCL Design </t>
  </si>
  <si>
    <t xml:space="preserve">Sauceda, Luis </t>
  </si>
  <si>
    <t>lsauceda@cclind.com</t>
  </si>
  <si>
    <t>CCL Design UK Mexico / Worldmark UK Limited</t>
  </si>
  <si>
    <t>Juan Manuel Moreno
Vianey Albarran</t>
  </si>
  <si>
    <t>JuanManuel.Moreno@avient.com
vianey.albarran@avient.com</t>
  </si>
  <si>
    <t>PP/EPDM</t>
  </si>
  <si>
    <t>INEOS Olefins &amp; Polymers USA</t>
  </si>
  <si>
    <t>SILVER GREY ANC1892WW</t>
  </si>
  <si>
    <t>C00501 M4-338 RED</t>
  </si>
  <si>
    <t>1155072 M4-338 SILVER GREY</t>
  </si>
  <si>
    <t xml:space="preserve"> LT BLUE PBC97178DM</t>
  </si>
  <si>
    <t xml:space="preserve"> GREY PEARL PMC01214056</t>
  </si>
  <si>
    <t>TRANS TUBE PMC0135516E</t>
  </si>
  <si>
    <t>Ashley Groves</t>
  </si>
  <si>
    <t>ONCOLOR AMARILLO SB13613050-ZT</t>
  </si>
  <si>
    <t>11-000-000-032 i-OnColor ABS 1002 GY131</t>
  </si>
  <si>
    <t>C2950HF-BR8002 (SABIC)  //   
CYCOLOY C2950HF, COLOR BR8002  (GE PLASTICS)</t>
  </si>
  <si>
    <t>EXL9330-WH8C318</t>
  </si>
  <si>
    <t>RESIN, THERMOPLASTIC POLYESTER, PET, 30
RYNITE FR530 BK50710  (DUPONT)</t>
  </si>
  <si>
    <t>Pigmento- Std Black PE (62B5773) P0124050649</t>
  </si>
  <si>
    <t>CC1035919260 Blue (AVIENT)</t>
  </si>
  <si>
    <t>Ventas2@publipak.com</t>
  </si>
  <si>
    <t>Raul Ramirez</t>
  </si>
  <si>
    <t>868 170 6594</t>
  </si>
  <si>
    <t>SILVER CERAVE PMC0127065</t>
  </si>
  <si>
    <t>Compression Limiter</t>
  </si>
  <si>
    <t>9:34 AM9:34 AM</t>
  </si>
  <si>
    <t>80-9257218NF BLACK</t>
  </si>
  <si>
    <t>7180256 Blue White PE MB</t>
  </si>
  <si>
    <t>AMPACET</t>
  </si>
  <si>
    <t>CERTIFICACION</t>
  </si>
  <si>
    <t>SI</t>
  </si>
  <si>
    <t>Sunghwan An</t>
  </si>
  <si>
    <t xml:space="preserve">Marco Rebollo </t>
  </si>
  <si>
    <t>Beth Bodine</t>
  </si>
  <si>
    <t>Garrett Peters</t>
  </si>
  <si>
    <t>Enrique Miramontes</t>
  </si>
  <si>
    <t>Clarisa Perez 
DEVANG PATEL</t>
  </si>
  <si>
    <t xml:space="preserve">Daniel Alejandro Lopez </t>
  </si>
  <si>
    <t>Anna Carter 
Adolfo Pereira</t>
  </si>
  <si>
    <t xml:space="preserve">Chris Bentrim </t>
  </si>
  <si>
    <t xml:space="preserve">Kori Lavertue </t>
  </si>
  <si>
    <t>Sarahi Castro 
Myrna Suarez</t>
  </si>
  <si>
    <t xml:space="preserve">Sherri Brown Customer
Eduardo de la Garza </t>
  </si>
  <si>
    <t>ISMAEL PENA</t>
  </si>
  <si>
    <t>Doug Resh Sr.</t>
  </si>
  <si>
    <t>Camellia Metal</t>
  </si>
  <si>
    <t>Laura Garcia</t>
  </si>
  <si>
    <t>(949) 750-0211</t>
  </si>
  <si>
    <t>CYCOLOY C2950-701 BK</t>
  </si>
  <si>
    <t>Santiago Mendoza</t>
  </si>
  <si>
    <t xml:space="preserve">89-92-57-19-35  </t>
  </si>
  <si>
    <t>PC Lexan EXL9330 Gray GY3B243
EXL9330-GY3B243  (SABIC)</t>
  </si>
  <si>
    <t>PP BLACK REPRO PELLET
Polypropylene reprocessed plastic in pellet
shape. Black colored.</t>
  </si>
  <si>
    <t>RODEGA Traders &amp; Logistics, LLC</t>
  </si>
  <si>
    <t>701240 - HARDENED WASHER</t>
  </si>
  <si>
    <t>ZZQITC-110682 ITC-M5 M5 MOLDED-IN INSERT SS</t>
  </si>
  <si>
    <t>PBT/PET/PC</t>
  </si>
  <si>
    <t xml:space="preserve"> Elizabeth Bazaldua</t>
  </si>
  <si>
    <t>52 (81) 5102 5754</t>
  </si>
  <si>
    <t>Colorante Resin ABS+PC Gray A16381D943</t>
  </si>
  <si>
    <t>#JCI A163819RY3
USD</t>
  </si>
  <si>
    <t>FR3040W-902035 (COVESTRO)</t>
  </si>
  <si>
    <t>CYCOLOY CX7240U COLOR CODE 8T5D033 (SABIC)</t>
  </si>
  <si>
    <t>RESIN CYCOLOY C2950,BLACK</t>
  </si>
  <si>
    <t>RESIN POLYVINIL CHLORIDE (PVC) GEON M.</t>
  </si>
  <si>
    <t>920A-116  (SABIC)</t>
  </si>
  <si>
    <t>RESIN, POLYCARBONATE/ABS, BAYBLEND FR30 FR3010 BAYER 500005 BLUE (Bayer MaterialScience LLC)</t>
  </si>
  <si>
    <t xml:space="preserve">Shawna Hawkins
Dawn Gilbert </t>
  </si>
  <si>
    <t>MRO</t>
  </si>
  <si>
    <t>INEOS Styrolution Mexicana,S.A. de C.V.</t>
  </si>
  <si>
    <t>Kim Hernandez
Donna Ivins</t>
  </si>
  <si>
    <t>Kim.Hernandez@ampacet.com
Donna.Ivins@ampacet.com</t>
  </si>
  <si>
    <t>1-914-332-7337
1 513 264 4503</t>
  </si>
  <si>
    <t>Omar Padilla</t>
  </si>
  <si>
    <t>Omar.Padilla@imcdmx.com</t>
  </si>
  <si>
    <t>81 1018 7676</t>
  </si>
  <si>
    <t>Yovanna Camargo</t>
  </si>
  <si>
    <t>yovannac@SerendipityElectronics.com</t>
  </si>
  <si>
    <t>PC/ABS Repro Black</t>
  </si>
  <si>
    <t>500-739  (SABIC)</t>
  </si>
  <si>
    <t>#JCI 01-61-975
USD</t>
  </si>
  <si>
    <t>RESIN, RTP 4499 x 99781, HTN, 36% GLASS</t>
  </si>
  <si>
    <t>Resin Nylon Zytel 101L Black</t>
  </si>
  <si>
    <t>Resin HDPE Kube White PIR 22405</t>
  </si>
  <si>
    <t>RESIN PLEXIGLASS,ATOFINA V825-100,CLEA</t>
  </si>
  <si>
    <t>Resin Acrylic Clear</t>
  </si>
  <si>
    <t>PLEXIGLAS V0521-100 CREAR (PDV052I10060)</t>
  </si>
  <si>
    <t>National Webbing Products Company / Div. Blue Star Webbing Corporation</t>
  </si>
  <si>
    <t>Steven Lazarus</t>
  </si>
  <si>
    <t>516-346-4636, ext#114</t>
  </si>
  <si>
    <t>slazarus@nationalwebbing.com</t>
  </si>
  <si>
    <t xml:space="preserve">STRAP </t>
  </si>
  <si>
    <t xml:space="preserve">PC+ABS molido </t>
  </si>
  <si>
    <t>PC+ABS repeletizado</t>
  </si>
  <si>
    <t>PPS</t>
  </si>
  <si>
    <t>PA612</t>
  </si>
  <si>
    <t>PSU</t>
  </si>
  <si>
    <t>ACM</t>
  </si>
  <si>
    <t>Entrega</t>
  </si>
  <si>
    <t>Facturación</t>
  </si>
  <si>
    <t>PC/ABS V0, KINGFA JH960-HT011,  COLOR, BLACK PER ES7-1.10E.</t>
  </si>
  <si>
    <t>PC/ABS V0, KINGFA JH960-HT011. COLOR, RED PER ES-7 1.10A.</t>
  </si>
  <si>
    <t>TPE, AUDIA 5565FR1. COLOR, BLACK PER ES7-1.10E.</t>
  </si>
  <si>
    <t>PC, KINGFA JH830NC. COLOR, BLACK PER ES-7 1.10E</t>
  </si>
  <si>
    <t>LIGHTPIPE, CLEAR PC, KINGFA JH830TX</t>
  </si>
  <si>
    <t>SBD, SHINETSU</t>
  </si>
  <si>
    <t>D-TACH</t>
  </si>
  <si>
    <t>MILWAUKEE</t>
  </si>
  <si>
    <t>SUMIDA</t>
  </si>
  <si>
    <t>Active</t>
  </si>
  <si>
    <t>Inactive</t>
  </si>
  <si>
    <t>New Project</t>
  </si>
  <si>
    <t>SK pickup in China
USD</t>
  </si>
  <si>
    <t>Alternate for 1102013
USD</t>
  </si>
  <si>
    <t>Consigned by the customer</t>
  </si>
  <si>
    <t>Alternate for 1103012
USD</t>
  </si>
  <si>
    <t>Alternate for 1101080 without approval
USD</t>
  </si>
  <si>
    <t>Alternate for 1102017
USD</t>
  </si>
  <si>
    <t>Alternate for Netafim
USD</t>
  </si>
  <si>
    <t>Alternate for 1302001</t>
  </si>
  <si>
    <t>Consigned by the customer
(ProveedorAntech)
SK recolecta en USA
USD</t>
  </si>
  <si>
    <t>Consignado por el Cliente
(Supplier: Antech)
SK pickup in USA
USD</t>
  </si>
  <si>
    <t>SK rpickup in China
USD</t>
  </si>
  <si>
    <t>SK pickup en USA
USD</t>
  </si>
  <si>
    <t>USD
Delivery Reynosa - American Billing</t>
  </si>
  <si>
    <t>Ing Andres commented that the tone was not functional
USD
Delivery Reynosa - American Billing</t>
  </si>
  <si>
    <t>Replacement of 1209029
USD
Delivery Reynosa - American Billing</t>
  </si>
  <si>
    <t>Replacement of 1209030
USD
Delivery Reynosa - American Billing</t>
  </si>
  <si>
    <t>Before: INSERT MOTOR BLOCK FEED-THRU TERMINAL
USD
Delivery Reynosa - American Billing</t>
  </si>
  <si>
    <t>Alternate for 1109142
USD
Delivery Reynosa - American Billing</t>
  </si>
  <si>
    <t>SK pickup in Apodaca
USD
Delivery Reynosa - American Billing</t>
  </si>
  <si>
    <t>PESOS
Delivery Reynosa - Mexican Billing</t>
  </si>
  <si>
    <t>Tosaf White ME800889</t>
  </si>
  <si>
    <t>PYC 0141549MK – MK CLEARPROOF 2.0 PROJECT-005320 YELLOW CAP</t>
  </si>
  <si>
    <t>#JCI 01-61-02889
USD
Delivery Reynosa - American Billing</t>
  </si>
  <si>
    <t>#JCI 01-61-1076
USD
Delivery Reynosa - American Billing</t>
  </si>
  <si>
    <t>#JCI 01-61-1467
USD
Delivery Reynosa - American Billing</t>
  </si>
  <si>
    <t>#JCI 01-61-231 
USD
Delivery Reynosa - American Billing</t>
  </si>
  <si>
    <t>#JCI 01-61-584
USD
Delivery Reynosa - American Billing</t>
  </si>
  <si>
    <t>#JCI 01-61-1181 
USD
Delivery Reynosa - American Billing</t>
  </si>
  <si>
    <t>#JCI 01-61-1459 
USD
Delivery Reynosa - American Billing</t>
  </si>
  <si>
    <t>#JCI 01-61-1408 
USD
Delivery Reynosa - American Billing</t>
  </si>
  <si>
    <t>#JCI 01-61-533 
USD
Delivery Reynosa - American Billing</t>
  </si>
  <si>
    <t>#JCI 01-61-1807 
USD
Delivery Reynosa - American Billing</t>
  </si>
  <si>
    <t>#JCI 01-61-02811
USD
Delivery Reynosa - American Billing</t>
  </si>
  <si>
    <t>#JCI 01-61-1483
USD
Delivery Reynosa - American Billing</t>
  </si>
  <si>
    <t>#JCI 01-61-1866
USD
Delivery Reynosa - American Billing</t>
  </si>
  <si>
    <t>#JCI 01-61-02560
USD
Delivery Reynosa - American Billing</t>
  </si>
  <si>
    <t>#JCI 01-61-2420
USD
Delivery Reynosa - American Billing</t>
  </si>
  <si>
    <t>#JCI 03-88013-70
USD
Delivery Reynosa - American Billing</t>
  </si>
  <si>
    <t>#JCI 01-61-1793
USD
Delivery Reynosa - American Billing</t>
  </si>
  <si>
    <t>#JCI 01-61-1580
USD
Delivery Reynosa - American Billing</t>
  </si>
  <si>
    <t>#JCI 01-61-1645
USD
Delivery Reynosa - American Billing</t>
  </si>
  <si>
    <t>#JCI 01-61-1688
USD
Delivery Reynosa - American Billing</t>
  </si>
  <si>
    <t>#JCI 01-61-1130
USD
Delivery Reynosa - American Billing</t>
  </si>
  <si>
    <t>#JCI 01-61-02730 
USD
Delivery Reynosa - American Billing</t>
  </si>
  <si>
    <t>#JCI 01-61-2358 
USD
Delivery Reynosa - American Billing</t>
  </si>
  <si>
    <t>#JCI 01-61-2021 
USD
Delivery Reynosa - American Billing</t>
  </si>
  <si>
    <t>#JCI 01-61-1904 
USD
Delivery Reynosa - American Billing</t>
  </si>
  <si>
    <t>#JCI 01-61-746 
USD
Delivery Reynosa - American Billing</t>
  </si>
  <si>
    <t>#JCI 01-61-223 
USD
Delivery Reynosa - American Billing</t>
  </si>
  <si>
    <t>#JCI 01-61-1874 
USD
Delivery Reynosa - American Billing</t>
  </si>
  <si>
    <t>#JCI 01-61-681 
USD
Delivery Reynosa - American Billing</t>
  </si>
  <si>
    <t>#JCI 01-61-134 
USD
Delivery Reynosa - American Billing</t>
  </si>
  <si>
    <t>#JCI A16381D955
USD
Delivery Reynosa - American Billing</t>
  </si>
  <si>
    <t>#JCI A16381D943
USD
Delivery Reynosa - American Billing</t>
  </si>
  <si>
    <t>#JCI 01-61-02781 
USD</t>
  </si>
  <si>
    <t>VIRTUAL</t>
  </si>
  <si>
    <t>RESIN, POLYCARBONATE LEXAN 945 COLOR BLACK 701 (SABIC)</t>
  </si>
  <si>
    <t>#JCI 01-61-1424 
the same as 1108043
USD
Delivery Reynosa - American Billing</t>
  </si>
  <si>
    <t>RESIN, NYLON 612, NATURAL, ROHS ZYTEL 158L NC010</t>
  </si>
  <si>
    <t>LBS</t>
  </si>
  <si>
    <t>WHITE POLYWHITE 8160 SHULMAN</t>
  </si>
  <si>
    <t>anshkhan0615@gmail.com</t>
  </si>
  <si>
    <t>Amber@arcresin.com
pschwendeman@arcresin.com</t>
  </si>
  <si>
    <t>Marco.Rebollo@Audia.com</t>
  </si>
  <si>
    <t>Orders@badgercolor.com</t>
  </si>
  <si>
    <t>laura.garcia@camellia.us.com</t>
  </si>
  <si>
    <t>eaviles@chaseplastics.com</t>
  </si>
  <si>
    <t>BBauer@Chromacolors.com
smartin@chromacolors.com</t>
  </si>
  <si>
    <t>matsa-queretaro@prodigy.net.mx</t>
  </si>
  <si>
    <t>jmarsala@englube.com</t>
  </si>
  <si>
    <t>Ltucker@htfinc.com</t>
  </si>
  <si>
    <t>ashley.groves@ineos.com</t>
  </si>
  <si>
    <t>Elizabeth.Bazaldua@preh.mx</t>
  </si>
  <si>
    <t>santiago@qpsgroup.net</t>
  </si>
  <si>
    <t>SHawkins@rbcbearings.com
DEGilbert@rbcbearings.com</t>
  </si>
  <si>
    <t>zc829@regentspring.cn
zc829@regentspring.cn</t>
  </si>
  <si>
    <t>angel@sunluenmetal.com</t>
  </si>
  <si>
    <t xml:space="preserve">iptexastool@gmail.com
iptexastool@gmail.com&gt; </t>
  </si>
  <si>
    <t>dresh@itwids.com</t>
  </si>
  <si>
    <t>Karen.Espinosa@audia.com</t>
  </si>
  <si>
    <t>chriss@volkertprecision.com</t>
  </si>
  <si>
    <t>USD
Alternate for 1109191</t>
  </si>
  <si>
    <t>Tokyo, Japan</t>
  </si>
  <si>
    <t>USD
Alternate for 1109161</t>
  </si>
  <si>
    <t>ZYTEL 101 BROWN CONCENTRATE AB84620208</t>
  </si>
  <si>
    <t>#JCI 01-61-1696
USD
Delivery Reynosa - American Billing</t>
  </si>
  <si>
    <t>Acetal Black 100P BK602 (POLYONE)</t>
  </si>
  <si>
    <t>National Webbing Products</t>
  </si>
  <si>
    <t>Nylon Strap</t>
  </si>
  <si>
    <t>#JCI 01-00061-02447
USD</t>
  </si>
  <si>
    <t>Contreras, Sergio</t>
  </si>
  <si>
    <t>(899) 921 2320</t>
  </si>
  <si>
    <t>sergio.contreras@nidec-motor.com</t>
  </si>
  <si>
    <t>#JCI 01-61-2293 
USD</t>
  </si>
  <si>
    <t>ONCOLOR GRIS MO73613038-ZT</t>
  </si>
  <si>
    <t>Laser marking masterbatch DM-GB0081</t>
  </si>
  <si>
    <t>SHENZHEN DOME MATERIALS Co., LTD.</t>
  </si>
  <si>
    <t>Lucy Yu</t>
  </si>
  <si>
    <t>lucy &lt;lucy@domematerials.com&gt;</t>
  </si>
  <si>
    <t>Alls</t>
  </si>
  <si>
    <t>INSERT TERMINAL Coyote Sensor Pin</t>
  </si>
  <si>
    <t>Resin, SPS 30GF, XAREC N WA 7030-02</t>
  </si>
  <si>
    <t>MF006S-BK1A574 (SABIC) //  
1169989M_LNP Engineering Plastics, Inc.</t>
  </si>
  <si>
    <t>RESIN, POLYPHENYLENE ETHER (PPE) MIXED</t>
  </si>
  <si>
    <t>RESIN,</t>
  </si>
  <si>
    <t>RESIN, DELRIN 500CL, ACETAL, NATURAL, R</t>
  </si>
  <si>
    <t>RESIN, TEXIN 245, POLYESTER-BASED THERM</t>
  </si>
  <si>
    <t>RESIN, ZYTEL 70G13HS1L BK031, GLASS REI</t>
  </si>
  <si>
    <t>RESIN, RTP 800 TFE-5, PTFE LUBRICATED,</t>
  </si>
  <si>
    <t>RESIN, LNP LUBRICOMP COMPOUND RL002NC,</t>
  </si>
  <si>
    <t>RESIN, HYLON N1033HL, PA66 GF33, NATURAL</t>
  </si>
  <si>
    <t>RESIN, KL-4540, ACETAL HOMOPOLYMER, COL</t>
  </si>
  <si>
    <t>RESIN, POLYSULFONE, RED, INJECTION MOLDI</t>
  </si>
  <si>
    <t>DELRIN 100 NATURAL</t>
  </si>
  <si>
    <t>#JCI 01-61-02552 
USD</t>
  </si>
  <si>
    <t>Bayblend FR3040W - WHITE 013244</t>
  </si>
  <si>
    <t>RESIN, MODIFIED, POLYPHENYLENE OXIDE, W
NORYL GRADE SE1X-873  (GE PLASTICS)</t>
  </si>
  <si>
    <t>LUPOY HR5007A</t>
  </si>
  <si>
    <t>LED2245-550207-PC-TR</t>
  </si>
  <si>
    <t>Channel Prime</t>
  </si>
  <si>
    <t>Nexeo</t>
  </si>
  <si>
    <t>Magna</t>
  </si>
  <si>
    <t>PMMA H15-002 000 CL ACRYLITE</t>
  </si>
  <si>
    <t>Resin PA Black RTP 505 BLACK WITH 0.5% FCX 27314  (RTP CO)</t>
  </si>
  <si>
    <t>Marco Torres</t>
  </si>
  <si>
    <t>Marco.Torres@ChannelPA.com</t>
  </si>
  <si>
    <t>PPC</t>
  </si>
  <si>
    <t>RESIN, THERMOPLASTIC ELASTOMER, BLACK</t>
  </si>
  <si>
    <t>RESIN, POLYCARBONATE, LEXAN, BLUE</t>
  </si>
  <si>
    <t>RESIN, CYCOLAC, FR15U-2098, WHITE</t>
  </si>
  <si>
    <t>#JCI 01-61-1424 
the same as 1109338
USD</t>
  </si>
  <si>
    <t>#JCI 03-88038-3
Alternative for 1109386
USD</t>
  </si>
  <si>
    <t>Florida Performance Polymers</t>
  </si>
  <si>
    <t xml:space="preserve">Matthew Hukill </t>
  </si>
  <si>
    <t>386-341-2577</t>
  </si>
  <si>
    <t>matthew@florida-polymers.com</t>
  </si>
  <si>
    <t>#JCI 01-61-1521 
Alternative 1109340
USD</t>
  </si>
  <si>
    <t>#JCI 01-61-1521 
Alternative 1101045
USD
Delivery Reynosa - American Billing</t>
  </si>
  <si>
    <t>POLYCARBONATE GREY
CYCOLOY CX7240U COLOR CODE 7T7D113  (SABIC)</t>
  </si>
  <si>
    <t>BAMBERGER AMCO POLYMERS DE MEXICO</t>
  </si>
  <si>
    <t>#JCI A163819RYA 
USD</t>
  </si>
  <si>
    <t>#JCI 01-61-1491 
USD</t>
  </si>
  <si>
    <t>Resin, Polycarbonate, Lexan 141R-711 Tinted Grey</t>
  </si>
  <si>
    <t>RESIN POLYCARBONATE LEXAN 950 8T8D268 WH</t>
  </si>
  <si>
    <t>550 lbs</t>
  </si>
  <si>
    <t xml:space="preserve">POLYSULFONE P-1700 RESIN, POLYSULFONE, CLEAR </t>
  </si>
  <si>
    <t>PRO.VE.R. S.r.l.</t>
  </si>
  <si>
    <t xml:space="preserve">Sara Valtolina </t>
  </si>
  <si>
    <t>info@prover.it</t>
  </si>
  <si>
    <t>#JCI 01-61-2137
USD</t>
  </si>
  <si>
    <t>#JCI 24-85334-2
USD
Delivery Reynosa - American Billing</t>
  </si>
  <si>
    <t>NORYL GRADE SE-1-GFN2-701 (GE PLASTIC) // SE1GFN2-701 (SABIC) Black</t>
  </si>
  <si>
    <t>#JCI 01-61-1513 
USD</t>
  </si>
  <si>
    <t>#JCI 01-61-517 
USD</t>
  </si>
  <si>
    <t>#JCI 01-61-1505 
USD</t>
  </si>
  <si>
    <t>Plexiglas V052i-58208RB BK</t>
  </si>
  <si>
    <t>#JCI 01-61-02757
USD
Delivery Reynosa - American Billing</t>
  </si>
  <si>
    <t>#JCI 01-61-1106
USD
Delivery Reynosa - American Billing</t>
  </si>
  <si>
    <t>#JCI 01-61-1203
USD
Delivery Reynosa - American Billing</t>
  </si>
  <si>
    <t>#JCI 01-61-1254
USD
Delivery Reynosa - American Billing</t>
  </si>
  <si>
    <t>#JCI 001-61-1262
USD
Delivery Reynosa - American Billing</t>
  </si>
  <si>
    <t>#JCI 01-61-1297
USD
Delivery Reynosa - American Billing</t>
  </si>
  <si>
    <t>#JCI 01-61-1343
USD
Delivery Reynosa - American Billing</t>
  </si>
  <si>
    <t>#JCI 01-61-1432
USD
Delivery Reynosa - American Billing</t>
  </si>
  <si>
    <t>#JCI 01-61-1629
USD
Delivery Reynosa - American Billing</t>
  </si>
  <si>
    <t>#JCI 01-61-1831
USD
Delivery Reynosa - American Billing</t>
  </si>
  <si>
    <t>#JCI 01-61-2048
USD
Delivery Reynosa - American Billing</t>
  </si>
  <si>
    <t>#JCI 01-61-2153
USD
Delivery Reynosa - American Billing</t>
  </si>
  <si>
    <t>#JCI 01-61-2188
USD
Delivery Reynosa - American Billing</t>
  </si>
  <si>
    <t>#JCI 01-61-2218
USD
Delivery Reynosa - American Billing</t>
  </si>
  <si>
    <t>#JCI 01-61-2234
USD
Delivery Reynosa - American Billing</t>
  </si>
  <si>
    <t>#JCI 01-61-2242
USD
Delivery Reynosa - American Billing</t>
  </si>
  <si>
    <t>#JCI 01-61-2250
USD
Delivery Reynosa - American Billing</t>
  </si>
  <si>
    <t>#JCI 01-61-2315
USD
Delivery Reynosa - American Billing</t>
  </si>
  <si>
    <t>#JCI 01-61-2366
USD
Delivery Reynosa - American Billing</t>
  </si>
  <si>
    <t>#JCI 01-61-274
USD
Delivery Reynosa - American Billing</t>
  </si>
  <si>
    <t>#JCI 01-61-703
USD
Delivery Reynosa - American Billing</t>
  </si>
  <si>
    <t>#JCI 03-88038-3
Alternative for 1104009
USD
Delivery Reynosa - American Billing</t>
  </si>
  <si>
    <t>#JCI 01-61-2412
USD
Delivery Reynosa - American Billing</t>
  </si>
  <si>
    <t>Gregory P. Boston</t>
  </si>
  <si>
    <t xml:space="preserve">248-762-7676  </t>
  </si>
  <si>
    <t>Greg Boston &lt;gboston@gp-materials.com&gt;</t>
  </si>
  <si>
    <t>RESIN, ABS AND POLYCARBONATE BLEND, TRISTAR PC10-FRN, WT694I</t>
  </si>
  <si>
    <t>BAMBERGER POLYMERS DE MEXICO</t>
  </si>
  <si>
    <t>Bamberger Amco Polymers USA</t>
  </si>
  <si>
    <t>#JCI 01-61-983 
USD</t>
  </si>
  <si>
    <t>PC/ABS, KINGFA JH960-HT08 C2B-G1081</t>
  </si>
  <si>
    <t>PC / ABS</t>
  </si>
  <si>
    <t>Resin Polyph Blue LEXAN EXL9330, COLOR: BL3B165</t>
  </si>
  <si>
    <t>Empaque de hule (ligas)</t>
  </si>
  <si>
    <t>P5M4K-046 OBX POLYPROPYLENE RANDOM COPOLYMER (NAT)</t>
  </si>
  <si>
    <t>#JCI 01-61-1963
USD</t>
  </si>
  <si>
    <t>Resin, ABS and Polycarbonate Blend, White CYCOLOY C2950HF, COLOR 80464  (GE PLASTICS)</t>
  </si>
  <si>
    <t>ZYTEL 101L BK B 009 (CELANESE)</t>
  </si>
  <si>
    <t>DELRIN 500P NC 010 (DERLIN)</t>
  </si>
  <si>
    <t>NYLON 70G33L-NC010 (CELANESE)</t>
  </si>
  <si>
    <t>Duracon M25-44 CF2001 (ACETAL CO 2.5M BLACK) (POLYPLASTICS)</t>
  </si>
  <si>
    <t>#JCI 01-61-2307
USD</t>
  </si>
  <si>
    <t>RESIN, LNP LUBRICOMP COMPOUND RFL-4016 RZL16-GYMDNAT  (SABIC)</t>
  </si>
  <si>
    <t>RESIN POLIAMMIDE PA 6 RTP-0205 NATURAL</t>
  </si>
  <si>
    <t>#JCI 03-88022-45
USD</t>
  </si>
  <si>
    <t>RESIN, POLYCARBONATE LEXAN 945 COLOR SILVER 7T6D079  (SABIC)</t>
  </si>
  <si>
    <t>#JCI 01-61-398 
USD</t>
  </si>
  <si>
    <t>#JCI 01-61-02536 
USD</t>
  </si>
  <si>
    <t>#JCI 01-61-1572
USD</t>
  </si>
  <si>
    <t>RESIN, NYLON 6/12, GLASS REINFORCED, NA
Zytel 77G33L NC010</t>
  </si>
  <si>
    <t>#JCI 01-61-665
USD</t>
  </si>
  <si>
    <t>#JCI 01-61-88
USD</t>
  </si>
  <si>
    <t>M90 CC-3063 Gray (1170006M_Hoechst Celenese Corp.)</t>
  </si>
  <si>
    <t>TOSAF</t>
  </si>
  <si>
    <t>Kimberly Johnson</t>
  </si>
  <si>
    <t>Kimberly Johnson &lt;kimberlyj@tosaf.com&gt;</t>
  </si>
  <si>
    <t>704-460-5996</t>
  </si>
  <si>
    <t>#JCI 02-512-277
USD
Delivery Reynosa - American Billing</t>
  </si>
  <si>
    <t>COLORANT, GREEN, ROHS</t>
  </si>
  <si>
    <t>#JCI 01-61-37 
USD</t>
  </si>
  <si>
    <t>#JCI 01-61-10
USD</t>
  </si>
  <si>
    <t>#JCI 34-1788-6
USD
Delivery Reynosa - American Billing</t>
  </si>
  <si>
    <t>DRIVE INSERT 9MM SQUARE</t>
  </si>
  <si>
    <t>RESIN, COLORANT, GREEN POLYSULFONE</t>
  </si>
  <si>
    <t>CONCENTRATE, RED, POLYPHENYLENE OXIDE C</t>
  </si>
  <si>
    <t>#JCI 01-61-1750
USD
Delivery Reynosa - American Billing</t>
  </si>
  <si>
    <t>#JCI 02-512-250
USD
Delivery Reynosa - American Billing</t>
  </si>
  <si>
    <t>#JCI A16381D946
USD
Delivery Reynosa - American Billing</t>
  </si>
  <si>
    <t>#JCI A16381D950
USD
Delivery Reynosa - American Billing</t>
  </si>
  <si>
    <t>#JCI  01-61-02870- 1
USD
Delivery Reynosa - American Billing</t>
  </si>
  <si>
    <t>NORYL GRAY GFN3F-780S</t>
  </si>
  <si>
    <t>Korea</t>
  </si>
  <si>
    <t>SPS</t>
  </si>
  <si>
    <t>PPE + PS</t>
  </si>
  <si>
    <t>JCI Sensormatic</t>
  </si>
  <si>
    <t>JCI Sensormatic &amp; SBD</t>
  </si>
  <si>
    <t>JCI Sensormatic &amp; Reynosa</t>
  </si>
  <si>
    <t>MAGNA</t>
  </si>
  <si>
    <t>Acrylite 8N LD12</t>
  </si>
  <si>
    <t>Asia</t>
  </si>
  <si>
    <t>10568053 RBOX, 24x15x5", Tesla Overmold</t>
  </si>
  <si>
    <t>10568063 Rpallet, 48x45", Tesla Overmold</t>
  </si>
  <si>
    <t>10568073 Rlid, 48x45", Tesla Overmold</t>
  </si>
  <si>
    <t>Active / Consigned</t>
  </si>
  <si>
    <t>New Project / Consigned</t>
  </si>
  <si>
    <t>Consigned by the customer
USD</t>
  </si>
  <si>
    <t>ZYTEL(R) 103HSL BKB080</t>
  </si>
  <si>
    <t>Resin Polyph Oxide SE1X-701 (SABIC)  //  NORYL GRADE SE-1-701 (GE PLASTIC) Black</t>
  </si>
  <si>
    <t>Inactive / Consigned</t>
  </si>
  <si>
    <t>Methode Tesla</t>
  </si>
  <si>
    <t>NORYL NH4030B-GY3G100 PPE+HIPS blend, High Flow, Injection and Extrusion Grade, Non-brominated, Non-Chlorinated Flame Retardant, Custom Shade Gray</t>
  </si>
  <si>
    <t>PPE+HIPS</t>
  </si>
  <si>
    <t>#JCI A16381V2DK
USD</t>
  </si>
  <si>
    <t xml:space="preserve">Ken Chen </t>
  </si>
  <si>
    <t>1-713 309 7939</t>
  </si>
  <si>
    <t>ken.chen@lyondellbasell.com</t>
  </si>
  <si>
    <t>22LH-N RESIN, NYLON, NATURAL COLOR, ROHS WELLAMID NYLON</t>
  </si>
  <si>
    <t>#JCI 01-61-991 
USD</t>
  </si>
  <si>
    <t>#JCI A16382758A
USD
Delivery Reynosa - American Billing</t>
  </si>
  <si>
    <t>INFINO HP-1000XA (ABS-PCB-135)</t>
  </si>
  <si>
    <t>ABS-PCB</t>
  </si>
  <si>
    <t>Perez, Hector Abraham</t>
  </si>
  <si>
    <t>HectorAbraham.Perez@veritiv.com</t>
  </si>
  <si>
    <t>BAG NYLON 25 CM X 40 CM (9.8" X 15.7")</t>
  </si>
  <si>
    <t>BAG NYLON 60 CM X 60 CM (23" X 23")</t>
  </si>
  <si>
    <t>BAG NYLON 20 X 30 NATURAL C-200 (7.8" X 11.8")</t>
  </si>
  <si>
    <t xml:space="preserve">Bag H404814N   NATURAL 40” X 48” 14 MIC </t>
  </si>
  <si>
    <t>Rollo</t>
  </si>
  <si>
    <t>PALETTE 48X45 EXPO C1UC MCM blades (PAL-022)</t>
  </si>
  <si>
    <t>Cardboard Box (29153/54AA) (CTN 079)</t>
  </si>
  <si>
    <t>Carboard Box With Hand Hole (29177/78AA) (CTN091)</t>
  </si>
  <si>
    <t>Trays for Boxes (29154AA) (PAP-057)</t>
  </si>
  <si>
    <t>Box (29179AB/80AB) (CTN-092)</t>
  </si>
  <si>
    <t>Box (29181AA/82AA) (CTN-093)</t>
  </si>
  <si>
    <t>Hassan Silva</t>
  </si>
  <si>
    <t>Hassan Silva &lt;Hassan.Silva@bapolymers.com&gt;</t>
  </si>
  <si>
    <t>ACtive</t>
  </si>
  <si>
    <t>YELLOW PYC0136320E</t>
  </si>
  <si>
    <t>Idalia Pazzi</t>
  </si>
  <si>
    <t>899 103 4984</t>
  </si>
  <si>
    <t>Idalia Pazzi &lt;idalia.pazzi@albea-group.com&gt;</t>
  </si>
  <si>
    <t>Gisela Torres Uribe &lt;gisela.torres.uribe@jci.com&gt;</t>
  </si>
  <si>
    <t>Gisela Torres Uribe</t>
  </si>
  <si>
    <t>Trays for Boxes (29153AA) (PAP-056)</t>
  </si>
  <si>
    <t>RESIN, NYLON, REINFORCED, LUBRICATED, R
RCP36-BKNAT  (SABIC )  // RCL-4536  (LNP ENGINEERING PLASTICS)</t>
  </si>
  <si>
    <t>Colorant Resin ABS+PC Blue CC1035875560</t>
  </si>
  <si>
    <t>FITTING, TUBE, BARBED, INSERT</t>
  </si>
  <si>
    <t>AUTOMATIC PRODUCTS CORP</t>
  </si>
  <si>
    <t>#JCI 24-2339-2 
USD</t>
  </si>
  <si>
    <t>Resin ABS+PC FR3010HF White 19N077BA
(FR3010HF-013653-PCABS-WT)</t>
  </si>
  <si>
    <t>#JCI 01-61-02706 
USD</t>
  </si>
  <si>
    <t>Bolsa suelta 10x25 cm</t>
  </si>
  <si>
    <t>Alternative for 1509022 
USD
Delivery Reynosa - American Billing</t>
  </si>
  <si>
    <t>Pigment BRONZE PMC 0141720</t>
  </si>
  <si>
    <t xml:space="preserve">LX International America, Inc </t>
  </si>
  <si>
    <t>Woody Lee 책임</t>
  </si>
  <si>
    <t xml:space="preserve"> &lt;woody_lee@lxius.com&gt;</t>
  </si>
  <si>
    <t>1 714 620 7607
1 949 303 9588</t>
  </si>
  <si>
    <t>COVESTRO</t>
  </si>
  <si>
    <t xml:space="preserve">Yair Alonso Rojas </t>
  </si>
  <si>
    <t>yair.rojas@covestro.com</t>
  </si>
  <si>
    <t>GERMANIA</t>
  </si>
  <si>
    <t>HEXAGON KEY</t>
  </si>
  <si>
    <t>SMALLPARTS</t>
  </si>
  <si>
    <t>John Curl</t>
  </si>
  <si>
    <t>johcur@smallpartsinc.com</t>
  </si>
  <si>
    <t>55 6183 0821</t>
  </si>
  <si>
    <t>Patsy Turney</t>
  </si>
  <si>
    <t>pturney@ap-corp.com</t>
  </si>
  <si>
    <t xml:space="preserve">TERMINAL MS 255.152 </t>
  </si>
  <si>
    <t>AH50S2  ( 1169948M_Michael Day Enterprises) ACETAL HOMOPOLYMER, BLACK</t>
  </si>
  <si>
    <t>#JCI 01-61-1971
USD</t>
  </si>
  <si>
    <t>Obsolete / Consigned</t>
  </si>
  <si>
    <t>OnColor Gris NC74613068-ZT_Light Gray</t>
  </si>
  <si>
    <t>Reemplaza 1510016
USD
Delivery Reynosa - American Billing</t>
  </si>
  <si>
    <t>Particion para caja 1510019
USD
Delivery Reynosa - American Billing</t>
  </si>
  <si>
    <t>Particion para caja 1510020
USD
Delivery Reynosa - American Billing</t>
  </si>
  <si>
    <t>Pendiente</t>
  </si>
  <si>
    <t>IMDS</t>
  </si>
  <si>
    <t>Disponible 1/21/2026</t>
  </si>
  <si>
    <t>Disponible 1/14/2026</t>
  </si>
  <si>
    <t>Protective Film 94.3 X 133.05 mm Clear Traslucent Polyethylene + Removable Acrylic Adhesive(3M 21804C).</t>
  </si>
  <si>
    <t>Resin, ABS and Polycarbonate Blend, TriStar
PC10-FRN, Color GYV682IF Gray</t>
  </si>
  <si>
    <t>State Industrial Supply</t>
  </si>
  <si>
    <t>Samantha Sandoval</t>
  </si>
  <si>
    <t>Samantha Sandoval &lt;samantha@sisaz.com&gt;</t>
  </si>
  <si>
    <t>RACC.EP-8000 X 25-85030
75124853342 21.3MM OAL BRASS INSERT PER PRINT</t>
  </si>
  <si>
    <t>THE REYNOLDS COMPANY</t>
  </si>
  <si>
    <t>Chad Gingolph </t>
  </si>
  <si>
    <t>956-535-0776</t>
  </si>
  <si>
    <t>Chad Gingolph &lt;chadg@reynco.com&gt;</t>
  </si>
  <si>
    <t>LDPE ESD FILM - ROLLO DE CINTA ESD TRANSPARENTE 2''</t>
  </si>
  <si>
    <t>EDC SUPPLY, S DE RL MI</t>
  </si>
  <si>
    <t>ventasrey@edcindustrial.com</t>
  </si>
  <si>
    <t>Abraham Gonzalez</t>
  </si>
  <si>
    <t>#JCI A16382NDKT
USD
Delivery Reynosa - American Billing
***Cada rollo cubre un total de 1000 tiras de film (esta precortado a 8.40cm)</t>
  </si>
  <si>
    <t>Bolsa Tela Blanca 22 1/2 x 6 1/2" Fibrosa</t>
  </si>
  <si>
    <t>#JCI 03-88013-54
USD</t>
  </si>
  <si>
    <t>SBC / TPE-S</t>
  </si>
  <si>
    <t>RESIN, CELLULOSE ACETATE BUTYRATE BLUE
264A-3T805-M (Eastman Chemical Formula) //  
B900-13H  (ALBIS)</t>
  </si>
  <si>
    <t>CAB</t>
  </si>
  <si>
    <t>RESIN, POLYSULFONE, LIGHT BEIGE OPAQUE
POLYSULFONE P-1710 NATURAL-15  (AMOCO PERFORMANCE)</t>
  </si>
  <si>
    <t xml:space="preserve">USD
DAP Reynosa, MX
</t>
  </si>
  <si>
    <t>Resin, Polyphenylene Sulfide, Ryton BR42B, Natural</t>
  </si>
  <si>
    <t>Dependiente la circunstancia</t>
  </si>
  <si>
    <t>YES</t>
  </si>
  <si>
    <t>Rey, MX</t>
  </si>
  <si>
    <t>Pickup in China</t>
  </si>
  <si>
    <t>NO</t>
  </si>
  <si>
    <t>Resina de policarbonato con ABS 
PC/ABS_Flame RetardantNH-1015V</t>
  </si>
  <si>
    <t>Acrilonitrilo Butadieno Estireno (ABS)
ABS-HG-0760P</t>
  </si>
  <si>
    <t>Resina de policarbonato
PCSC-1220R</t>
  </si>
  <si>
    <t>G3 SCRAP METAL</t>
  </si>
  <si>
    <t>By instruction of Mr. Mark</t>
  </si>
  <si>
    <t>Albea, JCI, and netafim</t>
  </si>
  <si>
    <t>#JCI 01-61-1165
USD</t>
  </si>
  <si>
    <t>Distributor/Manufacturer Certifications Available</t>
  </si>
  <si>
    <t>Disponible 2/18/2026</t>
  </si>
  <si>
    <t xml:space="preserve">ONCOLOR NEGRO MO93613016-ZT </t>
  </si>
  <si>
    <t>ONCOLOR NEGRO AB93613048-ZT</t>
  </si>
  <si>
    <t xml:space="preserve">Hector Munoz
Iris Herrera </t>
  </si>
  <si>
    <t>&lt;hector.munoz@formerra.com&gt;
&lt;iris.herrera@formerra.com&gt;</t>
  </si>
  <si>
    <t>Reemplaza 1510009 &amp; 1510015
USD
Delivery Reynosa - Mexican Billing</t>
  </si>
  <si>
    <t>Particion para caja 1510019
USD
Delivery Reynosa - Mexican Billing</t>
  </si>
  <si>
    <t>Bolsa de FOAMI 40 cm x 15.5cm</t>
  </si>
  <si>
    <t>Colorant Grey color masterbatch for Polycarbonate, CC1035875760</t>
  </si>
  <si>
    <t>#JCI A16381D94L
USD
Delivery Reynosa - American Billing</t>
  </si>
  <si>
    <t>LUMID GN2251BF-KA20</t>
  </si>
  <si>
    <t>PA66+GF25</t>
  </si>
  <si>
    <t>Possible alternative for 1109170
USD</t>
  </si>
  <si>
    <t>POLYSULFONE P-1700BK937, BLACK</t>
  </si>
  <si>
    <t>LONG T 4000 SHAFT</t>
  </si>
  <si>
    <t>MFG Solutions</t>
  </si>
  <si>
    <t>Carmen Quevedo</t>
  </si>
  <si>
    <t>'Carmen Quevedo' &lt;carmen@mfg-solutionsinc.com&gt;</t>
  </si>
  <si>
    <t>#JCI 20-40243-0
USD</t>
  </si>
  <si>
    <t>Shaft, Cam, Instrument</t>
  </si>
  <si>
    <t>TECNOLOGIA PROCESOS Y MAQUINADOS SA</t>
  </si>
  <si>
    <t>#JCI 24-3663-8
USD</t>
  </si>
  <si>
    <t>cristina.arriaga@tecmaq.com.mx</t>
  </si>
  <si>
    <t>Cristina Arriaga</t>
  </si>
  <si>
    <t>BAYBLEND FR3010 HF 000000 Natural</t>
  </si>
  <si>
    <t>Jordi Perez</t>
  </si>
  <si>
    <t>JCI Sensormatic &amp; JCI Reynosa</t>
  </si>
  <si>
    <t>Disponible 3/23/2026</t>
  </si>
  <si>
    <t xml:space="preserve">ONCOLOR AMARILLO MO13613016-ZT </t>
  </si>
  <si>
    <t xml:space="preserve">ONCOLOR AMARILLO SB13613049-ZT </t>
  </si>
  <si>
    <t>RSC01 RSC BOX, 44 ECT C/K, 600X555X360MM OD</t>
  </si>
  <si>
    <t>Empaque MEX</t>
  </si>
  <si>
    <t>RSC02 RSC BOX, 44 ECT C/K, 600 X 550 X 215 MM OD</t>
  </si>
  <si>
    <t>PTN-56 DC PARTITION 56 CELLS 8X7 BOX 01, POLYCOATED 30 PTS 595 X 555 X 340 MM</t>
  </si>
  <si>
    <t>PTN-78 CELLS 6X13 BOX , POLYCOATED 30 PTS 595 X 555 X 340 MM</t>
  </si>
  <si>
    <t>PTN-120 DC PARTITION 120 CELLS 8X15 BOX02, POLYCOATED 30 PTS 595 X 555 X 210 MM</t>
  </si>
  <si>
    <t>FOM-5459 DC FOAM PAD CA 060, 540 X 590 MM (2MM)</t>
  </si>
  <si>
    <t>Guillermo Santos</t>
  </si>
  <si>
    <t>'Guillermo Santos' &lt;guillermos@empaquemex.com&gt;</t>
  </si>
  <si>
    <t>Spirol</t>
  </si>
  <si>
    <t>Insert 240811 - CMPL 6. X 6. BT CL460 (SPIROL Standard Molded-In Compression Limiter - Oval Series /
Carbon Steel / Trivalent Zinc Plated Finish)</t>
  </si>
  <si>
    <t>GM Aggregator</t>
  </si>
  <si>
    <t xml:space="preserve">Emma Leonor Flores 
Adrian Enrique Lagunas Lopez </t>
  </si>
  <si>
    <t>emma.flores@spirol.com
adrian.lagunas@spirol.com</t>
  </si>
  <si>
    <t>442  229 15 30 </t>
  </si>
  <si>
    <t>(956) 538-3811</t>
  </si>
  <si>
    <t>886-4-22715199 #107</t>
  </si>
  <si>
    <t>8992-126717</t>
  </si>
  <si>
    <t>33 5000 8000</t>
  </si>
  <si>
    <t>915-204-6558</t>
  </si>
  <si>
    <t>281-535-4236</t>
  </si>
  <si>
    <t>(956) 271-1010</t>
  </si>
  <si>
    <t>5541439358
52 4441951610</t>
  </si>
  <si>
    <t>8119094062
(81) 3404 9872</t>
  </si>
  <si>
    <t>55 9020 5240 Ext. 700240 o 56 4158 8789
55 9020 5211</t>
  </si>
  <si>
    <t>52 (477) 781 1961 / 781 1954 / 781 2816
52 (477) 630 8860</t>
  </si>
  <si>
    <t>401-642-3465 52 81 1506 4299</t>
  </si>
  <si>
    <t>562-762-8910</t>
  </si>
  <si>
    <t>1 (714) 871-9220 x709</t>
  </si>
  <si>
    <t>81 82625257   M 811 555 5265
616-881-1428</t>
  </si>
  <si>
    <t xml:space="preserve">(630) 293-7800 Ext. 215
</t>
  </si>
  <si>
    <t>65 97956440</t>
  </si>
  <si>
    <t>0086 13713521464</t>
  </si>
  <si>
    <t>(899)318-4564</t>
  </si>
  <si>
    <t xml:space="preserve">631-424-2244 ext 106 o 347-829-0257 </t>
  </si>
  <si>
    <t>86-752-6188777 o 19982083314</t>
  </si>
  <si>
    <t xml:space="preserve">52 (81) 1600 8372   </t>
  </si>
  <si>
    <t>52 81 2354 4906
(81) 8134-0403  ext #2752</t>
  </si>
  <si>
    <t>972-272-6422 x101 o 214-243-8494</t>
  </si>
  <si>
    <t>915.726.5096 o 689-244-5805</t>
  </si>
  <si>
    <t xml:space="preserve">815 759-2617 or 800 457-8777 ext 452617 </t>
  </si>
  <si>
    <t>52 1 33 3479 8472</t>
  </si>
  <si>
    <t>52 8183 190407 #127</t>
  </si>
  <si>
    <t>520.744.0919</t>
  </si>
  <si>
    <t>899 134 6858</t>
  </si>
  <si>
    <t>52 55 5901 7440</t>
  </si>
  <si>
    <t>1 (713) 978-5420
52 (55) 4522-6532</t>
  </si>
  <si>
    <t xml:space="preserve">(574) 935-3027 Ext 1002 
(574) 935-3027 Ext 1009 </t>
  </si>
  <si>
    <t>361-334-4975
361-334-4977</t>
  </si>
  <si>
    <t>848-240-0665 o (800) 937.3746</t>
  </si>
  <si>
    <t>1-800-650-2309
1-956-371-5382</t>
  </si>
  <si>
    <t>215-616-4414 o 267-467-9744</t>
  </si>
  <si>
    <t xml:space="preserve">39 039 9284924                                                                       </t>
  </si>
  <si>
    <t>TIPO DE
MATERIAL</t>
  </si>
  <si>
    <t>PART
SUBMISSION
WARRANT</t>
  </si>
  <si>
    <t>#JCI 24-1078-19
USD</t>
  </si>
  <si>
    <t>USD
DAP Reynosa, MX</t>
  </si>
  <si>
    <t>POC 0147360L OIL TRANS GOLD CAP</t>
  </si>
  <si>
    <t>RESIN,VALOX 420SE0-BK1066  (SABIC)</t>
  </si>
  <si>
    <t>SK es el importador en Manzanillo</t>
  </si>
  <si>
    <t xml:space="preserve">Makrolon LED5902FR  550030 </t>
  </si>
  <si>
    <t>Disponible 4/21/2026</t>
  </si>
  <si>
    <t xml:space="preserve">LEXAN 500-739-SP BK                                                         </t>
  </si>
  <si>
    <t>Disponible 5/13/2025</t>
  </si>
  <si>
    <t>#JCI A16381D942 - 1
CC1035875360 USA
USD
Delivery Reynosa - American Billing</t>
  </si>
  <si>
    <t>PC+ABS Gebablend 65 HI</t>
  </si>
  <si>
    <t>Preh</t>
  </si>
  <si>
    <t>ONCOLOR BLANCO PC03613003-ZT
CC1035875360 WHITE PC ABS</t>
  </si>
  <si>
    <t>PC/ABS RESIN CBN00NH BK</t>
  </si>
  <si>
    <t>Shinil Chemical Industry CO., LTD</t>
  </si>
  <si>
    <t>Solicitado 5/19</t>
  </si>
  <si>
    <t xml:space="preserve">PC White CC1035919160 </t>
  </si>
  <si>
    <t>Flex an gate</t>
  </si>
  <si>
    <t xml:space="preserve">PC/ABS PULSE 2100LG 701, BLACK </t>
  </si>
  <si>
    <t>LEXAN 950-701  (SABIC) Black</t>
  </si>
  <si>
    <t>RESIN LEXAN EXL 1434T PC,SILOXANE COPOLY Clear</t>
  </si>
  <si>
    <t>103-112 (SABIC) //  
LEXAN RESIN FXD103 (LEXAN) Clear</t>
  </si>
  <si>
    <t>LEXAN™ CFR resin CFR7630-7T1D227 clear</t>
  </si>
  <si>
    <t>LEXAN EXL9132_7T3B1474 gray</t>
  </si>
  <si>
    <t>RESIN LEXAN 221R clear</t>
  </si>
  <si>
    <t>LEXAN CFR9111 7T5A8550T black</t>
  </si>
  <si>
    <t>LEXAN™ Resin 101 (N101LNAT/5022180/MIX blue)</t>
  </si>
  <si>
    <t>LEXAN EXL9132 2T4A8269 blue</t>
  </si>
  <si>
    <t>500R-739  (SABIC) //   
LEXAN 500R  (GE PLASTICS) black</t>
  </si>
  <si>
    <t>Rubén Acosta
Lesly Trevino</t>
  </si>
  <si>
    <t>racosta@rtpcompany.com
trevino@rtpcompany.com</t>
  </si>
  <si>
    <t xml:space="preserve">V826-58200 PDV8265820060 V82658200 ARK PLEX ACR SMOKE GY </t>
  </si>
  <si>
    <t>V825-58208 ARK PLEX ACR BK PDV8255820860</t>
  </si>
  <si>
    <t>RENOL-NEGRO NC94613014-ZA (NC94613014)</t>
  </si>
  <si>
    <t>For resin 1109395
USD
Delivery Reynosa - American Billing</t>
  </si>
  <si>
    <t>Manufacturero/Fabricante</t>
  </si>
  <si>
    <t>PRET Advanced Materials</t>
  </si>
  <si>
    <t>Antech</t>
  </si>
  <si>
    <t>Dupont</t>
  </si>
  <si>
    <t>Celanese</t>
  </si>
  <si>
    <t>Celanese Corporation</t>
  </si>
  <si>
    <t>Roehm America LLC</t>
  </si>
  <si>
    <t>MICHAEL DAY ENTERPRISES LLC</t>
  </si>
  <si>
    <t>Covestro</t>
  </si>
  <si>
    <t>Delrin USA, LLC</t>
  </si>
  <si>
    <t>Polyplastics Co.,Ltd.</t>
  </si>
  <si>
    <t>Envalior</t>
  </si>
  <si>
    <t xml:space="preserve">EXL1414T-NA8A005T-BAG-00-00-00 10 Natural/Transparent </t>
  </si>
  <si>
    <t>EXL9330-BK1B331 (SABIC)</t>
  </si>
  <si>
    <t>EMS-GRIVORY</t>
  </si>
  <si>
    <t>HYLON</t>
  </si>
  <si>
    <t>INVISTA Polypropylene</t>
  </si>
  <si>
    <t>INEOS Styrolution Amercia LLC</t>
  </si>
  <si>
    <t>CELANESE</t>
  </si>
  <si>
    <t>FLINT HILLS resources</t>
  </si>
  <si>
    <t>ENVALIOR</t>
  </si>
  <si>
    <t>Trinseo</t>
  </si>
  <si>
    <t>RTP Company</t>
  </si>
  <si>
    <t>SYENSQO</t>
  </si>
  <si>
    <t>ATOFINA CHEMICALS INC.</t>
  </si>
  <si>
    <t>KUBE Electronics AG</t>
  </si>
  <si>
    <t>MAKROLON_6485 (BAYER MATERIALSCIENCE - POLYCARBONATES) Natural</t>
  </si>
  <si>
    <t>GEON Performance Solutions LLC</t>
  </si>
  <si>
    <t>DUPONT</t>
  </si>
  <si>
    <t>Resin PC Gray C6200-GY30006  (SABIC)</t>
  </si>
  <si>
    <t>INEOS PP H05H01 INN PP HOM NC</t>
  </si>
  <si>
    <t>Idemitsu Kosan Co., Ltd.</t>
  </si>
  <si>
    <t>Polyone</t>
  </si>
  <si>
    <t>AUDIA Elastomers</t>
  </si>
  <si>
    <t>Mitsubishi Chemical Performance Polymers, Inc.</t>
  </si>
  <si>
    <t>HYLON N1033HL Black</t>
  </si>
  <si>
    <t>Lexan 950-GY4C029 (SABIC)</t>
  </si>
  <si>
    <t>Vince Alvarado
Lydia Fertig</t>
  </si>
  <si>
    <t xml:space="preserve">C +1 915 873-1269
407.773.7465 </t>
  </si>
  <si>
    <t>vicente.alvarado@entecpolymers.com
LFertig@Entecpolymers.com</t>
  </si>
  <si>
    <t>Lexan 925 Natural</t>
  </si>
  <si>
    <t>Sanmina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</si>
</sst>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"/>
    <numFmt numFmtId="165" formatCode="_-&quot;$&quot;* #,##0.00_-;\-&quot;$&quot;* #,##0.00_-;_-&quot;$&quot;* &quot;-&quot;??_-;_-@"/>
    <numFmt numFmtId="166" formatCode="_-* #,##0_-;\-* #,##0_-;_-* &quot;-&quot;??_-;_-@"/>
    <numFmt numFmtId="167" formatCode="&quot;$&quot;#,##0.0000"/>
    <numFmt numFmtId="168" formatCode="0.0000"/>
    <numFmt numFmtId="169" formatCode="0.000"/>
    <numFmt numFmtId="170" formatCode="_-* #,##0.00_-;\-* #,##0.00_-;_-* &quot;-&quot;??_-;_-@"/>
    <numFmt numFmtId="171" formatCode="&quot;$&quot;#,##0"/>
    <numFmt numFmtId="172" formatCode="_(&quot;$&quot;* #,##0.0000_);_(&quot;$&quot;* \(#,##0.0000\);_(&quot;$&quot;* &quot;-&quot;??_);_(@_)"/>
    <numFmt numFmtId="173" formatCode="_-* #,##0.000_-;\-* #,##0.000_-;_-* &quot;-&quot;??_-;_-@"/>
    <numFmt numFmtId="174" formatCode="0.00000000"/>
    <numFmt numFmtId="175" formatCode="#,##0_ ;[Red]\-#,##0\ "/>
    <numFmt numFmtId="176" formatCode="0.00000"/>
    <numFmt numFmtId="177" formatCode="_(&quot;$&quot;* #,##0.00000_);_(&quot;$&quot;* \(#,##0.00000\);_(&quot;$&quot;* &quot;-&quot;?????_);_(@_)"/>
    <numFmt numFmtId="178" formatCode="&quot;$&quot;#,##0.00000"/>
    <numFmt numFmtId="179" formatCode="_-&quot;$&quot;* #,##0.0000_-;\-&quot;$&quot;* #,##0.0000_-;_-&quot;$&quot;* &quot;-&quot;??_-;_-@"/>
    <numFmt numFmtId="180" formatCode="&quot;$&quot;#,##0.000000"/>
    <numFmt numFmtId="181" formatCode="_-&quot;$&quot;* #,##0.000_-;\-&quot;$&quot;* #,##0.000_-;_-&quot;$&quot;* &quot;-&quot;??_-;_-@"/>
    <numFmt numFmtId="182" formatCode="&quot;$&quot;#,##0.00"/>
    <numFmt numFmtId="183" formatCode="[$-409]dd\-mmm\-yy;@"/>
    <numFmt numFmtId="184" formatCode="&quot;$&quot;#,##0.000"/>
    <numFmt numFmtId="185" formatCode="_(* #,##0.0000_);_(* \(#,##0.0000\);_(* &quot;-&quot;??_);_(@_)"/>
    <numFmt numFmtId="186" formatCode="_(&quot;$&quot;* #,##0.000_);_(&quot;$&quot;* \(#,##0.000\);_(&quot;$&quot;* &quot;-&quot;??_);_(@_)"/>
    <numFmt numFmtId="187" formatCode="_(&quot;$&quot;* #,##0.00000_);_(&quot;$&quot;* \(#,##0.00000\);_(&quot;$&quot;* &quot;-&quot;??_);_(@_)"/>
    <numFmt numFmtId="188" formatCode="[$-409]d\-mmm;@"/>
    <numFmt numFmtId="189" formatCode="_(&quot;$&quot;* #,##0.0000_);_(&quot;$&quot;* \(#,##0.0000\);_(&quot;$&quot;* &quot;-&quot;????_);_(@_)"/>
    <numFmt numFmtId="190" formatCode="_(* #,##0_);_(* \(#,##0\);_(* &quot;-&quot;??_);_(@_)"/>
  </numFmts>
  <fonts count="60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002060"/>
      <name val="Calibri"/>
      <family val="2"/>
    </font>
    <font>
      <sz val="10"/>
      <color theme="1"/>
      <name val="Calibri"/>
      <family val="2"/>
    </font>
    <font>
      <u/>
      <sz val="8"/>
      <color rgb="FF0000FF"/>
      <name val="Arial"/>
      <family val="2"/>
    </font>
    <font>
      <u/>
      <sz val="8"/>
      <color rgb="FF0000FF"/>
      <name val="Arial"/>
      <family val="2"/>
    </font>
    <font>
      <u/>
      <sz val="9"/>
      <color rgb="FF0000FF"/>
      <name val="Arial"/>
      <family val="2"/>
    </font>
    <font>
      <u/>
      <sz val="8"/>
      <color rgb="FF0000FF"/>
      <name val="Calibri"/>
      <family val="2"/>
    </font>
    <font>
      <sz val="8"/>
      <color theme="1"/>
      <name val="Arial"/>
      <family val="2"/>
    </font>
    <font>
      <sz val="9"/>
      <color theme="1"/>
      <name val="Calibri"/>
      <family val="2"/>
    </font>
    <font>
      <u/>
      <sz val="8"/>
      <color rgb="FF0000FF"/>
      <name val="Arial"/>
      <family val="2"/>
    </font>
    <font>
      <u/>
      <sz val="8"/>
      <color rgb="FF0000FF"/>
      <name val="Calibri"/>
      <family val="2"/>
    </font>
    <font>
      <i/>
      <sz val="8"/>
      <color theme="1"/>
      <name val="Calibri"/>
      <family val="2"/>
    </font>
    <font>
      <u/>
      <sz val="10"/>
      <color rgb="FF0000FF"/>
      <name val="Arial"/>
      <family val="2"/>
    </font>
    <font>
      <u/>
      <sz val="8"/>
      <color theme="1"/>
      <name val="Calibri"/>
      <family val="2"/>
    </font>
    <font>
      <u/>
      <sz val="8"/>
      <color rgb="FF0000FF"/>
      <name val="Arial"/>
      <family val="2"/>
    </font>
    <font>
      <sz val="8"/>
      <name val="Arial"/>
      <family val="2"/>
    </font>
    <font>
      <sz val="8"/>
      <color theme="1"/>
      <name val="Calibri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i/>
      <sz val="7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9"/>
      <color rgb="FF000000"/>
      <name val="Calibri"/>
      <family val="2"/>
      <scheme val="major"/>
    </font>
    <font>
      <b/>
      <sz val="9"/>
      <color rgb="FF002060"/>
      <name val="Calibri"/>
      <family val="2"/>
      <scheme val="major"/>
    </font>
    <font>
      <i/>
      <sz val="9"/>
      <color theme="1"/>
      <name val="Calibri"/>
      <family val="2"/>
      <scheme val="major"/>
    </font>
    <font>
      <sz val="9"/>
      <name val="Calibri"/>
      <family val="2"/>
      <scheme val="major"/>
    </font>
    <font>
      <b/>
      <i/>
      <sz val="9"/>
      <color theme="1"/>
      <name val="Calibri"/>
      <family val="2"/>
      <scheme val="major"/>
    </font>
    <font>
      <b/>
      <i/>
      <sz val="9"/>
      <color rgb="FFFF0000"/>
      <name val="Calibri"/>
      <family val="2"/>
      <scheme val="major"/>
    </font>
    <font>
      <b/>
      <sz val="9"/>
      <name val="Calibri"/>
      <family val="2"/>
      <scheme val="major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b/>
      <sz val="6"/>
      <name val="Calibri"/>
      <family val="2"/>
      <scheme val="major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i/>
      <sz val="9"/>
      <name val="Calibri"/>
      <family val="2"/>
      <scheme val="major"/>
    </font>
    <font>
      <i/>
      <sz val="9"/>
      <color rgb="FFFF0000"/>
      <name val="Calibri"/>
      <family val="2"/>
      <scheme val="major"/>
    </font>
    <font>
      <b/>
      <sz val="9"/>
      <color rgb="FFFF0000"/>
      <name val="Calibri"/>
      <family val="2"/>
      <scheme val="major"/>
    </font>
    <font>
      <b/>
      <sz val="9"/>
      <color rgb="FF00B050"/>
      <name val="Symbol"/>
      <family val="1"/>
      <charset val="2"/>
    </font>
    <font>
      <b/>
      <i/>
      <sz val="9"/>
      <color rgb="FFED0000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9"/>
      <color theme="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FF0000"/>
      <name val="Calibri"/>
      <family val="2"/>
      <scheme val="major"/>
    </font>
    <font>
      <b/>
      <sz val="10"/>
      <name val="Calibri"/>
      <family val="2"/>
      <scheme val="major"/>
    </font>
    <font>
      <sz val="9"/>
      <color rgb="FFFFFFFF"/>
      <name val="Calibri"/>
      <family val="2"/>
      <scheme val="major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F243E"/>
        <bgColor rgb="FF0F243E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rgb="FF0F243E"/>
      </patternFill>
    </fill>
    <fill>
      <patternFill patternType="solid">
        <fgColor rgb="FF00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F243E"/>
      </patternFill>
    </fill>
    <fill>
      <patternFill patternType="solid">
        <fgColor rgb="FFFFFF00"/>
        <bgColor rgb="FF00FF00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0F243E"/>
      </patternFill>
    </fill>
    <fill>
      <patternFill patternType="solid">
        <fgColor theme="9" tint="0.79998168889431442"/>
        <bgColor rgb="FF0F243E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1" fillId="0" borderId="0" applyNumberFormat="0" applyFill="0" applyBorder="0" applyAlignment="0" applyProtection="0"/>
    <xf numFmtId="0" fontId="22" fillId="0" borderId="1"/>
    <xf numFmtId="44" fontId="23" fillId="0" borderId="0" applyFont="0" applyFill="0" applyBorder="0" applyAlignment="0" applyProtection="0"/>
    <xf numFmtId="0" fontId="1" fillId="0" borderId="1"/>
    <xf numFmtId="43" fontId="38" fillId="0" borderId="0" applyFont="0" applyFill="0" applyBorder="0" applyAlignment="0" applyProtection="0"/>
  </cellStyleXfs>
  <cellXfs count="36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8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69" fontId="2" fillId="0" borderId="3" xfId="0" applyNumberFormat="1" applyFont="1" applyBorder="1" applyAlignment="1">
      <alignment horizontal="center" vertical="center"/>
    </xf>
    <xf numFmtId="170" fontId="2" fillId="0" borderId="3" xfId="0" applyNumberFormat="1" applyFont="1" applyBorder="1" applyAlignment="1">
      <alignment horizontal="center" vertical="center"/>
    </xf>
    <xf numFmtId="17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/>
    </xf>
    <xf numFmtId="173" fontId="2" fillId="0" borderId="3" xfId="0" applyNumberFormat="1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170" fontId="2" fillId="0" borderId="3" xfId="0" applyNumberFormat="1" applyFont="1" applyBorder="1" applyAlignment="1">
      <alignment horizontal="right" vertical="center"/>
    </xf>
    <xf numFmtId="175" fontId="2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/>
    </xf>
    <xf numFmtId="175" fontId="2" fillId="0" borderId="0" xfId="0" applyNumberFormat="1" applyFont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20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167" fontId="24" fillId="0" borderId="3" xfId="0" applyNumberFormat="1" applyFont="1" applyBorder="1" applyAlignment="1">
      <alignment horizontal="center" vertical="center"/>
    </xf>
    <xf numFmtId="183" fontId="25" fillId="0" borderId="3" xfId="0" applyNumberFormat="1" applyFont="1" applyBorder="1" applyAlignment="1">
      <alignment horizontal="center" vertical="center"/>
    </xf>
    <xf numFmtId="167" fontId="25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180" fontId="24" fillId="0" borderId="3" xfId="0" applyNumberFormat="1" applyFont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67" fontId="15" fillId="0" borderId="3" xfId="0" applyNumberFormat="1" applyFont="1" applyBorder="1" applyAlignment="1">
      <alignment horizontal="center" vertical="center"/>
    </xf>
    <xf numFmtId="172" fontId="0" fillId="0" borderId="0" xfId="3" applyNumberFormat="1" applyFont="1"/>
    <xf numFmtId="44" fontId="0" fillId="0" borderId="0" xfId="0" applyNumberFormat="1"/>
    <xf numFmtId="44" fontId="0" fillId="0" borderId="0" xfId="3" applyFont="1"/>
    <xf numFmtId="181" fontId="2" fillId="0" borderId="0" xfId="0" applyNumberFormat="1" applyFont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167" fontId="2" fillId="0" borderId="7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67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21" fillId="0" borderId="5" xfId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8" fontId="2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4" fontId="2" fillId="0" borderId="5" xfId="3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169" fontId="2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44" fontId="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167" fontId="2" fillId="0" borderId="5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79" fontId="2" fillId="0" borderId="5" xfId="0" applyNumberFormat="1" applyFont="1" applyBorder="1" applyAlignment="1">
      <alignment horizontal="center" vertical="center"/>
    </xf>
    <xf numFmtId="181" fontId="2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73" fontId="2" fillId="0" borderId="5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74" fontId="2" fillId="0" borderId="5" xfId="0" applyNumberFormat="1" applyFont="1" applyBorder="1" applyAlignment="1">
      <alignment horizontal="center" vertical="center"/>
    </xf>
    <xf numFmtId="167" fontId="19" fillId="0" borderId="5" xfId="0" applyNumberFormat="1" applyFont="1" applyBorder="1" applyAlignment="1">
      <alignment horizontal="center" vertical="center"/>
    </xf>
    <xf numFmtId="169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3" fontId="19" fillId="0" borderId="5" xfId="0" applyNumberFormat="1" applyFont="1" applyBorder="1" applyAlignment="1">
      <alignment horizontal="right" vertical="center"/>
    </xf>
    <xf numFmtId="0" fontId="19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82" fontId="2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184" fontId="24" fillId="0" borderId="3" xfId="0" applyNumberFormat="1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21" fillId="0" borderId="5" xfId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 wrapText="1"/>
    </xf>
    <xf numFmtId="49" fontId="29" fillId="0" borderId="5" xfId="0" applyNumberFormat="1" applyFont="1" applyBorder="1" applyAlignment="1">
      <alignment horizontal="left" vertical="center"/>
    </xf>
    <xf numFmtId="49" fontId="29" fillId="0" borderId="5" xfId="0" applyNumberFormat="1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9" fillId="2" borderId="1" xfId="0" applyFont="1" applyFill="1" applyBorder="1" applyAlignment="1">
      <alignment horizontal="left" vertical="center"/>
    </xf>
    <xf numFmtId="16" fontId="29" fillId="2" borderId="1" xfId="0" applyNumberFormat="1" applyFont="1" applyFill="1" applyBorder="1" applyAlignment="1">
      <alignment horizontal="left" vertical="center"/>
    </xf>
    <xf numFmtId="167" fontId="29" fillId="0" borderId="5" xfId="0" applyNumberFormat="1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/>
    </xf>
    <xf numFmtId="0" fontId="29" fillId="0" borderId="5" xfId="0" quotePrefix="1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49" fontId="30" fillId="0" borderId="0" xfId="0" applyNumberFormat="1" applyFont="1" applyAlignment="1">
      <alignment horizontal="center"/>
    </xf>
    <xf numFmtId="0" fontId="30" fillId="0" borderId="7" xfId="0" applyFont="1" applyBorder="1" applyAlignment="1">
      <alignment horizontal="left"/>
    </xf>
    <xf numFmtId="18" fontId="30" fillId="0" borderId="0" xfId="0" applyNumberFormat="1" applyFont="1" applyAlignment="1">
      <alignment horizontal="center"/>
    </xf>
    <xf numFmtId="0" fontId="29" fillId="0" borderId="5" xfId="0" applyFont="1" applyBorder="1" applyAlignment="1">
      <alignment horizontal="left" wrapText="1"/>
    </xf>
    <xf numFmtId="49" fontId="28" fillId="3" borderId="5" xfId="0" applyNumberFormat="1" applyFont="1" applyFill="1" applyBorder="1" applyAlignment="1">
      <alignment horizontal="center" vertical="center" wrapText="1"/>
    </xf>
    <xf numFmtId="0" fontId="28" fillId="6" borderId="5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49" fontId="34" fillId="0" borderId="5" xfId="0" applyNumberFormat="1" applyFont="1" applyBorder="1" applyAlignment="1">
      <alignment horizontal="center" vertical="center"/>
    </xf>
    <xf numFmtId="49" fontId="27" fillId="0" borderId="5" xfId="0" applyNumberFormat="1" applyFont="1" applyBorder="1" applyAlignment="1">
      <alignment horizontal="center" vertical="center"/>
    </xf>
    <xf numFmtId="49" fontId="29" fillId="0" borderId="5" xfId="0" applyNumberFormat="1" applyFont="1" applyBorder="1" applyAlignment="1">
      <alignment horizontal="center" vertical="center"/>
    </xf>
    <xf numFmtId="16" fontId="29" fillId="0" borderId="5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center"/>
    </xf>
    <xf numFmtId="0" fontId="29" fillId="0" borderId="5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left"/>
    </xf>
    <xf numFmtId="0" fontId="29" fillId="8" borderId="5" xfId="0" applyFont="1" applyFill="1" applyBorder="1" applyAlignment="1">
      <alignment horizontal="left" vertical="center" wrapText="1"/>
    </xf>
    <xf numFmtId="0" fontId="29" fillId="9" borderId="5" xfId="0" applyFont="1" applyFill="1" applyBorder="1" applyAlignment="1">
      <alignment horizontal="left" vertical="center"/>
    </xf>
    <xf numFmtId="0" fontId="29" fillId="9" borderId="5" xfId="0" applyFont="1" applyFill="1" applyBorder="1" applyAlignment="1">
      <alignment horizontal="left" vertical="center" wrapText="1"/>
    </xf>
    <xf numFmtId="0" fontId="33" fillId="0" borderId="5" xfId="0" applyFont="1" applyBorder="1" applyAlignment="1">
      <alignment horizontal="center" vertical="center"/>
    </xf>
    <xf numFmtId="49" fontId="34" fillId="10" borderId="5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7" fontId="35" fillId="0" borderId="5" xfId="0" applyNumberFormat="1" applyFont="1" applyBorder="1" applyAlignment="1">
      <alignment horizontal="center" vertical="center"/>
    </xf>
    <xf numFmtId="165" fontId="29" fillId="2" borderId="1" xfId="0" applyNumberFormat="1" applyFont="1" applyFill="1" applyBorder="1" applyAlignment="1">
      <alignment horizontal="center" vertical="center"/>
    </xf>
    <xf numFmtId="165" fontId="29" fillId="0" borderId="5" xfId="0" applyNumberFormat="1" applyFont="1" applyBorder="1" applyAlignment="1">
      <alignment horizontal="center" vertical="center"/>
    </xf>
    <xf numFmtId="168" fontId="29" fillId="0" borderId="5" xfId="0" applyNumberFormat="1" applyFont="1" applyBorder="1" applyAlignment="1">
      <alignment horizontal="center" vertical="center"/>
    </xf>
    <xf numFmtId="169" fontId="29" fillId="0" borderId="5" xfId="0" applyNumberFormat="1" applyFont="1" applyBorder="1" applyAlignment="1">
      <alignment horizontal="center" vertical="center"/>
    </xf>
    <xf numFmtId="2" fontId="29" fillId="0" borderId="5" xfId="0" applyNumberFormat="1" applyFont="1" applyBorder="1" applyAlignment="1">
      <alignment horizontal="center" vertical="center"/>
    </xf>
    <xf numFmtId="165" fontId="29" fillId="0" borderId="5" xfId="0" applyNumberFormat="1" applyFont="1" applyBorder="1" applyAlignment="1">
      <alignment horizontal="center" vertical="center" wrapText="1"/>
    </xf>
    <xf numFmtId="174" fontId="29" fillId="0" borderId="5" xfId="0" applyNumberFormat="1" applyFont="1" applyBorder="1" applyAlignment="1">
      <alignment horizontal="center" vertical="center"/>
    </xf>
    <xf numFmtId="2" fontId="33" fillId="0" borderId="5" xfId="0" applyNumberFormat="1" applyFont="1" applyBorder="1" applyAlignment="1">
      <alignment horizontal="center" vertical="center"/>
    </xf>
    <xf numFmtId="176" fontId="29" fillId="0" borderId="5" xfId="0" applyNumberFormat="1" applyFont="1" applyBorder="1" applyAlignment="1">
      <alignment horizontal="center" vertical="center"/>
    </xf>
    <xf numFmtId="167" fontId="32" fillId="0" borderId="5" xfId="0" applyNumberFormat="1" applyFont="1" applyBorder="1" applyAlignment="1">
      <alignment horizontal="left" vertical="center" wrapText="1"/>
    </xf>
    <xf numFmtId="172" fontId="32" fillId="8" borderId="5" xfId="3" applyNumberFormat="1" applyFont="1" applyFill="1" applyBorder="1" applyAlignment="1">
      <alignment horizontal="left" vertical="center"/>
    </xf>
    <xf numFmtId="0" fontId="29" fillId="8" borderId="5" xfId="0" applyFont="1" applyFill="1" applyBorder="1" applyAlignment="1">
      <alignment horizontal="left" vertical="center"/>
    </xf>
    <xf numFmtId="172" fontId="29" fillId="8" borderId="5" xfId="3" applyNumberFormat="1" applyFont="1" applyFill="1" applyBorder="1" applyAlignment="1">
      <alignment horizontal="left" vertical="center"/>
    </xf>
    <xf numFmtId="0" fontId="35" fillId="0" borderId="5" xfId="0" applyFont="1" applyBorder="1" applyAlignment="1">
      <alignment horizontal="center" vertical="center"/>
    </xf>
    <xf numFmtId="172" fontId="32" fillId="0" borderId="5" xfId="3" applyNumberFormat="1" applyFont="1" applyFill="1" applyBorder="1" applyAlignment="1">
      <alignment horizontal="left" vertical="center"/>
    </xf>
    <xf numFmtId="43" fontId="29" fillId="0" borderId="5" xfId="5" applyFont="1" applyBorder="1" applyAlignment="1">
      <alignment horizontal="center" vertical="center"/>
    </xf>
    <xf numFmtId="183" fontId="32" fillId="0" borderId="5" xfId="0" applyNumberFormat="1" applyFont="1" applyBorder="1" applyAlignment="1">
      <alignment horizontal="center" vertical="center"/>
    </xf>
    <xf numFmtId="167" fontId="33" fillId="0" borderId="5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/>
    </xf>
    <xf numFmtId="0" fontId="39" fillId="17" borderId="5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172" fontId="29" fillId="2" borderId="1" xfId="3" applyNumberFormat="1" applyFont="1" applyFill="1" applyBorder="1" applyAlignment="1">
      <alignment horizontal="left" vertical="center"/>
    </xf>
    <xf numFmtId="172" fontId="29" fillId="0" borderId="5" xfId="3" applyNumberFormat="1" applyFont="1" applyBorder="1" applyAlignment="1">
      <alignment horizontal="left" vertical="center"/>
    </xf>
    <xf numFmtId="172" fontId="30" fillId="0" borderId="0" xfId="3" applyNumberFormat="1" applyFont="1" applyAlignment="1">
      <alignment horizontal="left"/>
    </xf>
    <xf numFmtId="172" fontId="29" fillId="2" borderId="1" xfId="3" applyNumberFormat="1" applyFont="1" applyFill="1" applyBorder="1" applyAlignment="1">
      <alignment horizontal="center" vertical="center"/>
    </xf>
    <xf numFmtId="172" fontId="31" fillId="7" borderId="5" xfId="3" applyNumberFormat="1" applyFont="1" applyFill="1" applyBorder="1" applyAlignment="1">
      <alignment horizontal="center" vertical="center" wrapText="1"/>
    </xf>
    <xf numFmtId="172" fontId="27" fillId="0" borderId="5" xfId="3" applyNumberFormat="1" applyFont="1" applyBorder="1" applyAlignment="1">
      <alignment horizontal="center" vertical="center"/>
    </xf>
    <xf numFmtId="172" fontId="30" fillId="0" borderId="0" xfId="3" applyNumberFormat="1" applyFont="1" applyAlignment="1">
      <alignment horizontal="center"/>
    </xf>
    <xf numFmtId="172" fontId="29" fillId="2" borderId="1" xfId="3" applyNumberFormat="1" applyFont="1" applyFill="1" applyBorder="1" applyAlignment="1">
      <alignment vertical="center"/>
    </xf>
    <xf numFmtId="172" fontId="28" fillId="6" borderId="5" xfId="3" applyNumberFormat="1" applyFont="1" applyFill="1" applyBorder="1" applyAlignment="1">
      <alignment vertical="center" wrapText="1"/>
    </xf>
    <xf numFmtId="172" fontId="32" fillId="0" borderId="5" xfId="3" applyNumberFormat="1" applyFont="1" applyBorder="1" applyAlignment="1">
      <alignment vertical="center"/>
    </xf>
    <xf numFmtId="172" fontId="32" fillId="0" borderId="5" xfId="3" applyNumberFormat="1" applyFont="1" applyBorder="1" applyAlignment="1">
      <alignment horizontal="left" vertical="center"/>
    </xf>
    <xf numFmtId="172" fontId="27" fillId="0" borderId="5" xfId="3" applyNumberFormat="1" applyFont="1" applyBorder="1" applyAlignment="1">
      <alignment horizontal="left" vertical="center"/>
    </xf>
    <xf numFmtId="172" fontId="29" fillId="0" borderId="5" xfId="3" applyNumberFormat="1" applyFont="1" applyBorder="1" applyAlignment="1">
      <alignment vertical="center"/>
    </xf>
    <xf numFmtId="172" fontId="32" fillId="8" borderId="5" xfId="3" applyNumberFormat="1" applyFont="1" applyFill="1" applyBorder="1" applyAlignment="1">
      <alignment vertical="center"/>
    </xf>
    <xf numFmtId="172" fontId="30" fillId="0" borderId="0" xfId="3" applyNumberFormat="1" applyFont="1"/>
    <xf numFmtId="172" fontId="36" fillId="15" borderId="5" xfId="3" applyNumberFormat="1" applyFont="1" applyFill="1" applyBorder="1" applyAlignment="1">
      <alignment horizontal="center" vertical="center" wrapText="1"/>
    </xf>
    <xf numFmtId="185" fontId="29" fillId="8" borderId="5" xfId="5" applyNumberFormat="1" applyFont="1" applyFill="1" applyBorder="1" applyAlignment="1">
      <alignment horizontal="left" vertical="center"/>
    </xf>
    <xf numFmtId="185" fontId="32" fillId="8" borderId="5" xfId="5" applyNumberFormat="1" applyFont="1" applyFill="1" applyBorder="1" applyAlignment="1">
      <alignment horizontal="left" vertical="center"/>
    </xf>
    <xf numFmtId="0" fontId="30" fillId="8" borderId="1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left" vertical="center"/>
    </xf>
    <xf numFmtId="0" fontId="30" fillId="0" borderId="5" xfId="0" applyFont="1" applyBorder="1" applyAlignment="1">
      <alignment horizontal="center"/>
    </xf>
    <xf numFmtId="43" fontId="30" fillId="0" borderId="5" xfId="5" applyFont="1" applyFill="1" applyBorder="1" applyAlignment="1">
      <alignment horizontal="left"/>
    </xf>
    <xf numFmtId="0" fontId="30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wrapText="1"/>
    </xf>
    <xf numFmtId="0" fontId="41" fillId="0" borderId="1" xfId="0" applyFont="1" applyBorder="1" applyAlignment="1">
      <alignment vertical="center"/>
    </xf>
    <xf numFmtId="167" fontId="29" fillId="0" borderId="5" xfId="0" applyNumberFormat="1" applyFont="1" applyBorder="1" applyAlignment="1">
      <alignment horizontal="left" vertical="center" wrapText="1"/>
    </xf>
    <xf numFmtId="167" fontId="33" fillId="13" borderId="5" xfId="0" applyNumberFormat="1" applyFont="1" applyFill="1" applyBorder="1" applyAlignment="1">
      <alignment horizontal="left" vertical="center" wrapText="1"/>
    </xf>
    <xf numFmtId="167" fontId="42" fillId="0" borderId="5" xfId="0" applyNumberFormat="1" applyFont="1" applyBorder="1" applyAlignment="1">
      <alignment horizontal="left" vertical="center"/>
    </xf>
    <xf numFmtId="167" fontId="43" fillId="0" borderId="5" xfId="0" applyNumberFormat="1" applyFont="1" applyBorder="1" applyAlignment="1">
      <alignment horizontal="left" vertical="center"/>
    </xf>
    <xf numFmtId="180" fontId="29" fillId="0" borderId="5" xfId="0" applyNumberFormat="1" applyFont="1" applyBorder="1" applyAlignment="1">
      <alignment horizontal="left" vertical="center"/>
    </xf>
    <xf numFmtId="49" fontId="44" fillId="2" borderId="1" xfId="0" applyNumberFormat="1" applyFont="1" applyFill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43" fontId="29" fillId="0" borderId="5" xfId="5" applyFont="1" applyBorder="1" applyAlignment="1">
      <alignment horizontal="right" vertical="center"/>
    </xf>
    <xf numFmtId="43" fontId="30" fillId="0" borderId="5" xfId="5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49" fontId="47" fillId="3" borderId="5" xfId="0" applyNumberFormat="1" applyFont="1" applyFill="1" applyBorder="1" applyAlignment="1">
      <alignment horizontal="center" vertical="center" wrapText="1"/>
    </xf>
    <xf numFmtId="167" fontId="32" fillId="10" borderId="5" xfId="0" applyNumberFormat="1" applyFont="1" applyFill="1" applyBorder="1" applyAlignment="1">
      <alignment horizontal="left" vertical="center"/>
    </xf>
    <xf numFmtId="167" fontId="29" fillId="13" borderId="5" xfId="0" applyNumberFormat="1" applyFont="1" applyFill="1" applyBorder="1" applyAlignment="1">
      <alignment horizontal="left" vertical="center" wrapText="1"/>
    </xf>
    <xf numFmtId="167" fontId="33" fillId="0" borderId="5" xfId="0" applyNumberFormat="1" applyFont="1" applyBorder="1" applyAlignment="1">
      <alignment horizontal="left" vertical="center" wrapText="1"/>
    </xf>
    <xf numFmtId="0" fontId="29" fillId="2" borderId="1" xfId="0" applyFont="1" applyFill="1" applyBorder="1" applyAlignment="1">
      <alignment horizontal="left" vertical="center" wrapText="1"/>
    </xf>
    <xf numFmtId="167" fontId="43" fillId="0" borderId="5" xfId="0" applyNumberFormat="1" applyFont="1" applyBorder="1" applyAlignment="1">
      <alignment horizontal="left" vertical="center" wrapText="1"/>
    </xf>
    <xf numFmtId="180" fontId="29" fillId="0" borderId="5" xfId="0" applyNumberFormat="1" applyFont="1" applyBorder="1" applyAlignment="1">
      <alignment horizontal="left" vertical="center" wrapText="1"/>
    </xf>
    <xf numFmtId="165" fontId="29" fillId="0" borderId="5" xfId="0" applyNumberFormat="1" applyFont="1" applyBorder="1" applyAlignment="1">
      <alignment horizontal="left" vertical="center" wrapText="1"/>
    </xf>
    <xf numFmtId="0" fontId="30" fillId="0" borderId="0" xfId="0" applyFont="1" applyAlignment="1">
      <alignment horizontal="left" wrapText="1"/>
    </xf>
    <xf numFmtId="186" fontId="32" fillId="8" borderId="5" xfId="3" applyNumberFormat="1" applyFont="1" applyFill="1" applyBorder="1" applyAlignment="1">
      <alignment horizontal="left" vertical="center"/>
    </xf>
    <xf numFmtId="0" fontId="30" fillId="8" borderId="5" xfId="0" applyFont="1" applyFill="1" applyBorder="1" applyAlignment="1">
      <alignment horizontal="left"/>
    </xf>
    <xf numFmtId="0" fontId="49" fillId="0" borderId="5" xfId="0" applyFont="1" applyBorder="1" applyAlignment="1">
      <alignment horizontal="left" vertical="center"/>
    </xf>
    <xf numFmtId="0" fontId="49" fillId="0" borderId="5" xfId="0" applyFont="1" applyBorder="1" applyAlignment="1">
      <alignment horizontal="center" vertical="center"/>
    </xf>
    <xf numFmtId="14" fontId="49" fillId="0" borderId="5" xfId="0" applyNumberFormat="1" applyFont="1" applyBorder="1" applyAlignment="1">
      <alignment horizontal="center" vertical="center"/>
    </xf>
    <xf numFmtId="0" fontId="49" fillId="10" borderId="9" xfId="0" applyFont="1" applyFill="1" applyBorder="1" applyAlignment="1">
      <alignment horizontal="center" vertical="center"/>
    </xf>
    <xf numFmtId="0" fontId="48" fillId="0" borderId="1" xfId="0" applyFont="1" applyBorder="1" applyAlignment="1">
      <alignment vertical="center"/>
    </xf>
    <xf numFmtId="0" fontId="51" fillId="3" borderId="5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8" fillId="0" borderId="5" xfId="0" applyFont="1" applyBorder="1" applyAlignment="1">
      <alignment horizontal="left" vertical="center"/>
    </xf>
    <xf numFmtId="14" fontId="48" fillId="0" borderId="5" xfId="0" applyNumberFormat="1" applyFont="1" applyBorder="1" applyAlignment="1">
      <alignment horizontal="center" vertical="center"/>
    </xf>
    <xf numFmtId="0" fontId="48" fillId="0" borderId="5" xfId="0" applyFont="1" applyBorder="1" applyAlignment="1">
      <alignment horizontal="left" vertical="center" wrapText="1"/>
    </xf>
    <xf numFmtId="0" fontId="49" fillId="10" borderId="9" xfId="0" applyFont="1" applyFill="1" applyBorder="1" applyAlignment="1">
      <alignment horizontal="center" vertical="center" wrapText="1"/>
    </xf>
    <xf numFmtId="0" fontId="49" fillId="0" borderId="5" xfId="0" applyFont="1" applyBorder="1" applyAlignment="1">
      <alignment horizontal="left" vertical="center" wrapText="1"/>
    </xf>
    <xf numFmtId="16" fontId="49" fillId="10" borderId="9" xfId="0" applyNumberFormat="1" applyFont="1" applyFill="1" applyBorder="1" applyAlignment="1">
      <alignment horizontal="center" vertical="center"/>
    </xf>
    <xf numFmtId="0" fontId="48" fillId="9" borderId="5" xfId="0" applyFont="1" applyFill="1" applyBorder="1" applyAlignment="1">
      <alignment horizontal="center" vertical="center"/>
    </xf>
    <xf numFmtId="14" fontId="49" fillId="8" borderId="5" xfId="0" applyNumberFormat="1" applyFont="1" applyFill="1" applyBorder="1" applyAlignment="1">
      <alignment horizontal="center" vertical="center"/>
    </xf>
    <xf numFmtId="0" fontId="48" fillId="8" borderId="5" xfId="0" applyFont="1" applyFill="1" applyBorder="1" applyAlignment="1">
      <alignment horizontal="center" vertical="center"/>
    </xf>
    <xf numFmtId="0" fontId="48" fillId="10" borderId="9" xfId="0" applyFont="1" applyFill="1" applyBorder="1" applyAlignment="1">
      <alignment horizontal="center" vertical="center"/>
    </xf>
    <xf numFmtId="0" fontId="53" fillId="0" borderId="5" xfId="0" applyFont="1" applyBorder="1" applyAlignment="1">
      <alignment horizontal="left" vertical="center"/>
    </xf>
    <xf numFmtId="0" fontId="53" fillId="0" borderId="5" xfId="0" applyFont="1" applyBorder="1" applyAlignment="1">
      <alignment horizontal="left" vertical="center" wrapText="1"/>
    </xf>
    <xf numFmtId="0" fontId="30" fillId="8" borderId="5" xfId="0" applyFont="1" applyFill="1" applyBorder="1" applyAlignment="1">
      <alignment horizontal="center"/>
    </xf>
    <xf numFmtId="0" fontId="53" fillId="0" borderId="5" xfId="0" applyFont="1" applyBorder="1" applyAlignment="1">
      <alignment horizontal="center"/>
    </xf>
    <xf numFmtId="0" fontId="30" fillId="12" borderId="5" xfId="0" applyFont="1" applyFill="1" applyBorder="1" applyAlignment="1">
      <alignment horizontal="center"/>
    </xf>
    <xf numFmtId="187" fontId="32" fillId="8" borderId="5" xfId="3" applyNumberFormat="1" applyFont="1" applyFill="1" applyBorder="1" applyAlignment="1">
      <alignment horizontal="left" vertical="center"/>
    </xf>
    <xf numFmtId="0" fontId="48" fillId="12" borderId="5" xfId="0" applyFont="1" applyFill="1" applyBorder="1" applyAlignment="1">
      <alignment horizontal="center" vertical="center"/>
    </xf>
    <xf numFmtId="0" fontId="48" fillId="0" borderId="5" xfId="0" applyFont="1" applyBorder="1" applyAlignment="1">
      <alignment vertical="center" wrapText="1"/>
    </xf>
    <xf numFmtId="16" fontId="48" fillId="10" borderId="9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44" fontId="32" fillId="8" borderId="5" xfId="3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14" fontId="53" fillId="0" borderId="5" xfId="0" applyNumberFormat="1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8" fillId="8" borderId="5" xfId="0" applyFont="1" applyFill="1" applyBorder="1" applyAlignment="1">
      <alignment horizontal="left" vertical="center"/>
    </xf>
    <xf numFmtId="49" fontId="29" fillId="0" borderId="0" xfId="0" applyNumberFormat="1" applyFont="1" applyAlignment="1">
      <alignment horizontal="left" vertical="center" wrapText="1"/>
    </xf>
    <xf numFmtId="49" fontId="29" fillId="0" borderId="1" xfId="0" applyNumberFormat="1" applyFont="1" applyBorder="1" applyAlignment="1">
      <alignment horizontal="left" vertical="center" wrapText="1"/>
    </xf>
    <xf numFmtId="0" fontId="32" fillId="0" borderId="5" xfId="0" applyFont="1" applyBorder="1" applyAlignment="1">
      <alignment horizontal="center" vertical="center"/>
    </xf>
    <xf numFmtId="0" fontId="32" fillId="0" borderId="5" xfId="3" applyNumberFormat="1" applyFont="1" applyBorder="1" applyAlignment="1">
      <alignment horizontal="center" vertical="center"/>
    </xf>
    <xf numFmtId="44" fontId="29" fillId="0" borderId="5" xfId="3" applyFont="1" applyBorder="1" applyAlignment="1">
      <alignment horizontal="center" vertical="center"/>
    </xf>
    <xf numFmtId="16" fontId="32" fillId="8" borderId="5" xfId="3" applyNumberFormat="1" applyFont="1" applyFill="1" applyBorder="1" applyAlignment="1">
      <alignment horizontal="center" vertical="center"/>
    </xf>
    <xf numFmtId="44" fontId="29" fillId="8" borderId="5" xfId="3" applyFont="1" applyFill="1" applyBorder="1" applyAlignment="1">
      <alignment horizontal="left" vertical="center"/>
    </xf>
    <xf numFmtId="0" fontId="29" fillId="9" borderId="0" xfId="0" applyFont="1" applyFill="1" applyAlignment="1">
      <alignment horizontal="left" vertical="center"/>
    </xf>
    <xf numFmtId="0" fontId="29" fillId="9" borderId="1" xfId="0" applyFont="1" applyFill="1" applyBorder="1" applyAlignment="1">
      <alignment horizontal="left" vertical="center"/>
    </xf>
    <xf numFmtId="0" fontId="48" fillId="20" borderId="5" xfId="0" applyFont="1" applyFill="1" applyBorder="1" applyAlignment="1">
      <alignment horizontal="center" vertical="center"/>
    </xf>
    <xf numFmtId="0" fontId="29" fillId="0" borderId="5" xfId="5" applyNumberFormat="1" applyFont="1" applyBorder="1" applyAlignment="1">
      <alignment horizontal="center" vertical="center"/>
    </xf>
    <xf numFmtId="44" fontId="29" fillId="0" borderId="5" xfId="3" applyFont="1" applyBorder="1" applyAlignment="1">
      <alignment horizontal="left" vertical="center"/>
    </xf>
    <xf numFmtId="0" fontId="29" fillId="0" borderId="5" xfId="3" applyNumberFormat="1" applyFont="1" applyBorder="1" applyAlignment="1">
      <alignment horizontal="center" vertical="center"/>
    </xf>
    <xf numFmtId="187" fontId="29" fillId="8" borderId="5" xfId="3" applyNumberFormat="1" applyFont="1" applyFill="1" applyBorder="1" applyAlignment="1">
      <alignment horizontal="left" vertical="center"/>
    </xf>
    <xf numFmtId="43" fontId="30" fillId="0" borderId="5" xfId="5" applyFont="1" applyFill="1" applyBorder="1" applyAlignment="1">
      <alignment horizontal="center"/>
    </xf>
    <xf numFmtId="172" fontId="29" fillId="0" borderId="5" xfId="3" applyNumberFormat="1" applyFont="1" applyBorder="1" applyAlignment="1">
      <alignment horizontal="center" vertical="center"/>
    </xf>
    <xf numFmtId="164" fontId="27" fillId="2" borderId="1" xfId="0" applyNumberFormat="1" applyFont="1" applyFill="1" applyBorder="1" applyAlignment="1">
      <alignment horizontal="center" vertical="center"/>
    </xf>
    <xf numFmtId="49" fontId="29" fillId="0" borderId="5" xfId="0" applyNumberFormat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wrapText="1"/>
    </xf>
    <xf numFmtId="188" fontId="29" fillId="8" borderId="5" xfId="5" applyNumberFormat="1" applyFont="1" applyFill="1" applyBorder="1" applyAlignment="1">
      <alignment horizontal="center" vertical="center"/>
    </xf>
    <xf numFmtId="0" fontId="54" fillId="0" borderId="5" xfId="0" applyFont="1" applyBorder="1" applyAlignment="1">
      <alignment horizontal="left" vertical="center" wrapText="1"/>
    </xf>
    <xf numFmtId="0" fontId="30" fillId="8" borderId="5" xfId="0" applyFont="1" applyFill="1" applyBorder="1" applyAlignment="1">
      <alignment horizontal="left" vertical="center"/>
    </xf>
    <xf numFmtId="0" fontId="48" fillId="12" borderId="1" xfId="0" applyFont="1" applyFill="1" applyBorder="1" applyAlignment="1">
      <alignment vertical="center"/>
    </xf>
    <xf numFmtId="14" fontId="30" fillId="19" borderId="5" xfId="0" applyNumberFormat="1" applyFont="1" applyFill="1" applyBorder="1" applyAlignment="1">
      <alignment horizontal="center"/>
    </xf>
    <xf numFmtId="14" fontId="30" fillId="19" borderId="5" xfId="0" applyNumberFormat="1" applyFont="1" applyFill="1" applyBorder="1" applyAlignment="1">
      <alignment horizontal="center" vertical="center"/>
    </xf>
    <xf numFmtId="0" fontId="30" fillId="0" borderId="5" xfId="0" applyFont="1" applyBorder="1" applyAlignment="1">
      <alignment horizontal="left" vertical="center"/>
    </xf>
    <xf numFmtId="0" fontId="30" fillId="19" borderId="5" xfId="0" applyFont="1" applyFill="1" applyBorder="1" applyAlignment="1">
      <alignment horizontal="left"/>
    </xf>
    <xf numFmtId="0" fontId="55" fillId="21" borderId="5" xfId="0" applyFont="1" applyFill="1" applyBorder="1" applyAlignment="1">
      <alignment horizontal="center" vertical="center"/>
    </xf>
    <xf numFmtId="43" fontId="55" fillId="21" borderId="5" xfId="5" applyFont="1" applyFill="1" applyBorder="1" applyAlignment="1">
      <alignment horizontal="center" vertical="center"/>
    </xf>
    <xf numFmtId="172" fontId="29" fillId="8" borderId="5" xfId="3" applyNumberFormat="1" applyFont="1" applyFill="1" applyBorder="1" applyAlignment="1">
      <alignment horizontal="center" vertical="center"/>
    </xf>
    <xf numFmtId="14" fontId="30" fillId="9" borderId="5" xfId="0" applyNumberFormat="1" applyFont="1" applyFill="1" applyBorder="1" applyAlignment="1">
      <alignment horizontal="center"/>
    </xf>
    <xf numFmtId="0" fontId="30" fillId="8" borderId="5" xfId="0" applyFont="1" applyFill="1" applyBorder="1" applyAlignment="1">
      <alignment horizontal="center" vertical="center"/>
    </xf>
    <xf numFmtId="0" fontId="48" fillId="12" borderId="1" xfId="0" applyFont="1" applyFill="1" applyBorder="1" applyAlignment="1">
      <alignment horizontal="center" vertical="center"/>
    </xf>
    <xf numFmtId="0" fontId="29" fillId="9" borderId="0" xfId="0" applyFont="1" applyFill="1" applyAlignment="1">
      <alignment horizontal="left" vertical="center" wrapText="1"/>
    </xf>
    <xf numFmtId="0" fontId="29" fillId="9" borderId="1" xfId="0" applyFont="1" applyFill="1" applyBorder="1" applyAlignment="1">
      <alignment horizontal="left" vertical="center" wrapText="1"/>
    </xf>
    <xf numFmtId="43" fontId="30" fillId="0" borderId="5" xfId="5" applyFont="1" applyFill="1" applyBorder="1" applyAlignment="1">
      <alignment horizontal="center" vertical="center"/>
    </xf>
    <xf numFmtId="0" fontId="56" fillId="22" borderId="5" xfId="0" applyFont="1" applyFill="1" applyBorder="1" applyAlignment="1">
      <alignment horizontal="left" vertical="center"/>
    </xf>
    <xf numFmtId="49" fontId="56" fillId="22" borderId="5" xfId="0" applyNumberFormat="1" applyFont="1" applyFill="1" applyBorder="1" applyAlignment="1">
      <alignment horizontal="left" vertical="center"/>
    </xf>
    <xf numFmtId="0" fontId="41" fillId="19" borderId="1" xfId="0" applyFont="1" applyFill="1" applyBorder="1" applyAlignment="1">
      <alignment vertical="center"/>
    </xf>
    <xf numFmtId="0" fontId="28" fillId="3" borderId="5" xfId="5" applyNumberFormat="1" applyFont="1" applyFill="1" applyBorder="1" applyAlignment="1">
      <alignment horizontal="center" vertical="center" wrapText="1"/>
    </xf>
    <xf numFmtId="0" fontId="29" fillId="0" borderId="5" xfId="5" applyNumberFormat="1" applyFont="1" applyBorder="1" applyAlignment="1">
      <alignment horizontal="center"/>
    </xf>
    <xf numFmtId="0" fontId="29" fillId="0" borderId="5" xfId="5" applyNumberFormat="1" applyFont="1" applyBorder="1" applyAlignment="1">
      <alignment horizontal="center" vertical="center" wrapText="1"/>
    </xf>
    <xf numFmtId="0" fontId="32" fillId="0" borderId="5" xfId="5" applyNumberFormat="1" applyFont="1" applyBorder="1" applyAlignment="1">
      <alignment horizontal="center" vertical="center"/>
    </xf>
    <xf numFmtId="167" fontId="33" fillId="0" borderId="5" xfId="0" applyNumberFormat="1" applyFont="1" applyBorder="1" applyAlignment="1">
      <alignment horizontal="center" vertical="center"/>
    </xf>
    <xf numFmtId="44" fontId="32" fillId="0" borderId="5" xfId="3" applyFont="1" applyBorder="1" applyAlignment="1">
      <alignment vertical="center"/>
    </xf>
    <xf numFmtId="0" fontId="48" fillId="0" borderId="5" xfId="0" applyFont="1" applyBorder="1" applyAlignment="1">
      <alignment vertical="center"/>
    </xf>
    <xf numFmtId="0" fontId="57" fillId="0" borderId="5" xfId="1" applyFont="1" applyBorder="1" applyAlignment="1">
      <alignment horizontal="left" vertical="center"/>
    </xf>
    <xf numFmtId="0" fontId="58" fillId="0" borderId="5" xfId="1" applyFont="1" applyBorder="1" applyAlignment="1">
      <alignment horizontal="left" vertical="center" wrapText="1"/>
    </xf>
    <xf numFmtId="0" fontId="41" fillId="0" borderId="5" xfId="0" applyFont="1" applyBorder="1" applyAlignment="1">
      <alignment vertical="center" wrapText="1"/>
    </xf>
    <xf numFmtId="0" fontId="41" fillId="0" borderId="5" xfId="0" applyFont="1" applyBorder="1" applyAlignment="1">
      <alignment horizontal="left" vertical="center"/>
    </xf>
    <xf numFmtId="0" fontId="59" fillId="0" borderId="5" xfId="0" applyFont="1" applyBorder="1" applyAlignment="1">
      <alignment horizontal="left" vertical="center"/>
    </xf>
    <xf numFmtId="0" fontId="59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59" fillId="0" borderId="5" xfId="0" applyFont="1" applyBorder="1" applyAlignment="1">
      <alignment horizontal="left" vertical="center" wrapText="1"/>
    </xf>
    <xf numFmtId="0" fontId="41" fillId="0" borderId="5" xfId="0" applyFont="1" applyBorder="1" applyAlignment="1">
      <alignment horizontal="left" vertical="center" wrapText="1"/>
    </xf>
    <xf numFmtId="14" fontId="59" fillId="0" borderId="5" xfId="0" applyNumberFormat="1" applyFont="1" applyBorder="1" applyAlignment="1">
      <alignment horizontal="center" vertical="center"/>
    </xf>
    <xf numFmtId="16" fontId="59" fillId="10" borderId="9" xfId="0" applyNumberFormat="1" applyFont="1" applyFill="1" applyBorder="1" applyAlignment="1">
      <alignment horizontal="center" vertical="center"/>
    </xf>
    <xf numFmtId="0" fontId="53" fillId="0" borderId="5" xfId="1" applyFont="1" applyBorder="1" applyAlignment="1">
      <alignment horizontal="left" vertical="center" wrapText="1"/>
    </xf>
    <xf numFmtId="0" fontId="54" fillId="2" borderId="1" xfId="0" applyFont="1" applyFill="1" applyBorder="1" applyAlignment="1">
      <alignment horizontal="left" vertical="center" wrapText="1"/>
    </xf>
    <xf numFmtId="0" fontId="29" fillId="2" borderId="1" xfId="5" applyNumberFormat="1" applyFont="1" applyFill="1" applyBorder="1" applyAlignment="1">
      <alignment horizontal="center" vertical="center"/>
    </xf>
    <xf numFmtId="0" fontId="32" fillId="8" borderId="5" xfId="5" applyNumberFormat="1" applyFont="1" applyFill="1" applyBorder="1" applyAlignment="1">
      <alignment horizontal="center" vertical="center"/>
    </xf>
    <xf numFmtId="0" fontId="29" fillId="8" borderId="5" xfId="5" applyNumberFormat="1" applyFont="1" applyFill="1" applyBorder="1" applyAlignment="1">
      <alignment horizontal="center" vertical="center"/>
    </xf>
    <xf numFmtId="0" fontId="30" fillId="0" borderId="0" xfId="5" applyNumberFormat="1" applyFont="1" applyAlignment="1">
      <alignment horizontal="center"/>
    </xf>
    <xf numFmtId="44" fontId="30" fillId="0" borderId="0" xfId="0" applyNumberFormat="1" applyFont="1" applyAlignment="1">
      <alignment horizontal="center"/>
    </xf>
    <xf numFmtId="14" fontId="48" fillId="9" borderId="5" xfId="0" applyNumberFormat="1" applyFont="1" applyFill="1" applyBorder="1" applyAlignment="1">
      <alignment horizontal="center" vertical="center"/>
    </xf>
    <xf numFmtId="14" fontId="49" fillId="9" borderId="5" xfId="0" applyNumberFormat="1" applyFont="1" applyFill="1" applyBorder="1" applyAlignment="1">
      <alignment horizontal="center" vertical="center"/>
    </xf>
    <xf numFmtId="189" fontId="30" fillId="0" borderId="0" xfId="0" applyNumberFormat="1" applyFont="1" applyAlignment="1">
      <alignment horizontal="center"/>
    </xf>
    <xf numFmtId="189" fontId="30" fillId="0" borderId="0" xfId="0" applyNumberFormat="1" applyFont="1" applyAlignment="1">
      <alignment horizontal="left"/>
    </xf>
    <xf numFmtId="44" fontId="30" fillId="0" borderId="0" xfId="0" applyNumberFormat="1" applyFont="1" applyAlignment="1">
      <alignment horizontal="left"/>
    </xf>
    <xf numFmtId="44" fontId="30" fillId="0" borderId="0" xfId="3" applyFont="1" applyAlignment="1">
      <alignment horizontal="left"/>
    </xf>
    <xf numFmtId="0" fontId="44" fillId="2" borderId="1" xfId="0" applyFont="1" applyFill="1" applyBorder="1" applyAlignment="1">
      <alignment horizontal="right" vertical="center" wrapText="1"/>
    </xf>
    <xf numFmtId="0" fontId="30" fillId="0" borderId="5" xfId="0" applyFont="1" applyBorder="1" applyAlignment="1">
      <alignment horizontal="left" wrapText="1"/>
    </xf>
    <xf numFmtId="0" fontId="29" fillId="11" borderId="5" xfId="0" applyFont="1" applyFill="1" applyBorder="1" applyAlignment="1">
      <alignment horizontal="left" vertical="center" wrapText="1"/>
    </xf>
    <xf numFmtId="1" fontId="29" fillId="0" borderId="5" xfId="0" applyNumberFormat="1" applyFont="1" applyBorder="1" applyAlignment="1">
      <alignment horizontal="left" vertical="center" wrapText="1"/>
    </xf>
    <xf numFmtId="49" fontId="29" fillId="9" borderId="5" xfId="0" applyNumberFormat="1" applyFont="1" applyFill="1" applyBorder="1" applyAlignment="1">
      <alignment horizontal="left" vertical="center" wrapText="1"/>
    </xf>
    <xf numFmtId="0" fontId="30" fillId="8" borderId="5" xfId="0" applyFont="1" applyFill="1" applyBorder="1" applyAlignment="1">
      <alignment horizontal="left" vertical="center" wrapText="1"/>
    </xf>
    <xf numFmtId="49" fontId="33" fillId="0" borderId="5" xfId="0" applyNumberFormat="1" applyFont="1" applyBorder="1" applyAlignment="1">
      <alignment horizontal="left" vertical="center" wrapText="1"/>
    </xf>
    <xf numFmtId="0" fontId="56" fillId="22" borderId="5" xfId="0" applyFont="1" applyFill="1" applyBorder="1" applyAlignment="1">
      <alignment horizontal="left" vertical="center" wrapText="1"/>
    </xf>
    <xf numFmtId="44" fontId="29" fillId="2" borderId="1" xfId="3" applyFont="1" applyFill="1" applyBorder="1" applyAlignment="1">
      <alignment horizontal="left" vertical="center"/>
    </xf>
    <xf numFmtId="44" fontId="36" fillId="14" borderId="5" xfId="3" applyFont="1" applyFill="1" applyBorder="1" applyAlignment="1">
      <alignment horizontal="center" vertical="center" wrapText="1"/>
    </xf>
    <xf numFmtId="44" fontId="29" fillId="0" borderId="5" xfId="3" applyFont="1" applyFill="1" applyBorder="1" applyAlignment="1">
      <alignment horizontal="left" vertical="center"/>
    </xf>
    <xf numFmtId="44" fontId="29" fillId="8" borderId="5" xfId="3" applyFont="1" applyFill="1" applyBorder="1" applyAlignment="1">
      <alignment horizontal="center" vertical="center"/>
    </xf>
    <xf numFmtId="44" fontId="32" fillId="0" borderId="5" xfId="3" applyFont="1" applyBorder="1" applyAlignment="1">
      <alignment horizontal="center" vertical="center"/>
    </xf>
    <xf numFmtId="44" fontId="32" fillId="0" borderId="5" xfId="3" applyFont="1" applyFill="1" applyBorder="1" applyAlignment="1">
      <alignment horizontal="left" vertical="center"/>
    </xf>
    <xf numFmtId="44" fontId="33" fillId="8" borderId="5" xfId="3" applyFont="1" applyFill="1" applyBorder="1" applyAlignment="1">
      <alignment horizontal="left" vertical="center"/>
    </xf>
    <xf numFmtId="44" fontId="29" fillId="0" borderId="5" xfId="3" applyFont="1" applyBorder="1" applyAlignment="1">
      <alignment vertical="center"/>
    </xf>
    <xf numFmtId="0" fontId="30" fillId="0" borderId="1" xfId="0" applyFont="1" applyBorder="1" applyAlignment="1">
      <alignment horizontal="center"/>
    </xf>
    <xf numFmtId="0" fontId="30" fillId="12" borderId="5" xfId="0" applyFont="1" applyFill="1" applyBorder="1" applyAlignment="1">
      <alignment horizontal="center" vertical="center"/>
    </xf>
    <xf numFmtId="43" fontId="30" fillId="8" borderId="5" xfId="0" applyNumberFormat="1" applyFont="1" applyFill="1" applyBorder="1" applyAlignment="1">
      <alignment horizontal="left" vertical="center"/>
    </xf>
    <xf numFmtId="0" fontId="30" fillId="12" borderId="5" xfId="0" applyFont="1" applyFill="1" applyBorder="1" applyAlignment="1">
      <alignment horizontal="left" vertical="center"/>
    </xf>
    <xf numFmtId="0" fontId="49" fillId="0" borderId="0" xfId="0" applyFont="1" applyAlignment="1">
      <alignment horizontal="center" vertical="center"/>
    </xf>
    <xf numFmtId="2" fontId="30" fillId="0" borderId="0" xfId="5" applyNumberFormat="1" applyFont="1" applyAlignment="1">
      <alignment horizontal="center"/>
    </xf>
    <xf numFmtId="190" fontId="29" fillId="0" borderId="5" xfId="5" applyNumberFormat="1" applyFont="1" applyBorder="1" applyAlignment="1">
      <alignment horizontal="center" vertical="center"/>
    </xf>
    <xf numFmtId="0" fontId="36" fillId="16" borderId="8" xfId="0" applyFont="1" applyFill="1" applyBorder="1" applyAlignment="1">
      <alignment horizontal="center" vertical="center"/>
    </xf>
    <xf numFmtId="0" fontId="51" fillId="3" borderId="8" xfId="0" applyFont="1" applyFill="1" applyBorder="1" applyAlignment="1">
      <alignment horizontal="center" vertical="center" wrapText="1"/>
    </xf>
    <xf numFmtId="0" fontId="51" fillId="3" borderId="10" xfId="0" applyFont="1" applyFill="1" applyBorder="1" applyAlignment="1">
      <alignment horizontal="center" vertical="center" wrapText="1"/>
    </xf>
    <xf numFmtId="0" fontId="50" fillId="9" borderId="8" xfId="0" applyFont="1" applyFill="1" applyBorder="1" applyAlignment="1">
      <alignment horizontal="center" vertical="center" wrapText="1"/>
    </xf>
    <xf numFmtId="0" fontId="50" fillId="9" borderId="10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52" fillId="18" borderId="13" xfId="0" applyFont="1" applyFill="1" applyBorder="1" applyAlignment="1">
      <alignment horizontal="center" vertical="center" wrapText="1"/>
    </xf>
    <xf numFmtId="0" fontId="52" fillId="18" borderId="14" xfId="0" applyFont="1" applyFill="1" applyBorder="1" applyAlignment="1">
      <alignment horizontal="center" vertical="center" wrapText="1"/>
    </xf>
    <xf numFmtId="0" fontId="51" fillId="3" borderId="9" xfId="0" applyFont="1" applyFill="1" applyBorder="1" applyAlignment="1">
      <alignment horizontal="center" vertical="center" wrapText="1"/>
    </xf>
    <xf numFmtId="0" fontId="51" fillId="3" borderId="11" xfId="0" applyFont="1" applyFill="1" applyBorder="1" applyAlignment="1">
      <alignment horizontal="center" vertical="center" wrapText="1"/>
    </xf>
    <xf numFmtId="0" fontId="51" fillId="3" borderId="12" xfId="0" applyFont="1" applyFill="1" applyBorder="1" applyAlignment="1">
      <alignment horizontal="center" vertical="center" wrapText="1"/>
    </xf>
  </cellXfs>
  <cellStyles count="6">
    <cellStyle name="Comma" xfId="5" builtinId="3"/>
    <cellStyle name="Currency" xfId="3" builtinId="4"/>
    <cellStyle name="Hyperlink" xfId="1" builtinId="8"/>
    <cellStyle name="Normal" xfId="0" builtinId="0"/>
    <cellStyle name="Normal 2" xfId="4" xr:uid="{00000000-0005-0000-0000-000004000000}"/>
    <cellStyle name="Normal 7 2" xfId="2" xr:uid="{00000000-0005-0000-0000-000005000000}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FF"/>
      <color rgb="FFCCFFCC"/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ristina.Vargas@sabic-ip.com" TargetMode="External"/><Relationship Id="rId21" Type="http://schemas.openxmlformats.org/officeDocument/2006/relationships/hyperlink" Target="mailto:Cristina.Vargas@sabic-ip.com" TargetMode="External"/><Relationship Id="rId63" Type="http://schemas.openxmlformats.org/officeDocument/2006/relationships/hyperlink" Target="mailto:joseluis.chavez@polyone.com" TargetMode="External"/><Relationship Id="rId159" Type="http://schemas.openxmlformats.org/officeDocument/2006/relationships/hyperlink" Target="mailto:karla.lombardi@polyone.com" TargetMode="External"/><Relationship Id="rId170" Type="http://schemas.openxmlformats.org/officeDocument/2006/relationships/hyperlink" Target="mailto:juanmanuel.moreno@clariant.com" TargetMode="External"/><Relationship Id="rId226" Type="http://schemas.openxmlformats.org/officeDocument/2006/relationships/hyperlink" Target="mailto:ealvarado@siempaques.com" TargetMode="External"/><Relationship Id="rId268" Type="http://schemas.openxmlformats.org/officeDocument/2006/relationships/hyperlink" Target="mailto:Romualdo.DelaCruz@sbdinc.com" TargetMode="External"/><Relationship Id="rId32" Type="http://schemas.openxmlformats.org/officeDocument/2006/relationships/hyperlink" Target="mailto:lvillareal@promaplast.com" TargetMode="External"/><Relationship Id="rId74" Type="http://schemas.openxmlformats.org/officeDocument/2006/relationships/hyperlink" Target="about:blank" TargetMode="External"/><Relationship Id="rId128" Type="http://schemas.openxmlformats.org/officeDocument/2006/relationships/hyperlink" Target="mailto:Cristina.Vargas@sabic-ip.com" TargetMode="External"/><Relationship Id="rId5" Type="http://schemas.openxmlformats.org/officeDocument/2006/relationships/hyperlink" Target="mailto:Cristina.Vargas@sabic-ip.com" TargetMode="External"/><Relationship Id="rId181" Type="http://schemas.openxmlformats.org/officeDocument/2006/relationships/hyperlink" Target="mailto:sales01@kingyao.com" TargetMode="External"/><Relationship Id="rId237" Type="http://schemas.openxmlformats.org/officeDocument/2006/relationships/hyperlink" Target="mailto:Julio.Delangel@lyondellbasell.com" TargetMode="External"/><Relationship Id="rId279" Type="http://schemas.openxmlformats.org/officeDocument/2006/relationships/hyperlink" Target="mailto:mumanzor@kingfa.com" TargetMode="External"/><Relationship Id="rId43" Type="http://schemas.openxmlformats.org/officeDocument/2006/relationships/hyperlink" Target="mailto:joseluis.chavez@polyone.com" TargetMode="External"/><Relationship Id="rId139" Type="http://schemas.openxmlformats.org/officeDocument/2006/relationships/hyperlink" Target="mailto:smontes@sisamo.com.mx" TargetMode="External"/><Relationship Id="rId290" Type="http://schemas.openxmlformats.org/officeDocument/2006/relationships/hyperlink" Target="mailto:graciela.gonzalez@cewmail.com" TargetMode="External"/><Relationship Id="rId85" Type="http://schemas.openxmlformats.org/officeDocument/2006/relationships/hyperlink" Target="mailto:Cristina.Vargas@sabic-ip.com" TargetMode="External"/><Relationship Id="rId150" Type="http://schemas.openxmlformats.org/officeDocument/2006/relationships/hyperlink" Target="mailto:mark.dawson@clariant.com" TargetMode="External"/><Relationship Id="rId192" Type="http://schemas.openxmlformats.org/officeDocument/2006/relationships/hyperlink" Target="mailto:ealvarado@siempaques.com" TargetMode="External"/><Relationship Id="rId206" Type="http://schemas.openxmlformats.org/officeDocument/2006/relationships/hyperlink" Target="mailto:valleypackaging2@gmail.com" TargetMode="External"/><Relationship Id="rId248" Type="http://schemas.openxmlformats.org/officeDocument/2006/relationships/hyperlink" Target="mailto:king.lee@liphing.com" TargetMode="External"/><Relationship Id="rId12" Type="http://schemas.openxmlformats.org/officeDocument/2006/relationships/hyperlink" Target="mailto:Cristina.Vargas@sabic-ip.com" TargetMode="External"/><Relationship Id="rId33" Type="http://schemas.openxmlformats.org/officeDocument/2006/relationships/hyperlink" Target="mailto:Cristina.Vargas@sabic-ip.com" TargetMode="External"/><Relationship Id="rId108" Type="http://schemas.openxmlformats.org/officeDocument/2006/relationships/hyperlink" Target="mailto:joseluis.chavez@polyone.com" TargetMode="External"/><Relationship Id="rId129" Type="http://schemas.openxmlformats.org/officeDocument/2006/relationships/hyperlink" Target="mailto:spice0605@sntmotiv.com" TargetMode="External"/><Relationship Id="rId280" Type="http://schemas.openxmlformats.org/officeDocument/2006/relationships/hyperlink" Target="mailto:aron.qps1@gmail.com" TargetMode="External"/><Relationship Id="rId54" Type="http://schemas.openxmlformats.org/officeDocument/2006/relationships/hyperlink" Target="mailto:Cristina.Vargas@sabic-ip.com" TargetMode="External"/><Relationship Id="rId75" Type="http://schemas.openxmlformats.org/officeDocument/2006/relationships/hyperlink" Target="mailto:joseluis.chavez@polyone.com" TargetMode="External"/><Relationship Id="rId96" Type="http://schemas.openxmlformats.org/officeDocument/2006/relationships/hyperlink" Target="mailto:beth.pede@pereles.com" TargetMode="External"/><Relationship Id="rId140" Type="http://schemas.openxmlformats.org/officeDocument/2006/relationships/hyperlink" Target="mailto:lvillareal@promaplast.com" TargetMode="External"/><Relationship Id="rId161" Type="http://schemas.openxmlformats.org/officeDocument/2006/relationships/hyperlink" Target="mailto:karla.lombardi@polyone.com" TargetMode="External"/><Relationship Id="rId182" Type="http://schemas.openxmlformats.org/officeDocument/2006/relationships/hyperlink" Target="mailto:JGaribo@termax.com" TargetMode="External"/><Relationship Id="rId217" Type="http://schemas.openxmlformats.org/officeDocument/2006/relationships/hyperlink" Target="mailto:marcot@cdigitec.com" TargetMode="External"/><Relationship Id="rId6" Type="http://schemas.openxmlformats.org/officeDocument/2006/relationships/hyperlink" Target="mailto:Cristina.Vargas@sabic-ip.com" TargetMode="External"/><Relationship Id="rId238" Type="http://schemas.openxmlformats.org/officeDocument/2006/relationships/hyperlink" Target="mailto:Julio.Delangel@lyondellbasell.com" TargetMode="External"/><Relationship Id="rId259" Type="http://schemas.openxmlformats.org/officeDocument/2006/relationships/hyperlink" Target="mailto:angeles.ramirez@basf.com" TargetMode="External"/><Relationship Id="rId23" Type="http://schemas.openxmlformats.org/officeDocument/2006/relationships/hyperlink" Target="mailto:Cristina.Vargas@sabic-ip.com" TargetMode="External"/><Relationship Id="rId119" Type="http://schemas.openxmlformats.org/officeDocument/2006/relationships/hyperlink" Target="mailto:Cristina.Vargas@sabic-ip.com" TargetMode="External"/><Relationship Id="rId270" Type="http://schemas.openxmlformats.org/officeDocument/2006/relationships/hyperlink" Target="mailto:martin.godinez@valeo.com" TargetMode="External"/><Relationship Id="rId291" Type="http://schemas.openxmlformats.org/officeDocument/2006/relationships/hyperlink" Target="mailto:graciela.gonzalez@cewmail.com" TargetMode="External"/><Relationship Id="rId44" Type="http://schemas.openxmlformats.org/officeDocument/2006/relationships/hyperlink" Target="mailto:citlalli.salgado@alpsautomotive.com" TargetMode="External"/><Relationship Id="rId65" Type="http://schemas.openxmlformats.org/officeDocument/2006/relationships/hyperlink" Target="mailto:joseluis.chavez@polyone.com" TargetMode="External"/><Relationship Id="rId86" Type="http://schemas.openxmlformats.org/officeDocument/2006/relationships/hyperlink" Target="mailto:Cristina.Vargas@sabic-ip.com" TargetMode="External"/><Relationship Id="rId130" Type="http://schemas.openxmlformats.org/officeDocument/2006/relationships/hyperlink" Target="mailto:spice0605@sntmotiv.com" TargetMode="External"/><Relationship Id="rId151" Type="http://schemas.openxmlformats.org/officeDocument/2006/relationships/hyperlink" Target="mailto:mark.dawson@clariant.com" TargetMode="External"/><Relationship Id="rId172" Type="http://schemas.openxmlformats.org/officeDocument/2006/relationships/hyperlink" Target="mailto:PCarrillo@redspot.com" TargetMode="External"/><Relationship Id="rId193" Type="http://schemas.openxmlformats.org/officeDocument/2006/relationships/hyperlink" Target="mailto:ealvarado@siempaques.com" TargetMode="External"/><Relationship Id="rId207" Type="http://schemas.openxmlformats.org/officeDocument/2006/relationships/hyperlink" Target="mailto:valleypackaging2@gmail.com" TargetMode="External"/><Relationship Id="rId228" Type="http://schemas.openxmlformats.org/officeDocument/2006/relationships/hyperlink" Target="mailto:ealvarado@siempaques.com" TargetMode="External"/><Relationship Id="rId249" Type="http://schemas.openxmlformats.org/officeDocument/2006/relationships/hyperlink" Target="mailto:dave@bdsfastener.com" TargetMode="External"/><Relationship Id="rId13" Type="http://schemas.openxmlformats.org/officeDocument/2006/relationships/hyperlink" Target="mailto:Cristina.Vargas@sabic-ip.com" TargetMode="External"/><Relationship Id="rId109" Type="http://schemas.openxmlformats.org/officeDocument/2006/relationships/hyperlink" Target="mailto:joseluis.chavez@polyone.com" TargetMode="External"/><Relationship Id="rId260" Type="http://schemas.openxmlformats.org/officeDocument/2006/relationships/hyperlink" Target="mailto:angeles.ramirez@basf.com" TargetMode="External"/><Relationship Id="rId281" Type="http://schemas.openxmlformats.org/officeDocument/2006/relationships/hyperlink" Target="mailto:juanmanuel.moreno@clariant.com" TargetMode="External"/><Relationship Id="rId34" Type="http://schemas.openxmlformats.org/officeDocument/2006/relationships/hyperlink" Target="mailto:joseluis.chavez@polyone.com" TargetMode="External"/><Relationship Id="rId55" Type="http://schemas.openxmlformats.org/officeDocument/2006/relationships/hyperlink" Target="mailto:Cristina.Vargas@sabic-ip.com" TargetMode="External"/><Relationship Id="rId76" Type="http://schemas.openxmlformats.org/officeDocument/2006/relationships/hyperlink" Target="mailto:joseluis.chavez@polyone.com" TargetMode="External"/><Relationship Id="rId97" Type="http://schemas.openxmlformats.org/officeDocument/2006/relationships/hyperlink" Target="mailto:lvillareal@promaplast.com" TargetMode="External"/><Relationship Id="rId120" Type="http://schemas.openxmlformats.org/officeDocument/2006/relationships/hyperlink" Target="mailto:Cristina.Vargas@sabic-ip.com" TargetMode="External"/><Relationship Id="rId141" Type="http://schemas.openxmlformats.org/officeDocument/2006/relationships/hyperlink" Target="mailto:mark.dawson@clariant.com" TargetMode="External"/><Relationship Id="rId7" Type="http://schemas.openxmlformats.org/officeDocument/2006/relationships/hyperlink" Target="mailto:Cristina.Vargas@sabic-ip.com" TargetMode="External"/><Relationship Id="rId162" Type="http://schemas.openxmlformats.org/officeDocument/2006/relationships/hyperlink" Target="mailto:karla.lombardi@polyone.com" TargetMode="External"/><Relationship Id="rId183" Type="http://schemas.openxmlformats.org/officeDocument/2006/relationships/hyperlink" Target="mailto:mdavid@efc-intl.com" TargetMode="External"/><Relationship Id="rId218" Type="http://schemas.openxmlformats.org/officeDocument/2006/relationships/hyperlink" Target="mailto:mavet@londonintegration.com" TargetMode="External"/><Relationship Id="rId239" Type="http://schemas.openxmlformats.org/officeDocument/2006/relationships/hyperlink" Target="mailto:yokuyama@sojitz-plastics.com" TargetMode="External"/><Relationship Id="rId250" Type="http://schemas.openxmlformats.org/officeDocument/2006/relationships/hyperlink" Target="mailto:dave@bdsfastener.com" TargetMode="External"/><Relationship Id="rId271" Type="http://schemas.openxmlformats.org/officeDocument/2006/relationships/hyperlink" Target="mailto:jack.yang3@akzonobel.com" TargetMode="External"/><Relationship Id="rId292" Type="http://schemas.openxmlformats.org/officeDocument/2006/relationships/hyperlink" Target="mailto:graciela.gonzalez@cewmail.com" TargetMode="External"/><Relationship Id="rId24" Type="http://schemas.openxmlformats.org/officeDocument/2006/relationships/hyperlink" Target="mailto:sfabrizius@prlresins.com" TargetMode="External"/><Relationship Id="rId45" Type="http://schemas.openxmlformats.org/officeDocument/2006/relationships/hyperlink" Target="mailto:JWalker@EntecResins.com" TargetMode="External"/><Relationship Id="rId66" Type="http://schemas.openxmlformats.org/officeDocument/2006/relationships/hyperlink" Target="mailto:Cristina.Vargas@sabic-ip.com" TargetMode="External"/><Relationship Id="rId87" Type="http://schemas.openxmlformats.org/officeDocument/2006/relationships/hyperlink" Target="mailto:JMGutierrez@EntecResins.com" TargetMode="External"/><Relationship Id="rId110" Type="http://schemas.openxmlformats.org/officeDocument/2006/relationships/hyperlink" Target="mailto:lvillareal@promaplast.com" TargetMode="External"/><Relationship Id="rId131" Type="http://schemas.openxmlformats.org/officeDocument/2006/relationships/hyperlink" Target="mailto:scott.knoop@radicigroup.com" TargetMode="External"/><Relationship Id="rId152" Type="http://schemas.openxmlformats.org/officeDocument/2006/relationships/hyperlink" Target="mailto:mark.dawson@clariant.com" TargetMode="External"/><Relationship Id="rId173" Type="http://schemas.openxmlformats.org/officeDocument/2006/relationships/hyperlink" Target="mailto:PCarrillo@redspot.com" TargetMode="External"/><Relationship Id="rId194" Type="http://schemas.openxmlformats.org/officeDocument/2006/relationships/hyperlink" Target="mailto:ealvarado@siempaques.com" TargetMode="External"/><Relationship Id="rId208" Type="http://schemas.openxmlformats.org/officeDocument/2006/relationships/hyperlink" Target="mailto:kwhitfield@thomco.biz" TargetMode="External"/><Relationship Id="rId229" Type="http://schemas.openxmlformats.org/officeDocument/2006/relationships/hyperlink" Target="mailto:ealvarado@siempaques.com" TargetMode="External"/><Relationship Id="rId240" Type="http://schemas.openxmlformats.org/officeDocument/2006/relationships/hyperlink" Target="mailto:martin.godinez@valeo.com" TargetMode="External"/><Relationship Id="rId261" Type="http://schemas.openxmlformats.org/officeDocument/2006/relationships/hyperlink" Target="mailto:angeles.ramirez@basf.com" TargetMode="External"/><Relationship Id="rId14" Type="http://schemas.openxmlformats.org/officeDocument/2006/relationships/hyperlink" Target="mailto:Cristina.Vargas@sabic-ip.com" TargetMode="External"/><Relationship Id="rId35" Type="http://schemas.openxmlformats.org/officeDocument/2006/relationships/hyperlink" Target="mailto:joseluis.chavez@polyone.com" TargetMode="External"/><Relationship Id="rId56" Type="http://schemas.openxmlformats.org/officeDocument/2006/relationships/hyperlink" Target="mailto:Cristina.Vargas@sabic-ip.com" TargetMode="External"/><Relationship Id="rId77" Type="http://schemas.openxmlformats.org/officeDocument/2006/relationships/hyperlink" Target="mailto:joseluis.chavez@polyone.com" TargetMode="External"/><Relationship Id="rId100" Type="http://schemas.openxmlformats.org/officeDocument/2006/relationships/hyperlink" Target="mailto:joseluis.chavez@polyone.com" TargetMode="External"/><Relationship Id="rId282" Type="http://schemas.openxmlformats.org/officeDocument/2006/relationships/hyperlink" Target="mailto:kianwee@boiln.com" TargetMode="External"/><Relationship Id="rId8" Type="http://schemas.openxmlformats.org/officeDocument/2006/relationships/hyperlink" Target="mailto:Cristina.Vargas@sabic-ip.com" TargetMode="External"/><Relationship Id="rId98" Type="http://schemas.openxmlformats.org/officeDocument/2006/relationships/hyperlink" Target="mailto:lvillareal@promaplast.com" TargetMode="External"/><Relationship Id="rId121" Type="http://schemas.openxmlformats.org/officeDocument/2006/relationships/hyperlink" Target="mailto:Cristina.Vargas@sabic-ip.com" TargetMode="External"/><Relationship Id="rId142" Type="http://schemas.openxmlformats.org/officeDocument/2006/relationships/hyperlink" Target="mailto:lvillareal@promaplast.com" TargetMode="External"/><Relationship Id="rId163" Type="http://schemas.openxmlformats.org/officeDocument/2006/relationships/hyperlink" Target="mailto:emorin@plasticscolor.com" TargetMode="External"/><Relationship Id="rId184" Type="http://schemas.openxmlformats.org/officeDocument/2006/relationships/hyperlink" Target="mailto:slavecchia@ewcomponents.com" TargetMode="External"/><Relationship Id="rId219" Type="http://schemas.openxmlformats.org/officeDocument/2006/relationships/hyperlink" Target="mailto:CSR@phoenixplastics.com" TargetMode="External"/><Relationship Id="rId230" Type="http://schemas.openxmlformats.org/officeDocument/2006/relationships/hyperlink" Target="mailto:ealvarado@siempaques.com" TargetMode="External"/><Relationship Id="rId251" Type="http://schemas.openxmlformats.org/officeDocument/2006/relationships/hyperlink" Target="mailto:martin.godinez@valeo.com" TargetMode="External"/><Relationship Id="rId25" Type="http://schemas.openxmlformats.org/officeDocument/2006/relationships/hyperlink" Target="mailto:joseluis.chavez@polyone.com" TargetMode="External"/><Relationship Id="rId46" Type="http://schemas.openxmlformats.org/officeDocument/2006/relationships/hyperlink" Target="mailto:Cristina.Vargas@sabic-ip.com" TargetMode="External"/><Relationship Id="rId67" Type="http://schemas.openxmlformats.org/officeDocument/2006/relationships/hyperlink" Target="mailto:Cristina.Vargas@sabic-ip.com" TargetMode="External"/><Relationship Id="rId272" Type="http://schemas.openxmlformats.org/officeDocument/2006/relationships/hyperlink" Target="mailto:jack.yang3@akzonobel.com" TargetMode="External"/><Relationship Id="rId293" Type="http://schemas.openxmlformats.org/officeDocument/2006/relationships/hyperlink" Target="mailto:Katalin.Carreto@Avient.com" TargetMode="External"/><Relationship Id="rId88" Type="http://schemas.openxmlformats.org/officeDocument/2006/relationships/hyperlink" Target="mailto:Julio.Delangel@lyondellbasell.com" TargetMode="External"/><Relationship Id="rId111" Type="http://schemas.openxmlformats.org/officeDocument/2006/relationships/hyperlink" Target="mailto:joseluis.chavez@polyone.com" TargetMode="External"/><Relationship Id="rId132" Type="http://schemas.openxmlformats.org/officeDocument/2006/relationships/hyperlink" Target="mailto:scott.knoop@radicigroup.com" TargetMode="External"/><Relationship Id="rId153" Type="http://schemas.openxmlformats.org/officeDocument/2006/relationships/hyperlink" Target="mailto:mark.dawson@clariant.com" TargetMode="External"/><Relationship Id="rId174" Type="http://schemas.openxmlformats.org/officeDocument/2006/relationships/hyperlink" Target="mailto:smontes@sisamo.com.mx" TargetMode="External"/><Relationship Id="rId195" Type="http://schemas.openxmlformats.org/officeDocument/2006/relationships/hyperlink" Target="mailto:ealvarado@siempaques.com" TargetMode="External"/><Relationship Id="rId209" Type="http://schemas.openxmlformats.org/officeDocument/2006/relationships/hyperlink" Target="mailto:rodrigo.navarrete@tekna-impact.com" TargetMode="External"/><Relationship Id="rId220" Type="http://schemas.openxmlformats.org/officeDocument/2006/relationships/hyperlink" Target="mailto:CSR@phoenixplastics.com" TargetMode="External"/><Relationship Id="rId241" Type="http://schemas.openxmlformats.org/officeDocument/2006/relationships/hyperlink" Target="mailto:martin.godinez@valeo.com" TargetMode="External"/><Relationship Id="rId15" Type="http://schemas.openxmlformats.org/officeDocument/2006/relationships/hyperlink" Target="mailto:Cristina.Vargas@sabic-ip.com" TargetMode="External"/><Relationship Id="rId36" Type="http://schemas.openxmlformats.org/officeDocument/2006/relationships/hyperlink" Target="mailto:Cristina.Vargas@sabic-ip.com" TargetMode="External"/><Relationship Id="rId57" Type="http://schemas.openxmlformats.org/officeDocument/2006/relationships/hyperlink" Target="mailto:Cristina.Vargas@sabic-ip.com" TargetMode="External"/><Relationship Id="rId262" Type="http://schemas.openxmlformats.org/officeDocument/2006/relationships/hyperlink" Target="mailto:angeles.ramirez@basf.com" TargetMode="External"/><Relationship Id="rId283" Type="http://schemas.openxmlformats.org/officeDocument/2006/relationships/hyperlink" Target="mailto:ealvarado@siempaques.com" TargetMode="External"/><Relationship Id="rId78" Type="http://schemas.openxmlformats.org/officeDocument/2006/relationships/hyperlink" Target="mailto:Cristina.Vargas@sabic-ip.com" TargetMode="External"/><Relationship Id="rId99" Type="http://schemas.openxmlformats.org/officeDocument/2006/relationships/hyperlink" Target="mailto:joseluis.chavez@polyone.com" TargetMode="External"/><Relationship Id="rId101" Type="http://schemas.openxmlformats.org/officeDocument/2006/relationships/hyperlink" Target="mailto:lvillareal@promaplast.com" TargetMode="External"/><Relationship Id="rId122" Type="http://schemas.openxmlformats.org/officeDocument/2006/relationships/hyperlink" Target="mailto:Cristina.Vargas@sabic-ip.com" TargetMode="External"/><Relationship Id="rId143" Type="http://schemas.openxmlformats.org/officeDocument/2006/relationships/hyperlink" Target="mailto:mark.dawson@clariant.com" TargetMode="External"/><Relationship Id="rId164" Type="http://schemas.openxmlformats.org/officeDocument/2006/relationships/hyperlink" Target="mailto:mark.dawson@clariant.com" TargetMode="External"/><Relationship Id="rId185" Type="http://schemas.openxmlformats.org/officeDocument/2006/relationships/hyperlink" Target="mailto:slavecchia@ewcomponents.com" TargetMode="External"/><Relationship Id="rId9" Type="http://schemas.openxmlformats.org/officeDocument/2006/relationships/hyperlink" Target="mailto:Cristina.Vargas@sabic-ip.com" TargetMode="External"/><Relationship Id="rId210" Type="http://schemas.openxmlformats.org/officeDocument/2006/relationships/hyperlink" Target="mailto:edgar.garcia@veritivcorp.com" TargetMode="External"/><Relationship Id="rId26" Type="http://schemas.openxmlformats.org/officeDocument/2006/relationships/hyperlink" Target="mailto:lvillareal@promaplast.com" TargetMode="External"/><Relationship Id="rId231" Type="http://schemas.openxmlformats.org/officeDocument/2006/relationships/hyperlink" Target="mailto:ealvarado@siempaques.com" TargetMode="External"/><Relationship Id="rId252" Type="http://schemas.openxmlformats.org/officeDocument/2006/relationships/hyperlink" Target="mailto:Garrett@BallyhooPlastics.com" TargetMode="External"/><Relationship Id="rId273" Type="http://schemas.openxmlformats.org/officeDocument/2006/relationships/hyperlink" Target="mailto:jack.yang3@akzonobel.com" TargetMode="External"/><Relationship Id="rId294" Type="http://schemas.openxmlformats.org/officeDocument/2006/relationships/hyperlink" Target="mailto:kianwee@boiln.com" TargetMode="External"/><Relationship Id="rId47" Type="http://schemas.openxmlformats.org/officeDocument/2006/relationships/hyperlink" Target="mailto:lvillareal@promaplast.com" TargetMode="External"/><Relationship Id="rId68" Type="http://schemas.openxmlformats.org/officeDocument/2006/relationships/hyperlink" Target="mailto:Cristina.Vargas@sabic-ip.com" TargetMode="External"/><Relationship Id="rId89" Type="http://schemas.openxmlformats.org/officeDocument/2006/relationships/hyperlink" Target="mailto:Cristina.Vargas@sabic-ip.com" TargetMode="External"/><Relationship Id="rId112" Type="http://schemas.openxmlformats.org/officeDocument/2006/relationships/hyperlink" Target="mailto:aweber@amcopolymers.com" TargetMode="External"/><Relationship Id="rId133" Type="http://schemas.openxmlformats.org/officeDocument/2006/relationships/hyperlink" Target="mailto:jorge.pinto@radicigroup.com" TargetMode="External"/><Relationship Id="rId154" Type="http://schemas.openxmlformats.org/officeDocument/2006/relationships/hyperlink" Target="mailto:mark.dawson@clariant.com" TargetMode="External"/><Relationship Id="rId175" Type="http://schemas.openxmlformats.org/officeDocument/2006/relationships/hyperlink" Target="mailto:smontes@sisamo.com.mx" TargetMode="External"/><Relationship Id="rId196" Type="http://schemas.openxmlformats.org/officeDocument/2006/relationships/hyperlink" Target="mailto:ealvarado@siempaques.com" TargetMode="External"/><Relationship Id="rId200" Type="http://schemas.openxmlformats.org/officeDocument/2006/relationships/hyperlink" Target="mailto:comercializadorapronto@prodigy.net.mx" TargetMode="External"/><Relationship Id="rId16" Type="http://schemas.openxmlformats.org/officeDocument/2006/relationships/hyperlink" Target="mailto:Cristina.Vargas@sabic-ip.com" TargetMode="External"/><Relationship Id="rId221" Type="http://schemas.openxmlformats.org/officeDocument/2006/relationships/hyperlink" Target="mailto:jason.liu@boiln.com" TargetMode="External"/><Relationship Id="rId242" Type="http://schemas.openxmlformats.org/officeDocument/2006/relationships/hyperlink" Target="mailto:ealvarado@siempaques.com" TargetMode="External"/><Relationship Id="rId263" Type="http://schemas.openxmlformats.org/officeDocument/2006/relationships/hyperlink" Target="mailto:angeles.ramirez@basf.com" TargetMode="External"/><Relationship Id="rId284" Type="http://schemas.openxmlformats.org/officeDocument/2006/relationships/hyperlink" Target="mailto:norma.resendez@tricoproducts.com" TargetMode="External"/><Relationship Id="rId37" Type="http://schemas.openxmlformats.org/officeDocument/2006/relationships/hyperlink" Target="mailto:Cristina.Vargas@sabic-ip.com" TargetMode="External"/><Relationship Id="rId58" Type="http://schemas.openxmlformats.org/officeDocument/2006/relationships/hyperlink" Target="mailto:Cristina.Vargas@sabic-ip.com" TargetMode="External"/><Relationship Id="rId79" Type="http://schemas.openxmlformats.org/officeDocument/2006/relationships/hyperlink" Target="mailto:Cristina.Vargas@sabic-ip.com" TargetMode="External"/><Relationship Id="rId102" Type="http://schemas.openxmlformats.org/officeDocument/2006/relationships/hyperlink" Target="mailto:dsmith@citadelplastics.com" TargetMode="External"/><Relationship Id="rId123" Type="http://schemas.openxmlformats.org/officeDocument/2006/relationships/hyperlink" Target="mailto:karla.lombardi@polyone.com" TargetMode="External"/><Relationship Id="rId144" Type="http://schemas.openxmlformats.org/officeDocument/2006/relationships/hyperlink" Target="mailto:NRodriguez@uniformcolor.com" TargetMode="External"/><Relationship Id="rId90" Type="http://schemas.openxmlformats.org/officeDocument/2006/relationships/hyperlink" Target="mailto:jalanis@indelpro.com" TargetMode="External"/><Relationship Id="rId165" Type="http://schemas.openxmlformats.org/officeDocument/2006/relationships/hyperlink" Target="mailto:JRodriguez@uniformcolor.com" TargetMode="External"/><Relationship Id="rId186" Type="http://schemas.openxmlformats.org/officeDocument/2006/relationships/hyperlink" Target="mailto:ealvarado@siempaques.com" TargetMode="External"/><Relationship Id="rId211" Type="http://schemas.openxmlformats.org/officeDocument/2006/relationships/hyperlink" Target="mailto:edgar.garcia@veritivcorp.com" TargetMode="External"/><Relationship Id="rId232" Type="http://schemas.openxmlformats.org/officeDocument/2006/relationships/hyperlink" Target="mailto:mtorres@chaseplastics.com" TargetMode="External"/><Relationship Id="rId253" Type="http://schemas.openxmlformats.org/officeDocument/2006/relationships/hyperlink" Target="mailto:angeles.ramirez@basf.com" TargetMode="External"/><Relationship Id="rId274" Type="http://schemas.openxmlformats.org/officeDocument/2006/relationships/hyperlink" Target="mailto:aron.qps1@gmail.com" TargetMode="External"/><Relationship Id="rId295" Type="http://schemas.openxmlformats.org/officeDocument/2006/relationships/printerSettings" Target="../printerSettings/printerSettings2.bin"/><Relationship Id="rId27" Type="http://schemas.openxmlformats.org/officeDocument/2006/relationships/hyperlink" Target="mailto:Katalin.Carreto@Avient.com" TargetMode="External"/><Relationship Id="rId48" Type="http://schemas.openxmlformats.org/officeDocument/2006/relationships/hyperlink" Target="mailto:gunnplastics@aol.com" TargetMode="External"/><Relationship Id="rId69" Type="http://schemas.openxmlformats.org/officeDocument/2006/relationships/hyperlink" Target="mailto:asaldana@channelpa.com" TargetMode="External"/><Relationship Id="rId113" Type="http://schemas.openxmlformats.org/officeDocument/2006/relationships/hyperlink" Target="mailto:joseluis.chavez@polyone.com" TargetMode="External"/><Relationship Id="rId134" Type="http://schemas.openxmlformats.org/officeDocument/2006/relationships/hyperlink" Target="mailto:echochen@sunstar.cn" TargetMode="External"/><Relationship Id="rId80" Type="http://schemas.openxmlformats.org/officeDocument/2006/relationships/hyperlink" Target="mailto:Cristina.Vargas@sabic-ip.com" TargetMode="External"/><Relationship Id="rId155" Type="http://schemas.openxmlformats.org/officeDocument/2006/relationships/hyperlink" Target="mailto:NRodriguez@uniformcolor.com" TargetMode="External"/><Relationship Id="rId176" Type="http://schemas.openxmlformats.org/officeDocument/2006/relationships/hyperlink" Target="mailto:joel.viveros@akzonobel.com" TargetMode="External"/><Relationship Id="rId197" Type="http://schemas.openxmlformats.org/officeDocument/2006/relationships/hyperlink" Target="mailto:edgar.garcia@veritivcorp.com" TargetMode="External"/><Relationship Id="rId201" Type="http://schemas.openxmlformats.org/officeDocument/2006/relationships/hyperlink" Target="mailto:GenaroDeLeon@Eaton.com" TargetMode="External"/><Relationship Id="rId222" Type="http://schemas.openxmlformats.org/officeDocument/2006/relationships/hyperlink" Target="mailto:joseluis.chavez@polyone.com" TargetMode="External"/><Relationship Id="rId243" Type="http://schemas.openxmlformats.org/officeDocument/2006/relationships/hyperlink" Target="mailto:ealvarado@siempaques.com" TargetMode="External"/><Relationship Id="rId264" Type="http://schemas.openxmlformats.org/officeDocument/2006/relationships/hyperlink" Target="mailto:angeles.ramirez@basf.com" TargetMode="External"/><Relationship Id="rId285" Type="http://schemas.openxmlformats.org/officeDocument/2006/relationships/hyperlink" Target="mailto:graciela.gonzalez@cewmail.com" TargetMode="External"/><Relationship Id="rId17" Type="http://schemas.openxmlformats.org/officeDocument/2006/relationships/hyperlink" Target="mailto:Cristina.Vargas@sabic-ip.com" TargetMode="External"/><Relationship Id="rId38" Type="http://schemas.openxmlformats.org/officeDocument/2006/relationships/hyperlink" Target="mailto:Cristina.Vargas@sabic-ip.com" TargetMode="External"/><Relationship Id="rId59" Type="http://schemas.openxmlformats.org/officeDocument/2006/relationships/hyperlink" Target="mailto:Cristina.Vargas@sabic-ip.com" TargetMode="External"/><Relationship Id="rId103" Type="http://schemas.openxmlformats.org/officeDocument/2006/relationships/hyperlink" Target="mailto:JMGutierrez@EntecResins.com" TargetMode="External"/><Relationship Id="rId124" Type="http://schemas.openxmlformats.org/officeDocument/2006/relationships/hyperlink" Target="mailto:karla.lombardi@polyone.com" TargetMode="External"/><Relationship Id="rId70" Type="http://schemas.openxmlformats.org/officeDocument/2006/relationships/hyperlink" Target="mailto:jsolis@texcoresin.com" TargetMode="External"/><Relationship Id="rId91" Type="http://schemas.openxmlformats.org/officeDocument/2006/relationships/hyperlink" Target="mailto:JMGutierrez@EntecResins.com" TargetMode="External"/><Relationship Id="rId145" Type="http://schemas.openxmlformats.org/officeDocument/2006/relationships/hyperlink" Target="mailto:mark.dawson@clariant.com" TargetMode="External"/><Relationship Id="rId166" Type="http://schemas.openxmlformats.org/officeDocument/2006/relationships/hyperlink" Target="mailto:norma.resendez@tricoproducts.com" TargetMode="External"/><Relationship Id="rId187" Type="http://schemas.openxmlformats.org/officeDocument/2006/relationships/hyperlink" Target="mailto:edgar.garcia@veritivcorp.com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hyperlink" Target="mailto:ealvarado@siempaques.com" TargetMode="External"/><Relationship Id="rId233" Type="http://schemas.openxmlformats.org/officeDocument/2006/relationships/hyperlink" Target="mailto:juanmanuel.moreno@clariant.com" TargetMode="External"/><Relationship Id="rId254" Type="http://schemas.openxmlformats.org/officeDocument/2006/relationships/hyperlink" Target="mailto:angeles.ramirez@basf.com" TargetMode="External"/><Relationship Id="rId28" Type="http://schemas.openxmlformats.org/officeDocument/2006/relationships/hyperlink" Target="mailto:Cristina.Vargas@sabic-ip.com" TargetMode="External"/><Relationship Id="rId49" Type="http://schemas.openxmlformats.org/officeDocument/2006/relationships/hyperlink" Target="mailto:Cristina.Vargas@sabic-ip.com" TargetMode="External"/><Relationship Id="rId114" Type="http://schemas.openxmlformats.org/officeDocument/2006/relationships/hyperlink" Target="mailto:joseluis.chavez@polyone.com" TargetMode="External"/><Relationship Id="rId275" Type="http://schemas.openxmlformats.org/officeDocument/2006/relationships/hyperlink" Target="mailto:Cristina.Vargas@sabic-ip.com" TargetMode="External"/><Relationship Id="rId60" Type="http://schemas.openxmlformats.org/officeDocument/2006/relationships/hyperlink" Target="mailto:joseluis.chavez@polyone.com" TargetMode="External"/><Relationship Id="rId81" Type="http://schemas.openxmlformats.org/officeDocument/2006/relationships/hyperlink" Target="mailto:Cristina.Vargas@sabic-ip.com" TargetMode="External"/><Relationship Id="rId135" Type="http://schemas.openxmlformats.org/officeDocument/2006/relationships/hyperlink" Target="mailto:joel.viveros@akzonobel.com" TargetMode="External"/><Relationship Id="rId156" Type="http://schemas.openxmlformats.org/officeDocument/2006/relationships/hyperlink" Target="mailto:NRodriguez@uniformcolor.com" TargetMode="External"/><Relationship Id="rId177" Type="http://schemas.openxmlformats.org/officeDocument/2006/relationships/hyperlink" Target="mailto:smontes@sisamo.com.mx" TargetMode="External"/><Relationship Id="rId198" Type="http://schemas.openxmlformats.org/officeDocument/2006/relationships/hyperlink" Target="about:blank" TargetMode="External"/><Relationship Id="rId202" Type="http://schemas.openxmlformats.org/officeDocument/2006/relationships/hyperlink" Target="mailto:edgar.garcia@veritivcorp.com" TargetMode="External"/><Relationship Id="rId223" Type="http://schemas.openxmlformats.org/officeDocument/2006/relationships/hyperlink" Target="mailto:martin.godinez@valeo.com" TargetMode="External"/><Relationship Id="rId244" Type="http://schemas.openxmlformats.org/officeDocument/2006/relationships/hyperlink" Target="mailto:jdelacruz@uniformcolor.com" TargetMode="External"/><Relationship Id="rId18" Type="http://schemas.openxmlformats.org/officeDocument/2006/relationships/hyperlink" Target="mailto:Cristina.Vargas@sabic-ip.com" TargetMode="External"/><Relationship Id="rId39" Type="http://schemas.openxmlformats.org/officeDocument/2006/relationships/hyperlink" Target="mailto:Cristina.Vargas@sabic-ip.com" TargetMode="External"/><Relationship Id="rId265" Type="http://schemas.openxmlformats.org/officeDocument/2006/relationships/hyperlink" Target="mailto:angeles.ramirez@basf.com" TargetMode="External"/><Relationship Id="rId286" Type="http://schemas.openxmlformats.org/officeDocument/2006/relationships/hyperlink" Target="mailto:graciela.gonzalez@cewmail.com" TargetMode="External"/><Relationship Id="rId50" Type="http://schemas.openxmlformats.org/officeDocument/2006/relationships/hyperlink" Target="mailto:Cristina.Vargas@sabic-ip.com" TargetMode="External"/><Relationship Id="rId104" Type="http://schemas.openxmlformats.org/officeDocument/2006/relationships/hyperlink" Target="mailto:jwright@entecresins.com" TargetMode="External"/><Relationship Id="rId125" Type="http://schemas.openxmlformats.org/officeDocument/2006/relationships/hyperlink" Target="mailto:karla.lombardi@polyone.com" TargetMode="External"/><Relationship Id="rId146" Type="http://schemas.openxmlformats.org/officeDocument/2006/relationships/hyperlink" Target="mailto:mark.dawson@clariant.com" TargetMode="External"/><Relationship Id="rId167" Type="http://schemas.openxmlformats.org/officeDocument/2006/relationships/hyperlink" Target="mailto:juanmanuel.moreno@clariant.com" TargetMode="External"/><Relationship Id="rId188" Type="http://schemas.openxmlformats.org/officeDocument/2006/relationships/hyperlink" Target="mailto:brian@GWFOILS.COM" TargetMode="External"/><Relationship Id="rId71" Type="http://schemas.openxmlformats.org/officeDocument/2006/relationships/hyperlink" Target="mailto:lvillareal@promaplast.com" TargetMode="External"/><Relationship Id="rId92" Type="http://schemas.openxmlformats.org/officeDocument/2006/relationships/hyperlink" Target="mailto:joseluis.chavez@polyone.com" TargetMode="External"/><Relationship Id="rId213" Type="http://schemas.openxmlformats.org/officeDocument/2006/relationships/hyperlink" Target="mailto:edgar.garcia@veritivcorp.com" TargetMode="External"/><Relationship Id="rId234" Type="http://schemas.openxmlformats.org/officeDocument/2006/relationships/hyperlink" Target="mailto:Julio.Delangel@lyondellbasell.com" TargetMode="External"/><Relationship Id="rId2" Type="http://schemas.openxmlformats.org/officeDocument/2006/relationships/hyperlink" Target="mailto:Cristina.Vargas@sabic-ip.com" TargetMode="External"/><Relationship Id="rId29" Type="http://schemas.openxmlformats.org/officeDocument/2006/relationships/hyperlink" Target="mailto:Cristina.Vargas@sabic-ip.com" TargetMode="External"/><Relationship Id="rId255" Type="http://schemas.openxmlformats.org/officeDocument/2006/relationships/hyperlink" Target="mailto:angeles.ramirez@basf.com" TargetMode="External"/><Relationship Id="rId276" Type="http://schemas.openxmlformats.org/officeDocument/2006/relationships/hyperlink" Target="mailto:norma.resendez@tricoproducts.com" TargetMode="External"/><Relationship Id="rId40" Type="http://schemas.openxmlformats.org/officeDocument/2006/relationships/hyperlink" Target="mailto:jason.liu@boiln.com" TargetMode="External"/><Relationship Id="rId115" Type="http://schemas.openxmlformats.org/officeDocument/2006/relationships/hyperlink" Target="mailto:martin.godinez@valeo.com" TargetMode="External"/><Relationship Id="rId136" Type="http://schemas.openxmlformats.org/officeDocument/2006/relationships/hyperlink" Target="mailto:PCarrillo@redspot.com" TargetMode="External"/><Relationship Id="rId157" Type="http://schemas.openxmlformats.org/officeDocument/2006/relationships/hyperlink" Target="mailto:NRodriguez@uniformcolor.com" TargetMode="External"/><Relationship Id="rId178" Type="http://schemas.openxmlformats.org/officeDocument/2006/relationships/hyperlink" Target="mailto:smontes@sisamo.com.mx" TargetMode="External"/><Relationship Id="rId61" Type="http://schemas.openxmlformats.org/officeDocument/2006/relationships/hyperlink" Target="mailto:Cristina.Vargas@sabic-ip.com" TargetMode="External"/><Relationship Id="rId82" Type="http://schemas.openxmlformats.org/officeDocument/2006/relationships/hyperlink" Target="mailto:asaldana@channelpa.com" TargetMode="External"/><Relationship Id="rId199" Type="http://schemas.openxmlformats.org/officeDocument/2006/relationships/hyperlink" Target="mailto:eliudlpb1@gmail.com" TargetMode="External"/><Relationship Id="rId203" Type="http://schemas.openxmlformats.org/officeDocument/2006/relationships/hyperlink" Target="mailto:edgar.garcia@veritivcorp.com" TargetMode="External"/><Relationship Id="rId19" Type="http://schemas.openxmlformats.org/officeDocument/2006/relationships/hyperlink" Target="mailto:Cristina.Vargas@sabic-ip.com" TargetMode="External"/><Relationship Id="rId224" Type="http://schemas.openxmlformats.org/officeDocument/2006/relationships/hyperlink" Target="mailto:ealvarado@siempaques.com" TargetMode="External"/><Relationship Id="rId245" Type="http://schemas.openxmlformats.org/officeDocument/2006/relationships/hyperlink" Target="mailto:jdelacruz@uniformcolor.com" TargetMode="External"/><Relationship Id="rId266" Type="http://schemas.openxmlformats.org/officeDocument/2006/relationships/hyperlink" Target="mailto:angeles.ramirez@basf.com" TargetMode="External"/><Relationship Id="rId287" Type="http://schemas.openxmlformats.org/officeDocument/2006/relationships/hyperlink" Target="mailto:graciela.gonzalez@cewmail.com" TargetMode="External"/><Relationship Id="rId30" Type="http://schemas.openxmlformats.org/officeDocument/2006/relationships/hyperlink" Target="mailto:Cristina.Vargas@sabic-ip.com" TargetMode="External"/><Relationship Id="rId105" Type="http://schemas.openxmlformats.org/officeDocument/2006/relationships/hyperlink" Target="mailto:joseluis.chavez@polyone.com" TargetMode="External"/><Relationship Id="rId126" Type="http://schemas.openxmlformats.org/officeDocument/2006/relationships/hyperlink" Target="mailto:Cristina.Vargas@sabic-ip.com" TargetMode="External"/><Relationship Id="rId147" Type="http://schemas.openxmlformats.org/officeDocument/2006/relationships/hyperlink" Target="mailto:mark.dawson@clariant.com" TargetMode="External"/><Relationship Id="rId168" Type="http://schemas.openxmlformats.org/officeDocument/2006/relationships/hyperlink" Target="mailto:juanmanuel.moreno@clariant.com" TargetMode="External"/><Relationship Id="rId51" Type="http://schemas.openxmlformats.org/officeDocument/2006/relationships/hyperlink" Target="mailto:Cristina.Vargas@sabic-ip.com" TargetMode="External"/><Relationship Id="rId72" Type="http://schemas.openxmlformats.org/officeDocument/2006/relationships/hyperlink" Target="mailto:lvillareal@promaplast.com" TargetMode="External"/><Relationship Id="rId93" Type="http://schemas.openxmlformats.org/officeDocument/2006/relationships/hyperlink" Target="mailto:norma.resendez@tricoproducts.com" TargetMode="External"/><Relationship Id="rId189" Type="http://schemas.openxmlformats.org/officeDocument/2006/relationships/hyperlink" Target="mailto:mavet@londonintegration.com" TargetMode="External"/><Relationship Id="rId3" Type="http://schemas.openxmlformats.org/officeDocument/2006/relationships/hyperlink" Target="mailto:Cristina.Vargas@sabic-ip.com" TargetMode="External"/><Relationship Id="rId214" Type="http://schemas.openxmlformats.org/officeDocument/2006/relationships/hyperlink" Target="mailto:edgar.garcia@veritivcorp.com" TargetMode="External"/><Relationship Id="rId235" Type="http://schemas.openxmlformats.org/officeDocument/2006/relationships/hyperlink" Target="mailto:Julio.Delangel@lyondellbasell.com" TargetMode="External"/><Relationship Id="rId256" Type="http://schemas.openxmlformats.org/officeDocument/2006/relationships/hyperlink" Target="mailto:angeles.ramirez@basf.com" TargetMode="External"/><Relationship Id="rId277" Type="http://schemas.openxmlformats.org/officeDocument/2006/relationships/hyperlink" Target="mailto:norma.resendez@tricoproducts.com" TargetMode="External"/><Relationship Id="rId116" Type="http://schemas.openxmlformats.org/officeDocument/2006/relationships/hyperlink" Target="mailto:Cristina.Vargas@sabic-ip.com" TargetMode="External"/><Relationship Id="rId137" Type="http://schemas.openxmlformats.org/officeDocument/2006/relationships/hyperlink" Target="mailto:PCarrillo@redspot.com" TargetMode="External"/><Relationship Id="rId158" Type="http://schemas.openxmlformats.org/officeDocument/2006/relationships/hyperlink" Target="mailto:karla.lombardi@polyone.com" TargetMode="External"/><Relationship Id="rId20" Type="http://schemas.openxmlformats.org/officeDocument/2006/relationships/hyperlink" Target="mailto:Cristina.Vargas@sabic-ip.com" TargetMode="External"/><Relationship Id="rId41" Type="http://schemas.openxmlformats.org/officeDocument/2006/relationships/hyperlink" Target="mailto:david.lopez@lottechem.com" TargetMode="External"/><Relationship Id="rId62" Type="http://schemas.openxmlformats.org/officeDocument/2006/relationships/hyperlink" Target="mailto:Cristina.Vargas@sabic-ip.com" TargetMode="External"/><Relationship Id="rId83" Type="http://schemas.openxmlformats.org/officeDocument/2006/relationships/hyperlink" Target="mailto:mtorres@chaseplastics.com" TargetMode="External"/><Relationship Id="rId179" Type="http://schemas.openxmlformats.org/officeDocument/2006/relationships/hyperlink" Target="mailto:sales01@kingyao.com" TargetMode="External"/><Relationship Id="rId190" Type="http://schemas.openxmlformats.org/officeDocument/2006/relationships/hyperlink" Target="mailto:edgar.garcia@veritivcorp.com" TargetMode="External"/><Relationship Id="rId204" Type="http://schemas.openxmlformats.org/officeDocument/2006/relationships/hyperlink" Target="mailto:aron.qps1@gmail.com" TargetMode="External"/><Relationship Id="rId225" Type="http://schemas.openxmlformats.org/officeDocument/2006/relationships/hyperlink" Target="mailto:ealvarado@siempaques.com" TargetMode="External"/><Relationship Id="rId246" Type="http://schemas.openxmlformats.org/officeDocument/2006/relationships/hyperlink" Target="mailto:jdelacruz@uniformcolor.com" TargetMode="External"/><Relationship Id="rId267" Type="http://schemas.openxmlformats.org/officeDocument/2006/relationships/hyperlink" Target="mailto:angeles.ramirez@basf.com" TargetMode="External"/><Relationship Id="rId288" Type="http://schemas.openxmlformats.org/officeDocument/2006/relationships/hyperlink" Target="mailto:graciela.gonzalez@cewmail.com" TargetMode="External"/><Relationship Id="rId106" Type="http://schemas.openxmlformats.org/officeDocument/2006/relationships/hyperlink" Target="mailto:asaldana@channelpa.com" TargetMode="External"/><Relationship Id="rId127" Type="http://schemas.openxmlformats.org/officeDocument/2006/relationships/hyperlink" Target="mailto:Cristina.Vargas@sabic-ip.com" TargetMode="External"/><Relationship Id="rId10" Type="http://schemas.openxmlformats.org/officeDocument/2006/relationships/hyperlink" Target="mailto:Cristina.Vargas@sabic-ip.com" TargetMode="External"/><Relationship Id="rId31" Type="http://schemas.openxmlformats.org/officeDocument/2006/relationships/hyperlink" Target="mailto:Cristina.Vargas@sabic-ip.com" TargetMode="External"/><Relationship Id="rId52" Type="http://schemas.openxmlformats.org/officeDocument/2006/relationships/hyperlink" Target="mailto:Cristina.Vargas@sabic-ip.com" TargetMode="External"/><Relationship Id="rId73" Type="http://schemas.openxmlformats.org/officeDocument/2006/relationships/hyperlink" Target="mailto:asaldana@channelpa.com" TargetMode="External"/><Relationship Id="rId94" Type="http://schemas.openxmlformats.org/officeDocument/2006/relationships/hyperlink" Target="mailto:joseluis.chavez@polyone.com" TargetMode="External"/><Relationship Id="rId148" Type="http://schemas.openxmlformats.org/officeDocument/2006/relationships/hyperlink" Target="mailto:mark.dawson@clariant.com" TargetMode="External"/><Relationship Id="rId169" Type="http://schemas.openxmlformats.org/officeDocument/2006/relationships/hyperlink" Target="mailto:juanmanuel.moreno@clariant.com" TargetMode="External"/><Relationship Id="rId4" Type="http://schemas.openxmlformats.org/officeDocument/2006/relationships/hyperlink" Target="mailto:joseluis.chavez@polyone.com" TargetMode="External"/><Relationship Id="rId180" Type="http://schemas.openxmlformats.org/officeDocument/2006/relationships/hyperlink" Target="mailto:sales01@kingyao.com" TargetMode="External"/><Relationship Id="rId215" Type="http://schemas.openxmlformats.org/officeDocument/2006/relationships/hyperlink" Target="mailto:edgar.garcia@veritivcorp.com" TargetMode="External"/><Relationship Id="rId236" Type="http://schemas.openxmlformats.org/officeDocument/2006/relationships/hyperlink" Target="mailto:Julio.Delangel@lyondellbasell.com" TargetMode="External"/><Relationship Id="rId257" Type="http://schemas.openxmlformats.org/officeDocument/2006/relationships/hyperlink" Target="mailto:angeles.ramirez@basf.com" TargetMode="External"/><Relationship Id="rId278" Type="http://schemas.openxmlformats.org/officeDocument/2006/relationships/hyperlink" Target="mailto:e.ordaz@gergonne.mx" TargetMode="External"/><Relationship Id="rId42" Type="http://schemas.openxmlformats.org/officeDocument/2006/relationships/hyperlink" Target="mailto:joseluis.chavez@polyone.com" TargetMode="External"/><Relationship Id="rId84" Type="http://schemas.openxmlformats.org/officeDocument/2006/relationships/hyperlink" Target="mailto:norma.resendez@tricoproducts.com" TargetMode="External"/><Relationship Id="rId138" Type="http://schemas.openxmlformats.org/officeDocument/2006/relationships/hyperlink" Target="mailto:smontes@sisamo.com.mx" TargetMode="External"/><Relationship Id="rId191" Type="http://schemas.openxmlformats.org/officeDocument/2006/relationships/hyperlink" Target="mailto:ealvarado@siempaques.com" TargetMode="External"/><Relationship Id="rId205" Type="http://schemas.openxmlformats.org/officeDocument/2006/relationships/hyperlink" Target="mailto:aron.qps1@gmail.com" TargetMode="External"/><Relationship Id="rId247" Type="http://schemas.openxmlformats.org/officeDocument/2006/relationships/hyperlink" Target="mailto:jdelacruz@uniformcolor.com" TargetMode="External"/><Relationship Id="rId107" Type="http://schemas.openxmlformats.org/officeDocument/2006/relationships/hyperlink" Target="mailto:beth.pede@pereles.com" TargetMode="External"/><Relationship Id="rId289" Type="http://schemas.openxmlformats.org/officeDocument/2006/relationships/hyperlink" Target="mailto:graciela.gonzalez@cewmail.com" TargetMode="External"/><Relationship Id="rId11" Type="http://schemas.openxmlformats.org/officeDocument/2006/relationships/hyperlink" Target="mailto:Cristina.Vargas@sabic-ip.com" TargetMode="External"/><Relationship Id="rId53" Type="http://schemas.openxmlformats.org/officeDocument/2006/relationships/hyperlink" Target="mailto:Cristina.Vargas@sabic-ip.com" TargetMode="External"/><Relationship Id="rId149" Type="http://schemas.openxmlformats.org/officeDocument/2006/relationships/hyperlink" Target="mailto:mark.dawson@clariant.com" TargetMode="External"/><Relationship Id="rId95" Type="http://schemas.openxmlformats.org/officeDocument/2006/relationships/hyperlink" Target="mailto:Cristina.Vargas@sabic-ip.com" TargetMode="External"/><Relationship Id="rId160" Type="http://schemas.openxmlformats.org/officeDocument/2006/relationships/hyperlink" Target="mailto:karla.lombardi@polyone.com" TargetMode="External"/><Relationship Id="rId216" Type="http://schemas.openxmlformats.org/officeDocument/2006/relationships/hyperlink" Target="mailto:edgar.garcia@veritivcorp.com" TargetMode="External"/><Relationship Id="rId258" Type="http://schemas.openxmlformats.org/officeDocument/2006/relationships/hyperlink" Target="mailto:angeles.ramirez@basf.com" TargetMode="External"/><Relationship Id="rId22" Type="http://schemas.openxmlformats.org/officeDocument/2006/relationships/hyperlink" Target="mailto:Cristina.Vargas@sabic-ip.com" TargetMode="External"/><Relationship Id="rId64" Type="http://schemas.openxmlformats.org/officeDocument/2006/relationships/hyperlink" Target="mailto:joseluis.chavez@polyone.com" TargetMode="External"/><Relationship Id="rId118" Type="http://schemas.openxmlformats.org/officeDocument/2006/relationships/hyperlink" Target="mailto:Cristina.Vargas@sabic-ip.com" TargetMode="External"/><Relationship Id="rId171" Type="http://schemas.openxmlformats.org/officeDocument/2006/relationships/hyperlink" Target="mailto:joel.viveros@akzonobel.com" TargetMode="External"/><Relationship Id="rId227" Type="http://schemas.openxmlformats.org/officeDocument/2006/relationships/hyperlink" Target="mailto:ealvarado@siempaques.com" TargetMode="External"/><Relationship Id="rId269" Type="http://schemas.openxmlformats.org/officeDocument/2006/relationships/hyperlink" Target="mailto:martin.godinez@vale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tel:+86-752-6188777Cell:19982083314" TargetMode="External"/><Relationship Id="rId18" Type="http://schemas.openxmlformats.org/officeDocument/2006/relationships/hyperlink" Target="mailto:Omar.Padilla@imcdmx.com" TargetMode="External"/><Relationship Id="rId26" Type="http://schemas.openxmlformats.org/officeDocument/2006/relationships/hyperlink" Target="mailto:eaviles@chaseplastics.com" TargetMode="External"/><Relationship Id="rId39" Type="http://schemas.openxmlformats.org/officeDocument/2006/relationships/hyperlink" Target="mailto:Marco.Torres@ChannelPA.com" TargetMode="External"/><Relationship Id="rId21" Type="http://schemas.openxmlformats.org/officeDocument/2006/relationships/hyperlink" Target="mailto:slazarus@nationalwebbing.com" TargetMode="External"/><Relationship Id="rId34" Type="http://schemas.openxmlformats.org/officeDocument/2006/relationships/hyperlink" Target="mailto:angel@sunluenmetal.com" TargetMode="External"/><Relationship Id="rId42" Type="http://schemas.openxmlformats.org/officeDocument/2006/relationships/hyperlink" Target="mailto:HectorAbraham.Perez@veritiv.com" TargetMode="External"/><Relationship Id="rId47" Type="http://schemas.openxmlformats.org/officeDocument/2006/relationships/hyperlink" Target="mailto:cristina.arriaga@tecmaq.com.mx" TargetMode="External"/><Relationship Id="rId50" Type="http://schemas.openxmlformats.org/officeDocument/2006/relationships/vmlDrawing" Target="../drawings/vmlDrawing2.vml"/><Relationship Id="rId7" Type="http://schemas.openxmlformats.org/officeDocument/2006/relationships/hyperlink" Target="mailto:sheila.rodriguez@Sabic.com" TargetMode="External"/><Relationship Id="rId2" Type="http://schemas.openxmlformats.org/officeDocument/2006/relationships/hyperlink" Target="mailto:Garrett@BallyhooPlastics.com" TargetMode="External"/><Relationship Id="rId16" Type="http://schemas.openxmlformats.org/officeDocument/2006/relationships/hyperlink" Target="mailto:Ventas2@publipak.com" TargetMode="External"/><Relationship Id="rId29" Type="http://schemas.openxmlformats.org/officeDocument/2006/relationships/hyperlink" Target="mailto:vmora@gp-materials.com" TargetMode="External"/><Relationship Id="rId11" Type="http://schemas.openxmlformats.org/officeDocument/2006/relationships/hyperlink" Target="mailto:dlopez@methode.com" TargetMode="External"/><Relationship Id="rId24" Type="http://schemas.openxmlformats.org/officeDocument/2006/relationships/hyperlink" Target="mailto:Orders@badgercolor.com" TargetMode="External"/><Relationship Id="rId32" Type="http://schemas.openxmlformats.org/officeDocument/2006/relationships/hyperlink" Target="mailto:Elizabeth.Bazaldua@preh.mx" TargetMode="External"/><Relationship Id="rId37" Type="http://schemas.openxmlformats.org/officeDocument/2006/relationships/hyperlink" Target="mailto:chriss@volkertprecision.com" TargetMode="External"/><Relationship Id="rId40" Type="http://schemas.openxmlformats.org/officeDocument/2006/relationships/hyperlink" Target="mailto:matthew@florida-polymers.com" TargetMode="External"/><Relationship Id="rId45" Type="http://schemas.openxmlformats.org/officeDocument/2006/relationships/hyperlink" Target="mailto:johcur@smallpartsinc.com" TargetMode="External"/><Relationship Id="rId5" Type="http://schemas.openxmlformats.org/officeDocument/2006/relationships/hyperlink" Target="mailto:dpatel@marianchicago.com" TargetMode="External"/><Relationship Id="rId15" Type="http://schemas.openxmlformats.org/officeDocument/2006/relationships/hyperlink" Target="mailto:lsauceda@cclind.com" TargetMode="External"/><Relationship Id="rId23" Type="http://schemas.openxmlformats.org/officeDocument/2006/relationships/hyperlink" Target="mailto:Marco.Rebollo@Audia.com" TargetMode="External"/><Relationship Id="rId28" Type="http://schemas.openxmlformats.org/officeDocument/2006/relationships/hyperlink" Target="mailto:jmarsala@englube.com" TargetMode="External"/><Relationship Id="rId36" Type="http://schemas.openxmlformats.org/officeDocument/2006/relationships/hyperlink" Target="mailto:Karen.Espinosa@audia.com" TargetMode="External"/><Relationship Id="rId49" Type="http://schemas.openxmlformats.org/officeDocument/2006/relationships/printerSettings" Target="../printerSettings/printerSettings5.bin"/><Relationship Id="rId10" Type="http://schemas.openxmlformats.org/officeDocument/2006/relationships/hyperlink" Target="mailto:CBentrim@pemnet.com" TargetMode="External"/><Relationship Id="rId19" Type="http://schemas.openxmlformats.org/officeDocument/2006/relationships/hyperlink" Target="mailto:Omar.Padilla@imcdmx.com" TargetMode="External"/><Relationship Id="rId31" Type="http://schemas.openxmlformats.org/officeDocument/2006/relationships/hyperlink" Target="mailto:ashley.groves@ineos.com" TargetMode="External"/><Relationship Id="rId44" Type="http://schemas.openxmlformats.org/officeDocument/2006/relationships/hyperlink" Target="mailto:yair.rojas@covestro.com" TargetMode="External"/><Relationship Id="rId4" Type="http://schemas.openxmlformats.org/officeDocument/2006/relationships/hyperlink" Target="mailto:mumanzor@kingfa.com" TargetMode="External"/><Relationship Id="rId9" Type="http://schemas.openxmlformats.org/officeDocument/2006/relationships/hyperlink" Target="mailto:anna_carter@nexeoplastics.com" TargetMode="External"/><Relationship Id="rId14" Type="http://schemas.openxmlformats.org/officeDocument/2006/relationships/hyperlink" Target="mailto:zsh@szjdyj.com" TargetMode="External"/><Relationship Id="rId22" Type="http://schemas.openxmlformats.org/officeDocument/2006/relationships/hyperlink" Target="mailto:anshkhan0615@gmail.com" TargetMode="External"/><Relationship Id="rId27" Type="http://schemas.openxmlformats.org/officeDocument/2006/relationships/hyperlink" Target="mailto:matsa-queretaro@prodigy.net.mx" TargetMode="External"/><Relationship Id="rId30" Type="http://schemas.openxmlformats.org/officeDocument/2006/relationships/hyperlink" Target="mailto:Ltucker@htfinc.com" TargetMode="External"/><Relationship Id="rId35" Type="http://schemas.openxmlformats.org/officeDocument/2006/relationships/hyperlink" Target="mailto:dresh@itwids.com" TargetMode="External"/><Relationship Id="rId43" Type="http://schemas.openxmlformats.org/officeDocument/2006/relationships/hyperlink" Target="mailto:ken.chen@lyondellbasell.com" TargetMode="External"/><Relationship Id="rId48" Type="http://schemas.openxmlformats.org/officeDocument/2006/relationships/hyperlink" Target="mailto:emma.flores@spirol.com" TargetMode="External"/><Relationship Id="rId8" Type="http://schemas.openxmlformats.org/officeDocument/2006/relationships/hyperlink" Target="mailto:bwhelan@teknorapex.com" TargetMode="External"/><Relationship Id="rId51" Type="http://schemas.openxmlformats.org/officeDocument/2006/relationships/comments" Target="../comments2.xml"/><Relationship Id="rId3" Type="http://schemas.openxmlformats.org/officeDocument/2006/relationships/hyperlink" Target="mailto:LFertig@Entecpolymers.com" TargetMode="External"/><Relationship Id="rId12" Type="http://schemas.openxmlformats.org/officeDocument/2006/relationships/hyperlink" Target="mailto:cecilia.guo@liphing.com" TargetMode="External"/><Relationship Id="rId17" Type="http://schemas.openxmlformats.org/officeDocument/2006/relationships/hyperlink" Target="mailto:Sofia.Lopez@formerra.com" TargetMode="External"/><Relationship Id="rId25" Type="http://schemas.openxmlformats.org/officeDocument/2006/relationships/hyperlink" Target="mailto:laura.garcia@camellia.us.com" TargetMode="External"/><Relationship Id="rId33" Type="http://schemas.openxmlformats.org/officeDocument/2006/relationships/hyperlink" Target="mailto:santiago@qpsgroup.net" TargetMode="External"/><Relationship Id="rId38" Type="http://schemas.openxmlformats.org/officeDocument/2006/relationships/hyperlink" Target="mailto:sergio.contreras@nidec-motor.com" TargetMode="External"/><Relationship Id="rId46" Type="http://schemas.openxmlformats.org/officeDocument/2006/relationships/hyperlink" Target="mailto:pturney@ap-corp.com" TargetMode="External"/><Relationship Id="rId20" Type="http://schemas.openxmlformats.org/officeDocument/2006/relationships/hyperlink" Target="mailto:yovannac@SerendipityElectronics.com" TargetMode="External"/><Relationship Id="rId41" Type="http://schemas.openxmlformats.org/officeDocument/2006/relationships/hyperlink" Target="mailto:info@prover.it" TargetMode="External"/><Relationship Id="rId1" Type="http://schemas.openxmlformats.org/officeDocument/2006/relationships/hyperlink" Target="mailto:JuanManuel.Moreno@avient.com" TargetMode="External"/><Relationship Id="rId6" Type="http://schemas.openxmlformats.org/officeDocument/2006/relationships/hyperlink" Target="mailto:klavertue@prlresi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118"/>
  <sheetViews>
    <sheetView topLeftCell="C1" zoomScale="115" zoomScaleNormal="115" workbookViewId="0">
      <pane ySplit="2" topLeftCell="A68" activePane="bottomLeft" state="frozen"/>
      <selection pane="bottomLeft" activeCell="G129" sqref="G129"/>
    </sheetView>
  </sheetViews>
  <sheetFormatPr defaultColWidth="14.44140625" defaultRowHeight="13.2" x14ac:dyDescent="0.25"/>
  <cols>
    <col min="1" max="1" width="10.88671875" customWidth="1"/>
    <col min="2" max="2" width="11" customWidth="1"/>
    <col min="3" max="3" width="20.5546875" customWidth="1"/>
    <col min="4" max="4" width="13.5546875" customWidth="1"/>
    <col min="5" max="5" width="37.88671875" customWidth="1"/>
    <col min="6" max="6" width="4.88671875" customWidth="1"/>
    <col min="7" max="7" width="13.88671875" customWidth="1"/>
    <col min="8" max="8" width="9.44140625" customWidth="1"/>
    <col min="9" max="9" width="11.88671875" customWidth="1"/>
    <col min="10" max="11" width="13.33203125" customWidth="1"/>
    <col min="12" max="12" width="7.88671875" style="4" customWidth="1"/>
    <col min="13" max="13" width="9.6640625" bestFit="1" customWidth="1"/>
    <col min="14" max="14" width="7.109375" customWidth="1"/>
    <col min="15" max="15" width="7.88671875" customWidth="1"/>
    <col min="16" max="16" width="7.6640625" customWidth="1"/>
    <col min="17" max="17" width="9.5546875" customWidth="1"/>
    <col min="18" max="18" width="6.5546875" customWidth="1"/>
    <col min="19" max="20" width="8.109375" customWidth="1"/>
    <col min="21" max="21" width="13.88671875" customWidth="1"/>
    <col min="22" max="22" width="11.44140625" customWidth="1"/>
    <col min="23" max="24" width="13.88671875" customWidth="1"/>
    <col min="25" max="25" width="13" customWidth="1"/>
    <col min="26" max="26" width="11.6640625" customWidth="1"/>
    <col min="27" max="27" width="13.88671875" customWidth="1"/>
    <col min="28" max="28" width="9.109375" customWidth="1"/>
    <col min="29" max="29" width="12.5546875" customWidth="1"/>
    <col min="30" max="30" width="9.109375" customWidth="1"/>
    <col min="31" max="31" width="47.88671875" customWidth="1"/>
    <col min="32" max="32" width="25.6640625" customWidth="1"/>
    <col min="33" max="33" width="46.44140625" customWidth="1"/>
    <col min="34" max="34" width="11.109375" customWidth="1"/>
    <col min="35" max="110" width="9.109375" customWidth="1"/>
  </cols>
  <sheetData>
    <row r="1" spans="1:110" x14ac:dyDescent="0.25">
      <c r="A1" s="1" t="s">
        <v>1610</v>
      </c>
      <c r="B1" s="1"/>
      <c r="C1" s="2" t="s">
        <v>0</v>
      </c>
      <c r="D1" s="3">
        <v>44585</v>
      </c>
      <c r="E1" s="68"/>
      <c r="F1" s="1"/>
      <c r="G1" s="4"/>
      <c r="H1" s="1"/>
      <c r="I1" s="5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  <c r="AA1" s="1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</row>
    <row r="2" spans="1:110" ht="15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62" t="s">
        <v>7</v>
      </c>
      <c r="H2" s="8" t="s">
        <v>8</v>
      </c>
      <c r="I2" s="8" t="s">
        <v>9</v>
      </c>
      <c r="J2" s="61" t="s">
        <v>1540</v>
      </c>
      <c r="K2" s="54" t="s">
        <v>1541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69" t="s">
        <v>17</v>
      </c>
      <c r="U2" s="74" t="s">
        <v>18</v>
      </c>
      <c r="V2" s="74" t="s">
        <v>19</v>
      </c>
      <c r="W2" s="75" t="s">
        <v>20</v>
      </c>
      <c r="X2" s="75" t="s">
        <v>19</v>
      </c>
      <c r="Y2" s="74" t="s">
        <v>21</v>
      </c>
      <c r="Z2" s="74" t="s">
        <v>22</v>
      </c>
      <c r="AA2" s="74" t="s">
        <v>23</v>
      </c>
      <c r="AB2" s="74" t="s">
        <v>24</v>
      </c>
      <c r="AC2" s="74" t="s">
        <v>25</v>
      </c>
      <c r="AD2" s="74" t="s">
        <v>26</v>
      </c>
      <c r="AE2" s="74" t="s">
        <v>27</v>
      </c>
      <c r="AF2" s="74" t="s">
        <v>28</v>
      </c>
      <c r="AG2" s="74" t="s">
        <v>29</v>
      </c>
      <c r="AH2" s="74" t="s">
        <v>1601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</row>
    <row r="3" spans="1:110" ht="15" customHeight="1" x14ac:dyDescent="0.25">
      <c r="A3" s="10">
        <v>1101042</v>
      </c>
      <c r="B3" s="11" t="s">
        <v>30</v>
      </c>
      <c r="C3" s="12" t="s">
        <v>31</v>
      </c>
      <c r="D3" s="11" t="s">
        <v>32</v>
      </c>
      <c r="E3" s="10" t="s">
        <v>33</v>
      </c>
      <c r="F3" s="10" t="s">
        <v>34</v>
      </c>
      <c r="G3" s="55">
        <f>IF(U3="Obsolete",U3,U3+X3)</f>
        <v>2.4039999999999999</v>
      </c>
      <c r="H3" s="10">
        <v>6</v>
      </c>
      <c r="I3" s="13">
        <v>3902</v>
      </c>
      <c r="J3" s="56">
        <v>44348</v>
      </c>
      <c r="K3" s="57">
        <v>2.25</v>
      </c>
      <c r="M3" s="14"/>
      <c r="N3" s="14"/>
      <c r="O3" s="14">
        <v>2.4039999999999999</v>
      </c>
      <c r="P3" s="14"/>
      <c r="Q3" s="14">
        <v>2.2909999999999999</v>
      </c>
      <c r="R3" s="14"/>
      <c r="S3" s="14"/>
      <c r="T3" s="70"/>
      <c r="U3" s="76">
        <v>2.4039999999999999</v>
      </c>
      <c r="V3" s="76">
        <v>0</v>
      </c>
      <c r="W3" s="76">
        <v>2.4039999999999999</v>
      </c>
      <c r="X3" s="76">
        <v>0</v>
      </c>
      <c r="Y3" s="77" t="s">
        <v>35</v>
      </c>
      <c r="Z3" s="78">
        <v>1300</v>
      </c>
      <c r="AA3" s="79" t="s">
        <v>36</v>
      </c>
      <c r="AB3" s="79" t="s">
        <v>35</v>
      </c>
      <c r="AC3" s="79" t="s">
        <v>37</v>
      </c>
      <c r="AD3" s="79" t="s">
        <v>38</v>
      </c>
      <c r="AE3" s="79" t="s">
        <v>39</v>
      </c>
      <c r="AF3" s="79" t="s">
        <v>40</v>
      </c>
      <c r="AG3" s="80" t="s">
        <v>41</v>
      </c>
      <c r="AH3" s="79"/>
      <c r="AI3" s="53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</row>
    <row r="4" spans="1:110" ht="15" customHeight="1" x14ac:dyDescent="0.25">
      <c r="A4" s="10">
        <v>1101043</v>
      </c>
      <c r="B4" s="11" t="s">
        <v>30</v>
      </c>
      <c r="C4" s="12" t="s">
        <v>42</v>
      </c>
      <c r="D4" s="11" t="s">
        <v>43</v>
      </c>
      <c r="E4" s="10" t="s">
        <v>33</v>
      </c>
      <c r="F4" s="10" t="s">
        <v>34</v>
      </c>
      <c r="G4" s="55">
        <f t="shared" ref="G4:G14" si="0">IF(U4="Obsolete",U4,U4+V4)</f>
        <v>2.2669999999999999</v>
      </c>
      <c r="H4" s="10">
        <v>6</v>
      </c>
      <c r="I4" s="13">
        <v>4400</v>
      </c>
      <c r="J4" s="56">
        <v>44348</v>
      </c>
      <c r="K4" s="57">
        <v>2.04</v>
      </c>
      <c r="M4" s="14"/>
      <c r="N4" s="14"/>
      <c r="O4" s="14"/>
      <c r="P4" s="14"/>
      <c r="Q4" s="14"/>
      <c r="R4" s="14"/>
      <c r="S4" s="14"/>
      <c r="T4" s="70">
        <v>2.2669999999999999</v>
      </c>
      <c r="U4" s="76">
        <v>2.2669999999999999</v>
      </c>
      <c r="V4" s="76">
        <v>0</v>
      </c>
      <c r="W4" s="76">
        <v>2.2669999999999999</v>
      </c>
      <c r="X4" s="76">
        <v>0</v>
      </c>
      <c r="Y4" s="77" t="s">
        <v>37</v>
      </c>
      <c r="Z4" s="78">
        <v>1500</v>
      </c>
      <c r="AA4" s="79" t="s">
        <v>44</v>
      </c>
      <c r="AB4" s="79" t="s">
        <v>35</v>
      </c>
      <c r="AC4" s="79" t="s">
        <v>37</v>
      </c>
      <c r="AD4" s="79" t="s">
        <v>38</v>
      </c>
      <c r="AE4" s="79" t="s">
        <v>39</v>
      </c>
      <c r="AF4" s="79" t="s">
        <v>40</v>
      </c>
      <c r="AG4" s="80" t="s">
        <v>41</v>
      </c>
      <c r="AH4" s="79"/>
      <c r="AI4" s="53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</row>
    <row r="5" spans="1:110" ht="15" customHeight="1" x14ac:dyDescent="0.25">
      <c r="A5" s="125">
        <v>1101044</v>
      </c>
      <c r="B5" s="11" t="s">
        <v>30</v>
      </c>
      <c r="C5" s="16" t="s">
        <v>45</v>
      </c>
      <c r="D5" s="11" t="s">
        <v>46</v>
      </c>
      <c r="E5" s="10" t="s">
        <v>47</v>
      </c>
      <c r="F5" s="10" t="s">
        <v>34</v>
      </c>
      <c r="G5" s="55">
        <f t="shared" si="0"/>
        <v>2.2799999999999998</v>
      </c>
      <c r="H5" s="10">
        <v>10</v>
      </c>
      <c r="I5" s="13">
        <v>6400</v>
      </c>
      <c r="J5" s="56">
        <v>44616</v>
      </c>
      <c r="K5" s="57">
        <v>2.0299999999999998</v>
      </c>
      <c r="M5" s="14"/>
      <c r="N5" s="14"/>
      <c r="O5" s="14">
        <v>2.62</v>
      </c>
      <c r="P5" s="14"/>
      <c r="Q5" s="14"/>
      <c r="R5" s="14"/>
      <c r="S5" s="14">
        <v>2.2799999999999998</v>
      </c>
      <c r="T5" s="70"/>
      <c r="U5" s="14">
        <v>2.2799999999999998</v>
      </c>
      <c r="V5" s="76">
        <v>0</v>
      </c>
      <c r="W5" s="14">
        <v>2.2799999999999998</v>
      </c>
      <c r="X5" s="76">
        <v>0</v>
      </c>
      <c r="Y5" s="77" t="s">
        <v>35</v>
      </c>
      <c r="Z5" s="78">
        <v>1600</v>
      </c>
      <c r="AA5" s="79" t="s">
        <v>36</v>
      </c>
      <c r="AB5" s="79" t="s">
        <v>35</v>
      </c>
      <c r="AC5" s="79" t="s">
        <v>37</v>
      </c>
      <c r="AD5" s="79" t="s">
        <v>38</v>
      </c>
      <c r="AE5" s="79" t="s">
        <v>1547</v>
      </c>
      <c r="AF5" s="79" t="s">
        <v>1548</v>
      </c>
      <c r="AG5" s="81" t="s">
        <v>1549</v>
      </c>
      <c r="AH5" s="79"/>
      <c r="AI5" s="53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</row>
    <row r="6" spans="1:110" ht="15" customHeight="1" x14ac:dyDescent="0.25">
      <c r="A6" s="10">
        <v>1101045</v>
      </c>
      <c r="B6" s="11" t="s">
        <v>30</v>
      </c>
      <c r="C6" s="12" t="s">
        <v>48</v>
      </c>
      <c r="D6" s="11" t="s">
        <v>49</v>
      </c>
      <c r="E6" s="10" t="s">
        <v>1619</v>
      </c>
      <c r="F6" s="10" t="s">
        <v>34</v>
      </c>
      <c r="G6" s="55">
        <f t="shared" si="0"/>
        <v>4.3179999999999996</v>
      </c>
      <c r="H6" s="10">
        <v>10</v>
      </c>
      <c r="I6" s="13">
        <v>1100</v>
      </c>
      <c r="J6" s="56">
        <v>44461</v>
      </c>
      <c r="K6" s="57">
        <v>4.2480000000000002</v>
      </c>
      <c r="M6" s="14">
        <v>4.3</v>
      </c>
      <c r="N6" s="14"/>
      <c r="O6" s="14"/>
      <c r="P6" s="14"/>
      <c r="Q6" s="14"/>
      <c r="R6" s="14"/>
      <c r="S6" s="14"/>
      <c r="T6" s="70"/>
      <c r="U6" s="76">
        <v>4.3</v>
      </c>
      <c r="V6" s="76">
        <v>1.7999999999999999E-2</v>
      </c>
      <c r="W6" s="76">
        <v>4.3</v>
      </c>
      <c r="X6" s="76">
        <v>1.7999999999999999E-2</v>
      </c>
      <c r="Y6" s="77" t="s">
        <v>37</v>
      </c>
      <c r="Z6" s="78">
        <v>55</v>
      </c>
      <c r="AA6" s="79" t="s">
        <v>36</v>
      </c>
      <c r="AB6" s="79" t="s">
        <v>35</v>
      </c>
      <c r="AC6" s="79" t="s">
        <v>37</v>
      </c>
      <c r="AD6" s="79" t="s">
        <v>38</v>
      </c>
      <c r="AE6" s="79" t="s">
        <v>50</v>
      </c>
      <c r="AF6" s="79" t="s">
        <v>51</v>
      </c>
      <c r="AG6" s="82" t="s">
        <v>52</v>
      </c>
      <c r="AH6" s="79"/>
      <c r="AI6" s="53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</row>
    <row r="7" spans="1:110" ht="15" customHeight="1" x14ac:dyDescent="0.25">
      <c r="A7" s="10">
        <v>1101046</v>
      </c>
      <c r="B7" s="11" t="s">
        <v>30</v>
      </c>
      <c r="C7" s="12" t="s">
        <v>53</v>
      </c>
      <c r="D7" s="11" t="s">
        <v>32</v>
      </c>
      <c r="E7" s="10" t="s">
        <v>33</v>
      </c>
      <c r="F7" s="10" t="s">
        <v>34</v>
      </c>
      <c r="G7" s="55" t="str">
        <f t="shared" si="0"/>
        <v>Obsolete</v>
      </c>
      <c r="H7" s="10">
        <v>6</v>
      </c>
      <c r="I7" s="13"/>
      <c r="J7" s="56"/>
      <c r="K7" s="57"/>
      <c r="M7" s="14"/>
      <c r="N7" s="14"/>
      <c r="O7" s="14"/>
      <c r="P7" s="14"/>
      <c r="Q7" s="14"/>
      <c r="R7" s="14"/>
      <c r="S7" s="14"/>
      <c r="T7" s="70"/>
      <c r="U7" s="76" t="s">
        <v>54</v>
      </c>
      <c r="V7" s="76"/>
      <c r="W7" s="76" t="s">
        <v>54</v>
      </c>
      <c r="X7" s="76"/>
      <c r="Y7" s="77"/>
      <c r="Z7" s="78"/>
      <c r="AA7" s="79" t="s">
        <v>55</v>
      </c>
      <c r="AB7" s="79" t="s">
        <v>37</v>
      </c>
      <c r="AC7" s="79" t="s">
        <v>37</v>
      </c>
      <c r="AD7" s="79"/>
      <c r="AE7" s="79" t="s">
        <v>39</v>
      </c>
      <c r="AF7" s="79" t="s">
        <v>40</v>
      </c>
      <c r="AG7" s="80" t="s">
        <v>41</v>
      </c>
      <c r="AH7" s="79"/>
      <c r="AI7" s="53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</row>
    <row r="8" spans="1:110" ht="15" customHeight="1" x14ac:dyDescent="0.25">
      <c r="A8" s="10">
        <v>1101047</v>
      </c>
      <c r="B8" s="11" t="s">
        <v>30</v>
      </c>
      <c r="C8" s="12" t="s">
        <v>56</v>
      </c>
      <c r="D8" s="11" t="s">
        <v>32</v>
      </c>
      <c r="E8" s="17" t="s">
        <v>57</v>
      </c>
      <c r="F8" s="10" t="s">
        <v>34</v>
      </c>
      <c r="G8" s="55" t="str">
        <f t="shared" si="0"/>
        <v>Obsolete</v>
      </c>
      <c r="H8" s="10"/>
      <c r="I8" s="13"/>
      <c r="J8" s="56"/>
      <c r="K8" s="57"/>
      <c r="M8" s="14"/>
      <c r="N8" s="14"/>
      <c r="O8" s="14"/>
      <c r="P8" s="14"/>
      <c r="Q8" s="14"/>
      <c r="R8" s="14"/>
      <c r="S8" s="14"/>
      <c r="T8" s="70"/>
      <c r="U8" s="76" t="s">
        <v>54</v>
      </c>
      <c r="V8" s="76"/>
      <c r="W8" s="76" t="s">
        <v>54</v>
      </c>
      <c r="X8" s="76"/>
      <c r="Y8" s="77"/>
      <c r="Z8" s="78"/>
      <c r="AA8" s="79" t="s">
        <v>58</v>
      </c>
      <c r="AB8" s="79" t="s">
        <v>37</v>
      </c>
      <c r="AC8" s="79" t="s">
        <v>35</v>
      </c>
      <c r="AD8" s="79"/>
      <c r="AE8" s="79"/>
      <c r="AF8" s="79"/>
      <c r="AG8" s="79"/>
      <c r="AH8" s="79"/>
      <c r="AI8" s="53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</row>
    <row r="9" spans="1:110" ht="15" customHeight="1" x14ac:dyDescent="0.25">
      <c r="A9" s="10">
        <v>1101048</v>
      </c>
      <c r="B9" s="11" t="s">
        <v>30</v>
      </c>
      <c r="C9" s="12" t="s">
        <v>59</v>
      </c>
      <c r="D9" s="11" t="s">
        <v>32</v>
      </c>
      <c r="E9" s="17" t="s">
        <v>57</v>
      </c>
      <c r="F9" s="10" t="s">
        <v>34</v>
      </c>
      <c r="G9" s="55" t="str">
        <f t="shared" si="0"/>
        <v>Obsolete</v>
      </c>
      <c r="H9" s="10"/>
      <c r="I9" s="13"/>
      <c r="J9" s="56"/>
      <c r="K9" s="57"/>
      <c r="M9" s="14"/>
      <c r="N9" s="14"/>
      <c r="O9" s="14"/>
      <c r="P9" s="14"/>
      <c r="Q9" s="14"/>
      <c r="R9" s="14"/>
      <c r="S9" s="14"/>
      <c r="T9" s="70"/>
      <c r="U9" s="76" t="s">
        <v>54</v>
      </c>
      <c r="V9" s="76"/>
      <c r="W9" s="76" t="s">
        <v>54</v>
      </c>
      <c r="X9" s="76"/>
      <c r="Y9" s="77"/>
      <c r="Z9" s="78"/>
      <c r="AA9" s="79" t="s">
        <v>58</v>
      </c>
      <c r="AB9" s="79" t="s">
        <v>37</v>
      </c>
      <c r="AC9" s="79" t="s">
        <v>35</v>
      </c>
      <c r="AD9" s="79"/>
      <c r="AE9" s="79"/>
      <c r="AF9" s="79"/>
      <c r="AG9" s="79"/>
      <c r="AH9" s="79"/>
      <c r="AI9" s="53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</row>
    <row r="10" spans="1:110" ht="13.8" x14ac:dyDescent="0.25">
      <c r="A10" s="10">
        <v>1101049</v>
      </c>
      <c r="B10" s="11" t="s">
        <v>30</v>
      </c>
      <c r="C10" s="12" t="s">
        <v>59</v>
      </c>
      <c r="D10" s="11" t="s">
        <v>32</v>
      </c>
      <c r="E10" s="17" t="s">
        <v>57</v>
      </c>
      <c r="F10" s="10" t="s">
        <v>34</v>
      </c>
      <c r="G10" s="55" t="str">
        <f t="shared" si="0"/>
        <v>Obsolete</v>
      </c>
      <c r="H10" s="10"/>
      <c r="I10" s="13"/>
      <c r="J10" s="56"/>
      <c r="K10" s="57"/>
      <c r="M10" s="14"/>
      <c r="N10" s="14"/>
      <c r="O10" s="14"/>
      <c r="P10" s="14"/>
      <c r="Q10" s="14"/>
      <c r="R10" s="14"/>
      <c r="S10" s="14"/>
      <c r="T10" s="70"/>
      <c r="U10" s="76" t="s">
        <v>54</v>
      </c>
      <c r="V10" s="76"/>
      <c r="W10" s="76" t="s">
        <v>54</v>
      </c>
      <c r="X10" s="76"/>
      <c r="Y10" s="77"/>
      <c r="Z10" s="78"/>
      <c r="AA10" s="79" t="s">
        <v>58</v>
      </c>
      <c r="AB10" s="79" t="s">
        <v>37</v>
      </c>
      <c r="AC10" s="79" t="s">
        <v>35</v>
      </c>
      <c r="AD10" s="79"/>
      <c r="AE10" s="79"/>
      <c r="AF10" s="79"/>
      <c r="AG10" s="79"/>
      <c r="AH10" s="79"/>
      <c r="AI10" s="53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</row>
    <row r="11" spans="1:110" ht="13.8" x14ac:dyDescent="0.25">
      <c r="A11" s="10">
        <v>1101050</v>
      </c>
      <c r="B11" s="11" t="s">
        <v>30</v>
      </c>
      <c r="C11" s="12" t="s">
        <v>60</v>
      </c>
      <c r="D11" s="11" t="s">
        <v>32</v>
      </c>
      <c r="E11" s="17" t="s">
        <v>57</v>
      </c>
      <c r="F11" s="10" t="s">
        <v>34</v>
      </c>
      <c r="G11" s="55" t="str">
        <f t="shared" si="0"/>
        <v>Obsolete</v>
      </c>
      <c r="H11" s="10"/>
      <c r="I11" s="13"/>
      <c r="J11" s="56"/>
      <c r="K11" s="57"/>
      <c r="M11" s="14"/>
      <c r="N11" s="14"/>
      <c r="O11" s="14"/>
      <c r="P11" s="14"/>
      <c r="Q11" s="14"/>
      <c r="R11" s="14"/>
      <c r="S11" s="14"/>
      <c r="T11" s="70"/>
      <c r="U11" s="76" t="s">
        <v>54</v>
      </c>
      <c r="V11" s="76"/>
      <c r="W11" s="76" t="s">
        <v>54</v>
      </c>
      <c r="X11" s="76"/>
      <c r="Y11" s="77"/>
      <c r="Z11" s="78"/>
      <c r="AA11" s="79" t="s">
        <v>58</v>
      </c>
      <c r="AB11" s="79" t="s">
        <v>37</v>
      </c>
      <c r="AC11" s="79" t="s">
        <v>35</v>
      </c>
      <c r="AD11" s="79"/>
      <c r="AE11" s="79"/>
      <c r="AF11" s="79"/>
      <c r="AG11" s="79"/>
      <c r="AH11" s="79"/>
      <c r="AI11" s="53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</row>
    <row r="12" spans="1:110" ht="13.8" x14ac:dyDescent="0.25">
      <c r="A12" s="10">
        <v>1101051</v>
      </c>
      <c r="B12" s="11" t="s">
        <v>30</v>
      </c>
      <c r="C12" s="12" t="s">
        <v>61</v>
      </c>
      <c r="D12" s="11" t="s">
        <v>43</v>
      </c>
      <c r="E12" s="10" t="s">
        <v>33</v>
      </c>
      <c r="F12" s="10" t="s">
        <v>34</v>
      </c>
      <c r="G12" s="55">
        <f t="shared" si="0"/>
        <v>3.18</v>
      </c>
      <c r="H12" s="10">
        <v>7</v>
      </c>
      <c r="I12" s="13"/>
      <c r="J12" s="56"/>
      <c r="K12" s="57"/>
      <c r="M12" s="14"/>
      <c r="N12" s="14"/>
      <c r="O12" s="14"/>
      <c r="P12" s="14"/>
      <c r="Q12" s="14"/>
      <c r="R12" s="14"/>
      <c r="S12" s="14"/>
      <c r="T12" s="70"/>
      <c r="U12" s="76">
        <v>3.18</v>
      </c>
      <c r="V12" s="76">
        <v>0</v>
      </c>
      <c r="W12" s="76">
        <v>3.18</v>
      </c>
      <c r="X12" s="76"/>
      <c r="Y12" s="77" t="s">
        <v>37</v>
      </c>
      <c r="Z12" s="78"/>
      <c r="AA12" s="79" t="s">
        <v>62</v>
      </c>
      <c r="AB12" s="79" t="s">
        <v>35</v>
      </c>
      <c r="AC12" s="79" t="s">
        <v>37</v>
      </c>
      <c r="AD12" s="79"/>
      <c r="AE12" s="79" t="s">
        <v>39</v>
      </c>
      <c r="AF12" s="79" t="s">
        <v>40</v>
      </c>
      <c r="AG12" s="80" t="s">
        <v>41</v>
      </c>
      <c r="AH12" s="79"/>
      <c r="AI12" s="53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</row>
    <row r="13" spans="1:110" ht="13.8" x14ac:dyDescent="0.25">
      <c r="A13" s="10">
        <v>1101052</v>
      </c>
      <c r="B13" s="11" t="s">
        <v>30</v>
      </c>
      <c r="C13" s="12" t="s">
        <v>63</v>
      </c>
      <c r="D13" s="11" t="s">
        <v>43</v>
      </c>
      <c r="E13" s="10" t="s">
        <v>33</v>
      </c>
      <c r="F13" s="10" t="s">
        <v>34</v>
      </c>
      <c r="G13" s="55" t="str">
        <f t="shared" si="0"/>
        <v>Obsolete</v>
      </c>
      <c r="H13" s="10">
        <v>7</v>
      </c>
      <c r="I13" s="13"/>
      <c r="J13" s="56"/>
      <c r="K13" s="57"/>
      <c r="M13" s="14"/>
      <c r="N13" s="14"/>
      <c r="O13" s="14"/>
      <c r="P13" s="14"/>
      <c r="Q13" s="14"/>
      <c r="R13" s="14"/>
      <c r="S13" s="14"/>
      <c r="T13" s="70"/>
      <c r="U13" s="76" t="s">
        <v>54</v>
      </c>
      <c r="V13" s="76"/>
      <c r="W13" s="76" t="s">
        <v>54</v>
      </c>
      <c r="X13" s="76"/>
      <c r="Y13" s="77"/>
      <c r="Z13" s="78"/>
      <c r="AA13" s="79" t="s">
        <v>64</v>
      </c>
      <c r="AB13" s="79" t="s">
        <v>37</v>
      </c>
      <c r="AC13" s="79" t="s">
        <v>37</v>
      </c>
      <c r="AD13" s="79"/>
      <c r="AE13" s="79" t="s">
        <v>39</v>
      </c>
      <c r="AF13" s="79" t="s">
        <v>40</v>
      </c>
      <c r="AG13" s="80" t="s">
        <v>41</v>
      </c>
      <c r="AH13" s="79"/>
      <c r="AI13" s="53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</row>
    <row r="14" spans="1:110" ht="13.8" x14ac:dyDescent="0.25">
      <c r="A14" s="10">
        <v>1101053</v>
      </c>
      <c r="B14" s="11" t="s">
        <v>30</v>
      </c>
      <c r="C14" s="12" t="s">
        <v>65</v>
      </c>
      <c r="D14" s="11" t="s">
        <v>66</v>
      </c>
      <c r="E14" s="10" t="s">
        <v>1619</v>
      </c>
      <c r="F14" s="10" t="s">
        <v>34</v>
      </c>
      <c r="G14" s="55" t="str">
        <f t="shared" si="0"/>
        <v>Obsolete</v>
      </c>
      <c r="H14" s="10">
        <v>7</v>
      </c>
      <c r="I14" s="13"/>
      <c r="J14" s="56"/>
      <c r="K14" s="57"/>
      <c r="M14" s="14"/>
      <c r="N14" s="14"/>
      <c r="O14" s="14">
        <v>1.41</v>
      </c>
      <c r="P14" s="14"/>
      <c r="Q14" s="14"/>
      <c r="R14" s="14">
        <v>1.31</v>
      </c>
      <c r="S14" s="14"/>
      <c r="T14" s="70">
        <v>1.21</v>
      </c>
      <c r="U14" s="76" t="s">
        <v>54</v>
      </c>
      <c r="V14" s="76"/>
      <c r="W14" s="76" t="s">
        <v>54</v>
      </c>
      <c r="X14" s="76"/>
      <c r="Y14" s="77" t="s">
        <v>35</v>
      </c>
      <c r="Z14" s="78">
        <v>1100</v>
      </c>
      <c r="AA14" s="79" t="s">
        <v>36</v>
      </c>
      <c r="AB14" s="79" t="s">
        <v>37</v>
      </c>
      <c r="AC14" s="79" t="s">
        <v>37</v>
      </c>
      <c r="AD14" s="79" t="s">
        <v>38</v>
      </c>
      <c r="AE14" s="79" t="s">
        <v>67</v>
      </c>
      <c r="AF14" s="79" t="s">
        <v>68</v>
      </c>
      <c r="AG14" s="83" t="s">
        <v>69</v>
      </c>
      <c r="AH14" s="79"/>
      <c r="AI14" s="53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</row>
    <row r="15" spans="1:110" ht="13.8" x14ac:dyDescent="0.25">
      <c r="A15" s="10">
        <v>1101054</v>
      </c>
      <c r="B15" s="11" t="s">
        <v>30</v>
      </c>
      <c r="C15" s="12" t="s">
        <v>70</v>
      </c>
      <c r="D15" s="11" t="s">
        <v>32</v>
      </c>
      <c r="E15" s="10" t="s">
        <v>71</v>
      </c>
      <c r="F15" s="10" t="s">
        <v>34</v>
      </c>
      <c r="G15" s="55">
        <v>0</v>
      </c>
      <c r="H15" s="10">
        <v>6</v>
      </c>
      <c r="I15" s="13"/>
      <c r="J15" s="56"/>
      <c r="K15" s="57"/>
      <c r="M15" s="14"/>
      <c r="N15" s="14"/>
      <c r="O15" s="14"/>
      <c r="P15" s="14"/>
      <c r="Q15" s="14"/>
      <c r="R15" s="14"/>
      <c r="S15" s="14"/>
      <c r="T15" s="70"/>
      <c r="U15" s="76">
        <v>0</v>
      </c>
      <c r="V15" s="76"/>
      <c r="W15" s="76">
        <v>0</v>
      </c>
      <c r="X15" s="76"/>
      <c r="Y15" s="77"/>
      <c r="Z15" s="78"/>
      <c r="AA15" s="79" t="s">
        <v>58</v>
      </c>
      <c r="AB15" s="79" t="s">
        <v>35</v>
      </c>
      <c r="AC15" s="79" t="s">
        <v>35</v>
      </c>
      <c r="AD15" s="79"/>
      <c r="AE15" s="79"/>
      <c r="AF15" s="79"/>
      <c r="AG15" s="83"/>
      <c r="AH15" s="79"/>
      <c r="AI15" s="53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</row>
    <row r="16" spans="1:110" ht="13.8" x14ac:dyDescent="0.25">
      <c r="A16" s="10">
        <v>1101055</v>
      </c>
      <c r="B16" s="11" t="s">
        <v>30</v>
      </c>
      <c r="C16" s="12" t="s">
        <v>72</v>
      </c>
      <c r="D16" s="11" t="s">
        <v>66</v>
      </c>
      <c r="E16" s="10" t="s">
        <v>73</v>
      </c>
      <c r="F16" s="10" t="s">
        <v>34</v>
      </c>
      <c r="G16" s="55" t="str">
        <f>IF(U16="Obsolete",U16,U16+V16)</f>
        <v>Obsolete</v>
      </c>
      <c r="H16" s="10"/>
      <c r="I16" s="13"/>
      <c r="J16" s="56"/>
      <c r="K16" s="57"/>
      <c r="M16" s="14"/>
      <c r="N16" s="14"/>
      <c r="O16" s="14"/>
      <c r="P16" s="14"/>
      <c r="Q16" s="14"/>
      <c r="R16" s="14"/>
      <c r="S16" s="14"/>
      <c r="T16" s="70"/>
      <c r="U16" s="76" t="s">
        <v>54</v>
      </c>
      <c r="V16" s="76"/>
      <c r="W16" s="76" t="s">
        <v>54</v>
      </c>
      <c r="X16" s="76"/>
      <c r="Y16" s="84"/>
      <c r="Z16" s="78"/>
      <c r="AA16" s="79" t="s">
        <v>74</v>
      </c>
      <c r="AB16" s="79" t="s">
        <v>37</v>
      </c>
      <c r="AC16" s="79" t="s">
        <v>37</v>
      </c>
      <c r="AD16" s="79"/>
      <c r="AE16" s="79"/>
      <c r="AF16" s="79"/>
      <c r="AG16" s="79"/>
      <c r="AH16" s="79"/>
      <c r="AI16" s="53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</row>
    <row r="17" spans="1:110" ht="13.8" x14ac:dyDescent="0.25">
      <c r="A17" s="10">
        <v>1101056</v>
      </c>
      <c r="B17" s="11" t="s">
        <v>30</v>
      </c>
      <c r="C17" s="12" t="s">
        <v>75</v>
      </c>
      <c r="D17" s="11" t="s">
        <v>66</v>
      </c>
      <c r="E17" s="10" t="s">
        <v>74</v>
      </c>
      <c r="F17" s="10" t="s">
        <v>34</v>
      </c>
      <c r="G17" s="55" t="str">
        <f>IF(U17="Obsolete",U17,U17+V17)</f>
        <v>Obsolete</v>
      </c>
      <c r="H17" s="10"/>
      <c r="I17" s="13"/>
      <c r="J17" s="56"/>
      <c r="K17" s="57"/>
      <c r="M17" s="14"/>
      <c r="N17" s="14"/>
      <c r="O17" s="14"/>
      <c r="P17" s="14"/>
      <c r="Q17" s="14"/>
      <c r="R17" s="14"/>
      <c r="S17" s="14"/>
      <c r="T17" s="70"/>
      <c r="U17" s="76" t="s">
        <v>54</v>
      </c>
      <c r="V17" s="76"/>
      <c r="W17" s="76" t="s">
        <v>54</v>
      </c>
      <c r="X17" s="76"/>
      <c r="Y17" s="84"/>
      <c r="Z17" s="78"/>
      <c r="AA17" s="79" t="s">
        <v>74</v>
      </c>
      <c r="AB17" s="79" t="s">
        <v>37</v>
      </c>
      <c r="AC17" s="79" t="s">
        <v>37</v>
      </c>
      <c r="AD17" s="79"/>
      <c r="AE17" s="79"/>
      <c r="AF17" s="79"/>
      <c r="AG17" s="79"/>
      <c r="AH17" s="79"/>
      <c r="AI17" s="53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</row>
    <row r="18" spans="1:110" ht="13.8" x14ac:dyDescent="0.25">
      <c r="A18" s="10">
        <v>1101057</v>
      </c>
      <c r="B18" s="11" t="s">
        <v>30</v>
      </c>
      <c r="C18" s="12" t="s">
        <v>76</v>
      </c>
      <c r="D18" s="11" t="s">
        <v>77</v>
      </c>
      <c r="E18" s="10" t="s">
        <v>78</v>
      </c>
      <c r="F18" s="10" t="s">
        <v>34</v>
      </c>
      <c r="G18" s="55" t="str">
        <f>IF(U18="Obsolete",U18,U18+V18)</f>
        <v>Obsolete</v>
      </c>
      <c r="H18" s="10"/>
      <c r="I18" s="13"/>
      <c r="J18" s="56"/>
      <c r="K18" s="57"/>
      <c r="M18" s="14"/>
      <c r="N18" s="14"/>
      <c r="O18" s="14"/>
      <c r="P18" s="14"/>
      <c r="Q18" s="14"/>
      <c r="R18" s="14"/>
      <c r="S18" s="14"/>
      <c r="T18" s="70"/>
      <c r="U18" s="76" t="s">
        <v>54</v>
      </c>
      <c r="V18" s="76"/>
      <c r="W18" s="76" t="s">
        <v>54</v>
      </c>
      <c r="X18" s="76"/>
      <c r="Y18" s="84"/>
      <c r="Z18" s="78"/>
      <c r="AA18" s="79" t="s">
        <v>74</v>
      </c>
      <c r="AB18" s="79" t="s">
        <v>37</v>
      </c>
      <c r="AC18" s="79" t="s">
        <v>37</v>
      </c>
      <c r="AD18" s="79"/>
      <c r="AE18" s="79"/>
      <c r="AF18" s="79"/>
      <c r="AG18" s="79"/>
      <c r="AH18" s="79"/>
      <c r="AI18" s="53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</row>
    <row r="19" spans="1:110" ht="13.8" x14ac:dyDescent="0.25">
      <c r="A19" s="10">
        <v>1101058</v>
      </c>
      <c r="B19" s="11" t="s">
        <v>30</v>
      </c>
      <c r="C19" s="52" t="s">
        <v>79</v>
      </c>
      <c r="D19" s="11" t="s">
        <v>80</v>
      </c>
      <c r="E19" s="10" t="s">
        <v>81</v>
      </c>
      <c r="F19" s="10" t="s">
        <v>34</v>
      </c>
      <c r="G19" s="55" t="str">
        <f>IF(U19="Obsolete",U19,U19+V19)</f>
        <v>Obsolete</v>
      </c>
      <c r="H19" s="10"/>
      <c r="I19" s="13"/>
      <c r="J19" s="56"/>
      <c r="K19" s="57"/>
      <c r="M19" s="14"/>
      <c r="N19" s="14"/>
      <c r="O19" s="14"/>
      <c r="P19" s="14"/>
      <c r="Q19" s="14"/>
      <c r="R19" s="14"/>
      <c r="S19" s="14"/>
      <c r="T19" s="70"/>
      <c r="U19" s="76" t="s">
        <v>54</v>
      </c>
      <c r="V19" s="76"/>
      <c r="W19" s="76" t="s">
        <v>54</v>
      </c>
      <c r="X19" s="76"/>
      <c r="Y19" s="84"/>
      <c r="Z19" s="78"/>
      <c r="AA19" s="79" t="s">
        <v>74</v>
      </c>
      <c r="AB19" s="79" t="s">
        <v>37</v>
      </c>
      <c r="AC19" s="79" t="s">
        <v>37</v>
      </c>
      <c r="AD19" s="79"/>
      <c r="AE19" s="79"/>
      <c r="AF19" s="79"/>
      <c r="AG19" s="79"/>
      <c r="AH19" s="79"/>
      <c r="AI19" s="53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</row>
    <row r="20" spans="1:110" ht="13.8" x14ac:dyDescent="0.25">
      <c r="A20" s="10">
        <v>1101059</v>
      </c>
      <c r="B20" s="11" t="s">
        <v>30</v>
      </c>
      <c r="C20" s="12" t="s">
        <v>82</v>
      </c>
      <c r="D20" s="11" t="s">
        <v>32</v>
      </c>
      <c r="E20" s="10" t="s">
        <v>71</v>
      </c>
      <c r="F20" s="10" t="s">
        <v>34</v>
      </c>
      <c r="G20" s="55">
        <v>0</v>
      </c>
      <c r="H20" s="10">
        <v>6</v>
      </c>
      <c r="I20" s="13"/>
      <c r="J20" s="56"/>
      <c r="K20" s="57"/>
      <c r="M20" s="14"/>
      <c r="N20" s="14"/>
      <c r="O20" s="14"/>
      <c r="P20" s="14"/>
      <c r="Q20" s="14"/>
      <c r="R20" s="14"/>
      <c r="S20" s="14"/>
      <c r="T20" s="70"/>
      <c r="U20" s="76">
        <v>0</v>
      </c>
      <c r="V20" s="76"/>
      <c r="W20" s="76">
        <v>0</v>
      </c>
      <c r="X20" s="76"/>
      <c r="Y20" s="84"/>
      <c r="Z20" s="78"/>
      <c r="AA20" s="79" t="s">
        <v>58</v>
      </c>
      <c r="AB20" s="79" t="s">
        <v>35</v>
      </c>
      <c r="AC20" s="79" t="s">
        <v>35</v>
      </c>
      <c r="AD20" s="79"/>
      <c r="AE20" s="79"/>
      <c r="AF20" s="79"/>
      <c r="AG20" s="79"/>
      <c r="AH20" s="79"/>
      <c r="AI20" s="53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</row>
    <row r="21" spans="1:110" ht="13.8" x14ac:dyDescent="0.25">
      <c r="A21" s="10">
        <v>1101060</v>
      </c>
      <c r="B21" s="11" t="s">
        <v>30</v>
      </c>
      <c r="C21" s="12" t="s">
        <v>83</v>
      </c>
      <c r="D21" s="11" t="s">
        <v>84</v>
      </c>
      <c r="E21" s="10" t="s">
        <v>47</v>
      </c>
      <c r="F21" s="10" t="s">
        <v>34</v>
      </c>
      <c r="G21" s="55">
        <f t="shared" ref="G21:G66" si="1">IF(U21="Obsolete",U21,U21+V21)</f>
        <v>2.4700000000000002</v>
      </c>
      <c r="H21" s="10">
        <v>10</v>
      </c>
      <c r="I21" s="13">
        <v>6400</v>
      </c>
      <c r="J21" s="56"/>
      <c r="K21" s="57"/>
      <c r="M21" s="14"/>
      <c r="N21" s="14"/>
      <c r="O21" s="14"/>
      <c r="P21" s="14"/>
      <c r="Q21" s="14"/>
      <c r="R21" s="14"/>
      <c r="S21" s="14">
        <v>2.4700000000000002</v>
      </c>
      <c r="T21" s="70"/>
      <c r="U21" s="76">
        <v>2.4700000000000002</v>
      </c>
      <c r="V21" s="76">
        <v>0</v>
      </c>
      <c r="W21" s="76">
        <v>2.4700000000000002</v>
      </c>
      <c r="X21" s="76">
        <v>0</v>
      </c>
      <c r="Y21" s="77" t="s">
        <v>35</v>
      </c>
      <c r="Z21" s="78">
        <v>1600</v>
      </c>
      <c r="AA21" s="79" t="s">
        <v>36</v>
      </c>
      <c r="AB21" s="79" t="s">
        <v>35</v>
      </c>
      <c r="AC21" s="79" t="s">
        <v>37</v>
      </c>
      <c r="AD21" s="79" t="s">
        <v>38</v>
      </c>
      <c r="AE21" s="79" t="s">
        <v>1547</v>
      </c>
      <c r="AF21" s="79" t="s">
        <v>1548</v>
      </c>
      <c r="AG21" s="81" t="s">
        <v>1549</v>
      </c>
      <c r="AH21" s="79"/>
      <c r="AI21" s="53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</row>
    <row r="22" spans="1:110" ht="13.8" x14ac:dyDescent="0.25">
      <c r="A22" s="10">
        <v>1101061</v>
      </c>
      <c r="B22" s="11" t="s">
        <v>30</v>
      </c>
      <c r="C22" s="12" t="s">
        <v>85</v>
      </c>
      <c r="D22" s="11" t="s">
        <v>86</v>
      </c>
      <c r="E22" s="10" t="s">
        <v>33</v>
      </c>
      <c r="F22" s="10" t="s">
        <v>87</v>
      </c>
      <c r="G22" s="55" t="str">
        <f t="shared" si="1"/>
        <v>Obsolete</v>
      </c>
      <c r="H22" s="10">
        <v>6</v>
      </c>
      <c r="I22" s="13" t="s">
        <v>88</v>
      </c>
      <c r="J22" s="56"/>
      <c r="K22" s="57"/>
      <c r="M22" s="14"/>
      <c r="N22" s="14"/>
      <c r="O22" s="14">
        <v>9.67</v>
      </c>
      <c r="P22" s="14"/>
      <c r="Q22" s="14"/>
      <c r="R22" s="14"/>
      <c r="S22" s="14"/>
      <c r="T22" s="70"/>
      <c r="U22" s="76" t="s">
        <v>54</v>
      </c>
      <c r="V22" s="76"/>
      <c r="W22" s="76" t="s">
        <v>54</v>
      </c>
      <c r="X22" s="76"/>
      <c r="Y22" s="77"/>
      <c r="Z22" s="78"/>
      <c r="AA22" s="79" t="s">
        <v>89</v>
      </c>
      <c r="AB22" s="79" t="s">
        <v>37</v>
      </c>
      <c r="AC22" s="79" t="s">
        <v>37</v>
      </c>
      <c r="AD22" s="79"/>
      <c r="AE22" s="79" t="s">
        <v>39</v>
      </c>
      <c r="AF22" s="79" t="s">
        <v>40</v>
      </c>
      <c r="AG22" s="80" t="s">
        <v>41</v>
      </c>
      <c r="AH22" s="79"/>
      <c r="AI22" s="53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</row>
    <row r="23" spans="1:110" ht="13.8" x14ac:dyDescent="0.25">
      <c r="A23" s="10">
        <v>1101062</v>
      </c>
      <c r="B23" s="11" t="s">
        <v>30</v>
      </c>
      <c r="C23" s="12" t="s">
        <v>90</v>
      </c>
      <c r="D23" s="11" t="s">
        <v>86</v>
      </c>
      <c r="E23" s="10" t="s">
        <v>33</v>
      </c>
      <c r="F23" s="10" t="s">
        <v>34</v>
      </c>
      <c r="G23" s="55" t="str">
        <f t="shared" si="1"/>
        <v>Obsolete</v>
      </c>
      <c r="H23" s="10">
        <v>6</v>
      </c>
      <c r="I23" s="13" t="s">
        <v>88</v>
      </c>
      <c r="J23" s="56"/>
      <c r="K23" s="57"/>
      <c r="M23" s="14"/>
      <c r="N23" s="14"/>
      <c r="O23" s="14">
        <v>8.61</v>
      </c>
      <c r="P23" s="14"/>
      <c r="Q23" s="14"/>
      <c r="R23" s="14"/>
      <c r="S23" s="14"/>
      <c r="T23" s="70"/>
      <c r="U23" s="76" t="s">
        <v>54</v>
      </c>
      <c r="V23" s="76"/>
      <c r="W23" s="76" t="s">
        <v>54</v>
      </c>
      <c r="X23" s="76"/>
      <c r="Y23" s="77"/>
      <c r="Z23" s="78"/>
      <c r="AA23" s="79" t="s">
        <v>89</v>
      </c>
      <c r="AB23" s="79" t="s">
        <v>37</v>
      </c>
      <c r="AC23" s="79" t="s">
        <v>37</v>
      </c>
      <c r="AD23" s="79"/>
      <c r="AE23" s="79" t="s">
        <v>39</v>
      </c>
      <c r="AF23" s="79" t="s">
        <v>40</v>
      </c>
      <c r="AG23" s="80" t="s">
        <v>41</v>
      </c>
      <c r="AH23" s="79"/>
      <c r="AI23" s="53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</row>
    <row r="24" spans="1:110" ht="13.8" x14ac:dyDescent="0.25">
      <c r="A24" s="10">
        <v>1101063</v>
      </c>
      <c r="B24" s="11" t="s">
        <v>30</v>
      </c>
      <c r="C24" s="12" t="s">
        <v>91</v>
      </c>
      <c r="D24" s="11" t="s">
        <v>86</v>
      </c>
      <c r="E24" s="10" t="s">
        <v>33</v>
      </c>
      <c r="F24" s="10" t="s">
        <v>34</v>
      </c>
      <c r="G24" s="55" t="str">
        <f t="shared" si="1"/>
        <v>Obsolete</v>
      </c>
      <c r="H24" s="10">
        <v>6</v>
      </c>
      <c r="I24" s="13" t="s">
        <v>92</v>
      </c>
      <c r="J24" s="56"/>
      <c r="K24" s="57"/>
      <c r="M24" s="14"/>
      <c r="N24" s="14"/>
      <c r="O24" s="14">
        <v>8.61</v>
      </c>
      <c r="P24" s="14"/>
      <c r="Q24" s="14"/>
      <c r="R24" s="14"/>
      <c r="S24" s="14"/>
      <c r="T24" s="70"/>
      <c r="U24" s="76" t="s">
        <v>54</v>
      </c>
      <c r="V24" s="76"/>
      <c r="W24" s="76" t="s">
        <v>54</v>
      </c>
      <c r="X24" s="76"/>
      <c r="Y24" s="77"/>
      <c r="Z24" s="78"/>
      <c r="AA24" s="79" t="s">
        <v>89</v>
      </c>
      <c r="AB24" s="79" t="s">
        <v>37</v>
      </c>
      <c r="AC24" s="79" t="s">
        <v>37</v>
      </c>
      <c r="AD24" s="79"/>
      <c r="AE24" s="79" t="s">
        <v>39</v>
      </c>
      <c r="AF24" s="79" t="s">
        <v>40</v>
      </c>
      <c r="AG24" s="80" t="s">
        <v>41</v>
      </c>
      <c r="AH24" s="79"/>
      <c r="AI24" s="53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</row>
    <row r="25" spans="1:110" ht="13.8" x14ac:dyDescent="0.25">
      <c r="A25" s="10">
        <v>1101064</v>
      </c>
      <c r="B25" s="11" t="s">
        <v>30</v>
      </c>
      <c r="C25" s="12" t="s">
        <v>93</v>
      </c>
      <c r="D25" s="11" t="s">
        <v>32</v>
      </c>
      <c r="E25" s="10" t="s">
        <v>71</v>
      </c>
      <c r="F25" s="10" t="s">
        <v>34</v>
      </c>
      <c r="G25" s="55">
        <f t="shared" si="1"/>
        <v>0</v>
      </c>
      <c r="H25" s="10">
        <v>6</v>
      </c>
      <c r="I25" s="13"/>
      <c r="J25" s="56"/>
      <c r="K25" s="57"/>
      <c r="M25" s="14"/>
      <c r="N25" s="14"/>
      <c r="O25" s="14"/>
      <c r="P25" s="14"/>
      <c r="Q25" s="14"/>
      <c r="R25" s="14"/>
      <c r="S25" s="14"/>
      <c r="T25" s="70"/>
      <c r="U25" s="76">
        <v>0</v>
      </c>
      <c r="V25" s="76"/>
      <c r="W25" s="76">
        <v>0</v>
      </c>
      <c r="X25" s="76"/>
      <c r="Y25" s="77"/>
      <c r="Z25" s="78"/>
      <c r="AA25" s="79" t="s">
        <v>58</v>
      </c>
      <c r="AB25" s="79" t="s">
        <v>35</v>
      </c>
      <c r="AC25" s="79" t="s">
        <v>35</v>
      </c>
      <c r="AD25" s="79"/>
      <c r="AE25" s="79"/>
      <c r="AF25" s="79"/>
      <c r="AG25" s="79"/>
      <c r="AH25" s="79"/>
      <c r="AI25" s="53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</row>
    <row r="26" spans="1:110" ht="13.8" x14ac:dyDescent="0.25">
      <c r="A26" s="10">
        <v>1101065</v>
      </c>
      <c r="B26" s="11" t="s">
        <v>30</v>
      </c>
      <c r="C26" s="20" t="s">
        <v>94</v>
      </c>
      <c r="D26" s="11" t="s">
        <v>32</v>
      </c>
      <c r="E26" s="10" t="s">
        <v>71</v>
      </c>
      <c r="F26" s="10" t="s">
        <v>34</v>
      </c>
      <c r="G26" s="55">
        <f t="shared" si="1"/>
        <v>0</v>
      </c>
      <c r="H26" s="10">
        <v>6</v>
      </c>
      <c r="I26" s="13"/>
      <c r="J26" s="56"/>
      <c r="K26" s="57"/>
      <c r="M26" s="14"/>
      <c r="N26" s="14"/>
      <c r="O26" s="14"/>
      <c r="P26" s="14"/>
      <c r="Q26" s="14"/>
      <c r="R26" s="14"/>
      <c r="S26" s="14"/>
      <c r="T26" s="70"/>
      <c r="U26" s="76">
        <v>0</v>
      </c>
      <c r="V26" s="76"/>
      <c r="W26" s="76">
        <v>0</v>
      </c>
      <c r="X26" s="76"/>
      <c r="Y26" s="77"/>
      <c r="Z26" s="78"/>
      <c r="AA26" s="79" t="s">
        <v>58</v>
      </c>
      <c r="AB26" s="79" t="s">
        <v>35</v>
      </c>
      <c r="AC26" s="79" t="s">
        <v>35</v>
      </c>
      <c r="AD26" s="79"/>
      <c r="AE26" s="79"/>
      <c r="AF26" s="79"/>
      <c r="AG26" s="79"/>
      <c r="AH26" s="79"/>
      <c r="AI26" s="53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</row>
    <row r="27" spans="1:110" ht="13.8" x14ac:dyDescent="0.25">
      <c r="A27" s="10">
        <v>1101066</v>
      </c>
      <c r="B27" s="11" t="s">
        <v>30</v>
      </c>
      <c r="C27" s="20" t="s">
        <v>95</v>
      </c>
      <c r="D27" s="11" t="s">
        <v>32</v>
      </c>
      <c r="E27" s="10" t="s">
        <v>71</v>
      </c>
      <c r="F27" s="10" t="s">
        <v>34</v>
      </c>
      <c r="G27" s="55">
        <f t="shared" si="1"/>
        <v>0</v>
      </c>
      <c r="H27" s="10">
        <v>6</v>
      </c>
      <c r="I27" s="13"/>
      <c r="J27" s="56"/>
      <c r="K27" s="57"/>
      <c r="M27" s="14"/>
      <c r="N27" s="14"/>
      <c r="O27" s="14"/>
      <c r="P27" s="14"/>
      <c r="Q27" s="14"/>
      <c r="R27" s="14"/>
      <c r="S27" s="14"/>
      <c r="T27" s="70"/>
      <c r="U27" s="76">
        <v>0</v>
      </c>
      <c r="V27" s="76"/>
      <c r="W27" s="76">
        <v>0</v>
      </c>
      <c r="X27" s="76"/>
      <c r="Y27" s="77"/>
      <c r="Z27" s="78"/>
      <c r="AA27" s="79" t="s">
        <v>58</v>
      </c>
      <c r="AB27" s="79" t="s">
        <v>35</v>
      </c>
      <c r="AC27" s="79" t="s">
        <v>35</v>
      </c>
      <c r="AD27" s="79"/>
      <c r="AE27" s="79"/>
      <c r="AF27" s="79"/>
      <c r="AG27" s="79"/>
      <c r="AH27" s="79"/>
      <c r="AI27" s="53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</row>
    <row r="28" spans="1:110" ht="13.8" x14ac:dyDescent="0.25">
      <c r="A28" s="10">
        <v>1101067</v>
      </c>
      <c r="B28" s="11" t="s">
        <v>30</v>
      </c>
      <c r="C28" s="20" t="s">
        <v>96</v>
      </c>
      <c r="D28" s="11" t="s">
        <v>32</v>
      </c>
      <c r="E28" s="10" t="s">
        <v>71</v>
      </c>
      <c r="F28" s="10" t="s">
        <v>34</v>
      </c>
      <c r="G28" s="55">
        <f t="shared" si="1"/>
        <v>0</v>
      </c>
      <c r="H28" s="10">
        <v>6</v>
      </c>
      <c r="I28" s="13"/>
      <c r="J28" s="56"/>
      <c r="K28" s="57"/>
      <c r="M28" s="14"/>
      <c r="N28" s="14"/>
      <c r="O28" s="14"/>
      <c r="P28" s="14"/>
      <c r="Q28" s="14"/>
      <c r="R28" s="14"/>
      <c r="S28" s="14"/>
      <c r="T28" s="70"/>
      <c r="U28" s="76">
        <v>0</v>
      </c>
      <c r="V28" s="76"/>
      <c r="W28" s="76">
        <v>0</v>
      </c>
      <c r="X28" s="76"/>
      <c r="Y28" s="77"/>
      <c r="Z28" s="78"/>
      <c r="AA28" s="79" t="s">
        <v>58</v>
      </c>
      <c r="AB28" s="79" t="s">
        <v>35</v>
      </c>
      <c r="AC28" s="79" t="s">
        <v>35</v>
      </c>
      <c r="AD28" s="79"/>
      <c r="AE28" s="79"/>
      <c r="AF28" s="79"/>
      <c r="AG28" s="79"/>
      <c r="AH28" s="79"/>
      <c r="AI28" s="53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</row>
    <row r="29" spans="1:110" ht="13.8" x14ac:dyDescent="0.25">
      <c r="A29" s="10">
        <v>1101068</v>
      </c>
      <c r="B29" s="11" t="s">
        <v>30</v>
      </c>
      <c r="C29" s="20" t="s">
        <v>97</v>
      </c>
      <c r="D29" s="11" t="s">
        <v>32</v>
      </c>
      <c r="E29" s="10" t="s">
        <v>71</v>
      </c>
      <c r="F29" s="10" t="s">
        <v>34</v>
      </c>
      <c r="G29" s="55">
        <f t="shared" si="1"/>
        <v>0</v>
      </c>
      <c r="H29" s="10">
        <v>6</v>
      </c>
      <c r="I29" s="13"/>
      <c r="J29" s="56"/>
      <c r="K29" s="57"/>
      <c r="M29" s="14"/>
      <c r="N29" s="14"/>
      <c r="O29" s="14"/>
      <c r="P29" s="14"/>
      <c r="Q29" s="14"/>
      <c r="R29" s="14"/>
      <c r="S29" s="14"/>
      <c r="T29" s="70"/>
      <c r="U29" s="76">
        <v>0</v>
      </c>
      <c r="V29" s="76"/>
      <c r="W29" s="76">
        <v>0</v>
      </c>
      <c r="X29" s="76"/>
      <c r="Y29" s="77"/>
      <c r="Z29" s="78"/>
      <c r="AA29" s="79" t="s">
        <v>58</v>
      </c>
      <c r="AB29" s="79" t="s">
        <v>35</v>
      </c>
      <c r="AC29" s="79" t="s">
        <v>35</v>
      </c>
      <c r="AD29" s="79"/>
      <c r="AE29" s="79"/>
      <c r="AF29" s="79"/>
      <c r="AG29" s="79"/>
      <c r="AH29" s="79"/>
      <c r="AI29" s="53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</row>
    <row r="30" spans="1:110" ht="13.8" x14ac:dyDescent="0.25">
      <c r="A30" s="10">
        <v>1101069</v>
      </c>
      <c r="B30" s="11" t="s">
        <v>30</v>
      </c>
      <c r="C30" s="20" t="s">
        <v>98</v>
      </c>
      <c r="D30" s="11" t="s">
        <v>32</v>
      </c>
      <c r="E30" s="10" t="s">
        <v>33</v>
      </c>
      <c r="F30" s="10" t="s">
        <v>34</v>
      </c>
      <c r="G30" s="55">
        <f t="shared" si="1"/>
        <v>17.82</v>
      </c>
      <c r="H30" s="10">
        <v>6</v>
      </c>
      <c r="I30" s="13">
        <v>55</v>
      </c>
      <c r="J30" s="56"/>
      <c r="K30" s="57"/>
      <c r="M30" s="14">
        <v>17.82</v>
      </c>
      <c r="N30" s="14"/>
      <c r="O30" s="14"/>
      <c r="P30" s="14"/>
      <c r="Q30" s="14"/>
      <c r="R30" s="14"/>
      <c r="S30" s="14"/>
      <c r="T30" s="70"/>
      <c r="U30" s="76">
        <v>17.82</v>
      </c>
      <c r="V30" s="76">
        <v>0</v>
      </c>
      <c r="W30" s="76">
        <v>17.82</v>
      </c>
      <c r="X30" s="76">
        <v>0</v>
      </c>
      <c r="Y30" s="77" t="s">
        <v>37</v>
      </c>
      <c r="Z30" s="78">
        <v>55</v>
      </c>
      <c r="AA30" s="79" t="s">
        <v>58</v>
      </c>
      <c r="AB30" s="79" t="s">
        <v>35</v>
      </c>
      <c r="AC30" s="79" t="s">
        <v>35</v>
      </c>
      <c r="AD30" s="79"/>
      <c r="AE30" s="79" t="s">
        <v>39</v>
      </c>
      <c r="AF30" s="79" t="s">
        <v>40</v>
      </c>
      <c r="AG30" s="80" t="s">
        <v>41</v>
      </c>
      <c r="AH30" s="79"/>
      <c r="AI30" s="53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</row>
    <row r="31" spans="1:110" ht="13.8" x14ac:dyDescent="0.25">
      <c r="A31" s="10">
        <v>1101070</v>
      </c>
      <c r="B31" s="11" t="s">
        <v>30</v>
      </c>
      <c r="C31" s="20" t="s">
        <v>99</v>
      </c>
      <c r="D31" s="11" t="s">
        <v>32</v>
      </c>
      <c r="E31" s="10" t="s">
        <v>33</v>
      </c>
      <c r="F31" s="10" t="s">
        <v>34</v>
      </c>
      <c r="G31" s="55" t="str">
        <f t="shared" si="1"/>
        <v>Obsolete</v>
      </c>
      <c r="H31" s="10"/>
      <c r="I31" s="13"/>
      <c r="J31" s="56"/>
      <c r="K31" s="57"/>
      <c r="M31" s="14"/>
      <c r="N31" s="14"/>
      <c r="O31" s="14"/>
      <c r="P31" s="14"/>
      <c r="Q31" s="14"/>
      <c r="R31" s="14"/>
      <c r="S31" s="14"/>
      <c r="T31" s="70"/>
      <c r="U31" s="76" t="s">
        <v>54</v>
      </c>
      <c r="V31" s="76"/>
      <c r="W31" s="76" t="s">
        <v>54</v>
      </c>
      <c r="X31" s="76"/>
      <c r="Y31" s="77"/>
      <c r="Z31" s="78"/>
      <c r="AA31" s="79"/>
      <c r="AB31" s="79" t="s">
        <v>37</v>
      </c>
      <c r="AC31" s="79"/>
      <c r="AD31" s="79"/>
      <c r="AE31" s="79" t="s">
        <v>39</v>
      </c>
      <c r="AF31" s="79" t="s">
        <v>40</v>
      </c>
      <c r="AG31" s="80" t="s">
        <v>41</v>
      </c>
      <c r="AH31" s="79"/>
      <c r="AI31" s="53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</row>
    <row r="32" spans="1:110" ht="13.8" x14ac:dyDescent="0.25">
      <c r="A32" s="10">
        <v>1101071</v>
      </c>
      <c r="B32" s="11" t="s">
        <v>30</v>
      </c>
      <c r="C32" s="20" t="s">
        <v>100</v>
      </c>
      <c r="D32" s="11" t="s">
        <v>32</v>
      </c>
      <c r="E32" s="10" t="s">
        <v>101</v>
      </c>
      <c r="F32" s="10" t="s">
        <v>34</v>
      </c>
      <c r="G32" s="55">
        <f t="shared" si="1"/>
        <v>17.5</v>
      </c>
      <c r="H32" s="10">
        <v>4</v>
      </c>
      <c r="I32" s="13">
        <v>110</v>
      </c>
      <c r="J32" s="56"/>
      <c r="K32" s="57"/>
      <c r="M32" s="14">
        <v>17.5</v>
      </c>
      <c r="N32" s="14"/>
      <c r="O32" s="14"/>
      <c r="P32" s="14"/>
      <c r="Q32" s="14"/>
      <c r="R32" s="14"/>
      <c r="S32" s="14"/>
      <c r="T32" s="70"/>
      <c r="U32" s="76">
        <v>17.5</v>
      </c>
      <c r="V32" s="76">
        <v>0</v>
      </c>
      <c r="W32" s="76">
        <v>17.5</v>
      </c>
      <c r="X32" s="76">
        <v>0</v>
      </c>
      <c r="Y32" s="77" t="s">
        <v>37</v>
      </c>
      <c r="Z32" s="78">
        <v>55</v>
      </c>
      <c r="AA32" s="79" t="s">
        <v>102</v>
      </c>
      <c r="AB32" s="79" t="s">
        <v>35</v>
      </c>
      <c r="AC32" s="79"/>
      <c r="AD32" s="79"/>
      <c r="AE32" s="79" t="s">
        <v>103</v>
      </c>
      <c r="AF32" s="79" t="s">
        <v>104</v>
      </c>
      <c r="AG32" s="83" t="s">
        <v>105</v>
      </c>
      <c r="AH32" s="79"/>
      <c r="AI32" s="53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</row>
    <row r="33" spans="1:110" ht="13.8" x14ac:dyDescent="0.25">
      <c r="A33" s="10">
        <v>1101072</v>
      </c>
      <c r="B33" s="11" t="s">
        <v>30</v>
      </c>
      <c r="C33" s="20" t="s">
        <v>106</v>
      </c>
      <c r="D33" s="11" t="s">
        <v>32</v>
      </c>
      <c r="E33" s="10" t="s">
        <v>33</v>
      </c>
      <c r="F33" s="10" t="s">
        <v>34</v>
      </c>
      <c r="G33" s="55">
        <f t="shared" si="1"/>
        <v>0</v>
      </c>
      <c r="H33" s="10">
        <v>6</v>
      </c>
      <c r="I33" s="13">
        <v>55</v>
      </c>
      <c r="J33" s="56"/>
      <c r="K33" s="57"/>
      <c r="M33" s="14">
        <v>18.78</v>
      </c>
      <c r="N33" s="14">
        <v>5.0599999999999996</v>
      </c>
      <c r="O33" s="14">
        <v>3.7</v>
      </c>
      <c r="P33" s="14"/>
      <c r="Q33" s="14"/>
      <c r="R33" s="14">
        <v>2.64</v>
      </c>
      <c r="S33" s="14"/>
      <c r="T33" s="70">
        <v>2.48</v>
      </c>
      <c r="U33" s="76"/>
      <c r="V33" s="76">
        <v>0</v>
      </c>
      <c r="W33" s="76"/>
      <c r="X33" s="76">
        <v>0</v>
      </c>
      <c r="Y33" s="77" t="s">
        <v>37</v>
      </c>
      <c r="Z33" s="78">
        <v>55</v>
      </c>
      <c r="AA33" s="79" t="s">
        <v>58</v>
      </c>
      <c r="AB33" s="79" t="s">
        <v>35</v>
      </c>
      <c r="AC33" s="79" t="s">
        <v>35</v>
      </c>
      <c r="AD33" s="79"/>
      <c r="AE33" s="79" t="s">
        <v>39</v>
      </c>
      <c r="AF33" s="79" t="s">
        <v>40</v>
      </c>
      <c r="AG33" s="80" t="s">
        <v>41</v>
      </c>
      <c r="AH33" s="79"/>
      <c r="AI33" s="53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</row>
    <row r="34" spans="1:110" ht="13.8" x14ac:dyDescent="0.25">
      <c r="A34" s="10">
        <v>1101073</v>
      </c>
      <c r="B34" s="11" t="s">
        <v>30</v>
      </c>
      <c r="C34" s="20" t="s">
        <v>107</v>
      </c>
      <c r="D34" s="11" t="s">
        <v>32</v>
      </c>
      <c r="E34" s="10" t="s">
        <v>33</v>
      </c>
      <c r="F34" s="10" t="s">
        <v>34</v>
      </c>
      <c r="G34" s="55">
        <f t="shared" si="1"/>
        <v>0</v>
      </c>
      <c r="H34" s="10">
        <v>6</v>
      </c>
      <c r="I34" s="13"/>
      <c r="J34" s="56"/>
      <c r="K34" s="57"/>
      <c r="M34" s="14"/>
      <c r="N34" s="14"/>
      <c r="O34" s="14"/>
      <c r="P34" s="14"/>
      <c r="Q34" s="14"/>
      <c r="R34" s="14"/>
      <c r="S34" s="14"/>
      <c r="T34" s="70"/>
      <c r="U34" s="76">
        <v>0</v>
      </c>
      <c r="V34" s="76">
        <v>0</v>
      </c>
      <c r="W34" s="76">
        <v>0</v>
      </c>
      <c r="X34" s="76">
        <v>0</v>
      </c>
      <c r="Y34" s="77"/>
      <c r="Z34" s="78"/>
      <c r="AA34" s="79" t="s">
        <v>58</v>
      </c>
      <c r="AB34" s="79" t="s">
        <v>35</v>
      </c>
      <c r="AC34" s="79" t="s">
        <v>35</v>
      </c>
      <c r="AD34" s="79"/>
      <c r="AE34" s="79" t="s">
        <v>39</v>
      </c>
      <c r="AF34" s="79" t="s">
        <v>40</v>
      </c>
      <c r="AG34" s="80" t="s">
        <v>41</v>
      </c>
      <c r="AH34" s="79"/>
      <c r="AI34" s="53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</row>
    <row r="35" spans="1:110" ht="13.8" x14ac:dyDescent="0.25">
      <c r="A35" s="10">
        <v>1101074</v>
      </c>
      <c r="B35" s="11" t="s">
        <v>30</v>
      </c>
      <c r="C35" s="20" t="s">
        <v>108</v>
      </c>
      <c r="D35" s="11" t="s">
        <v>32</v>
      </c>
      <c r="E35" s="10" t="s">
        <v>33</v>
      </c>
      <c r="F35" s="10" t="s">
        <v>34</v>
      </c>
      <c r="G35" s="55">
        <f t="shared" si="1"/>
        <v>0</v>
      </c>
      <c r="H35" s="10">
        <v>6</v>
      </c>
      <c r="I35" s="13"/>
      <c r="J35" s="56"/>
      <c r="K35" s="57"/>
      <c r="M35" s="14"/>
      <c r="N35" s="14"/>
      <c r="O35" s="14"/>
      <c r="P35" s="14"/>
      <c r="Q35" s="14"/>
      <c r="R35" s="14"/>
      <c r="S35" s="14"/>
      <c r="T35" s="70"/>
      <c r="U35" s="76">
        <v>0</v>
      </c>
      <c r="V35" s="76">
        <v>0</v>
      </c>
      <c r="W35" s="76">
        <v>0</v>
      </c>
      <c r="X35" s="76">
        <v>0</v>
      </c>
      <c r="Y35" s="77"/>
      <c r="Z35" s="78"/>
      <c r="AA35" s="79" t="s">
        <v>58</v>
      </c>
      <c r="AB35" s="79" t="s">
        <v>35</v>
      </c>
      <c r="AC35" s="79" t="s">
        <v>35</v>
      </c>
      <c r="AD35" s="79"/>
      <c r="AE35" s="79" t="s">
        <v>39</v>
      </c>
      <c r="AF35" s="79" t="s">
        <v>40</v>
      </c>
      <c r="AG35" s="80" t="s">
        <v>41</v>
      </c>
      <c r="AH35" s="79"/>
      <c r="AI35" s="53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</row>
    <row r="36" spans="1:110" ht="13.8" x14ac:dyDescent="0.25">
      <c r="A36" s="10">
        <v>1101075</v>
      </c>
      <c r="B36" s="11" t="s">
        <v>30</v>
      </c>
      <c r="C36" s="20" t="s">
        <v>109</v>
      </c>
      <c r="D36" s="11" t="s">
        <v>32</v>
      </c>
      <c r="E36" s="10" t="s">
        <v>33</v>
      </c>
      <c r="F36" s="10" t="s">
        <v>34</v>
      </c>
      <c r="G36" s="55">
        <f t="shared" si="1"/>
        <v>0</v>
      </c>
      <c r="H36" s="10">
        <v>6</v>
      </c>
      <c r="I36" s="13"/>
      <c r="J36" s="56"/>
      <c r="K36" s="57"/>
      <c r="M36" s="14"/>
      <c r="N36" s="14"/>
      <c r="O36" s="14"/>
      <c r="P36" s="14"/>
      <c r="Q36" s="14"/>
      <c r="R36" s="14"/>
      <c r="S36" s="14"/>
      <c r="T36" s="70"/>
      <c r="U36" s="76">
        <v>0</v>
      </c>
      <c r="V36" s="76">
        <v>0</v>
      </c>
      <c r="W36" s="76">
        <v>0</v>
      </c>
      <c r="X36" s="76">
        <v>0</v>
      </c>
      <c r="Y36" s="77"/>
      <c r="Z36" s="78"/>
      <c r="AA36" s="79" t="s">
        <v>58</v>
      </c>
      <c r="AB36" s="79" t="s">
        <v>35</v>
      </c>
      <c r="AC36" s="79" t="s">
        <v>35</v>
      </c>
      <c r="AD36" s="79"/>
      <c r="AE36" s="79" t="s">
        <v>39</v>
      </c>
      <c r="AF36" s="79" t="s">
        <v>40</v>
      </c>
      <c r="AG36" s="80" t="s">
        <v>41</v>
      </c>
      <c r="AH36" s="79"/>
      <c r="AI36" s="53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</row>
    <row r="37" spans="1:110" ht="13.8" x14ac:dyDescent="0.25">
      <c r="A37" s="10">
        <v>1101076</v>
      </c>
      <c r="B37" s="11" t="s">
        <v>30</v>
      </c>
      <c r="C37" s="20" t="s">
        <v>110</v>
      </c>
      <c r="D37" s="11" t="s">
        <v>32</v>
      </c>
      <c r="E37" s="10" t="s">
        <v>33</v>
      </c>
      <c r="F37" s="10" t="s">
        <v>34</v>
      </c>
      <c r="G37" s="55">
        <f t="shared" si="1"/>
        <v>0</v>
      </c>
      <c r="H37" s="10">
        <v>6</v>
      </c>
      <c r="I37" s="13"/>
      <c r="J37" s="56"/>
      <c r="K37" s="57"/>
      <c r="M37" s="14"/>
      <c r="N37" s="14"/>
      <c r="O37" s="14"/>
      <c r="P37" s="14"/>
      <c r="Q37" s="14"/>
      <c r="R37" s="14"/>
      <c r="S37" s="14"/>
      <c r="T37" s="70"/>
      <c r="U37" s="76">
        <v>0</v>
      </c>
      <c r="V37" s="76">
        <v>0</v>
      </c>
      <c r="W37" s="76">
        <v>0</v>
      </c>
      <c r="X37" s="76">
        <v>0</v>
      </c>
      <c r="Y37" s="77"/>
      <c r="Z37" s="78"/>
      <c r="AA37" s="79" t="s">
        <v>58</v>
      </c>
      <c r="AB37" s="79" t="s">
        <v>35</v>
      </c>
      <c r="AC37" s="79" t="s">
        <v>35</v>
      </c>
      <c r="AD37" s="79"/>
      <c r="AE37" s="79" t="s">
        <v>39</v>
      </c>
      <c r="AF37" s="79" t="s">
        <v>40</v>
      </c>
      <c r="AG37" s="80" t="s">
        <v>41</v>
      </c>
      <c r="AH37" s="79"/>
      <c r="AI37" s="53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</row>
    <row r="38" spans="1:110" ht="13.8" x14ac:dyDescent="0.25">
      <c r="A38" s="10">
        <v>1101077</v>
      </c>
      <c r="B38" s="11" t="s">
        <v>30</v>
      </c>
      <c r="C38" s="20" t="s">
        <v>111</v>
      </c>
      <c r="D38" s="11" t="s">
        <v>32</v>
      </c>
      <c r="E38" s="10" t="s">
        <v>33</v>
      </c>
      <c r="F38" s="10" t="s">
        <v>34</v>
      </c>
      <c r="G38" s="55">
        <f t="shared" si="1"/>
        <v>0</v>
      </c>
      <c r="H38" s="10">
        <v>6</v>
      </c>
      <c r="I38" s="13"/>
      <c r="J38" s="56"/>
      <c r="K38" s="57"/>
      <c r="M38" s="14"/>
      <c r="N38" s="14"/>
      <c r="O38" s="14"/>
      <c r="P38" s="14"/>
      <c r="Q38" s="14"/>
      <c r="R38" s="14"/>
      <c r="S38" s="14"/>
      <c r="T38" s="70"/>
      <c r="U38" s="76">
        <v>0</v>
      </c>
      <c r="V38" s="76">
        <v>0</v>
      </c>
      <c r="W38" s="76">
        <v>0</v>
      </c>
      <c r="X38" s="76">
        <v>0</v>
      </c>
      <c r="Y38" s="77"/>
      <c r="Z38" s="78"/>
      <c r="AA38" s="79" t="s">
        <v>58</v>
      </c>
      <c r="AB38" s="79" t="s">
        <v>35</v>
      </c>
      <c r="AC38" s="79" t="s">
        <v>35</v>
      </c>
      <c r="AD38" s="79"/>
      <c r="AE38" s="79" t="s">
        <v>39</v>
      </c>
      <c r="AF38" s="79" t="s">
        <v>40</v>
      </c>
      <c r="AG38" s="80" t="s">
        <v>41</v>
      </c>
      <c r="AH38" s="79"/>
      <c r="AI38" s="53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</row>
    <row r="39" spans="1:110" ht="13.8" x14ac:dyDescent="0.25">
      <c r="A39" s="10">
        <v>1101078</v>
      </c>
      <c r="B39" s="11" t="s">
        <v>30</v>
      </c>
      <c r="C39" s="20" t="s">
        <v>112</v>
      </c>
      <c r="D39" s="11" t="s">
        <v>32</v>
      </c>
      <c r="E39" s="10" t="s">
        <v>33</v>
      </c>
      <c r="F39" s="10" t="s">
        <v>34</v>
      </c>
      <c r="G39" s="55">
        <f t="shared" si="1"/>
        <v>0</v>
      </c>
      <c r="H39" s="10">
        <v>6</v>
      </c>
      <c r="I39" s="13"/>
      <c r="J39" s="56"/>
      <c r="K39" s="57"/>
      <c r="M39" s="14"/>
      <c r="N39" s="14"/>
      <c r="O39" s="14"/>
      <c r="P39" s="14"/>
      <c r="Q39" s="14"/>
      <c r="R39" s="14"/>
      <c r="S39" s="14"/>
      <c r="T39" s="70"/>
      <c r="U39" s="76">
        <v>0</v>
      </c>
      <c r="V39" s="76">
        <v>0</v>
      </c>
      <c r="W39" s="76">
        <v>0</v>
      </c>
      <c r="X39" s="76">
        <v>0</v>
      </c>
      <c r="Y39" s="77"/>
      <c r="Z39" s="78"/>
      <c r="AA39" s="79" t="s">
        <v>58</v>
      </c>
      <c r="AB39" s="79" t="s">
        <v>35</v>
      </c>
      <c r="AC39" s="79" t="s">
        <v>35</v>
      </c>
      <c r="AD39" s="79"/>
      <c r="AE39" s="79" t="s">
        <v>39</v>
      </c>
      <c r="AF39" s="79" t="s">
        <v>40</v>
      </c>
      <c r="AG39" s="80" t="s">
        <v>41</v>
      </c>
      <c r="AH39" s="79"/>
      <c r="AI39" s="53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</row>
    <row r="40" spans="1:110" ht="13.8" x14ac:dyDescent="0.25">
      <c r="A40" s="10">
        <v>1101079</v>
      </c>
      <c r="B40" s="11" t="s">
        <v>30</v>
      </c>
      <c r="C40" s="20" t="s">
        <v>113</v>
      </c>
      <c r="D40" s="11" t="s">
        <v>32</v>
      </c>
      <c r="E40" s="10" t="s">
        <v>33</v>
      </c>
      <c r="F40" s="10" t="s">
        <v>34</v>
      </c>
      <c r="G40" s="55">
        <f t="shared" si="1"/>
        <v>0</v>
      </c>
      <c r="H40" s="10">
        <v>6</v>
      </c>
      <c r="I40" s="13"/>
      <c r="J40" s="56"/>
      <c r="K40" s="57"/>
      <c r="M40" s="14"/>
      <c r="N40" s="14"/>
      <c r="O40" s="14"/>
      <c r="P40" s="14"/>
      <c r="Q40" s="14"/>
      <c r="R40" s="14"/>
      <c r="S40" s="14"/>
      <c r="T40" s="70"/>
      <c r="U40" s="76">
        <v>0</v>
      </c>
      <c r="V40" s="76">
        <v>0</v>
      </c>
      <c r="W40" s="76">
        <v>0</v>
      </c>
      <c r="X40" s="76">
        <v>0</v>
      </c>
      <c r="Y40" s="77"/>
      <c r="Z40" s="78"/>
      <c r="AA40" s="79" t="s">
        <v>58</v>
      </c>
      <c r="AB40" s="79" t="s">
        <v>35</v>
      </c>
      <c r="AC40" s="79" t="s">
        <v>35</v>
      </c>
      <c r="AD40" s="79"/>
      <c r="AE40" s="79" t="s">
        <v>39</v>
      </c>
      <c r="AF40" s="79" t="s">
        <v>40</v>
      </c>
      <c r="AG40" s="80" t="s">
        <v>41</v>
      </c>
      <c r="AH40" s="79"/>
      <c r="AI40" s="53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</row>
    <row r="41" spans="1:110" ht="13.8" x14ac:dyDescent="0.25">
      <c r="A41" s="10">
        <v>1101080</v>
      </c>
      <c r="B41" s="11" t="s">
        <v>30</v>
      </c>
      <c r="C41" s="12" t="s">
        <v>114</v>
      </c>
      <c r="D41" s="11" t="s">
        <v>66</v>
      </c>
      <c r="E41" s="10" t="s">
        <v>33</v>
      </c>
      <c r="F41" s="10" t="s">
        <v>34</v>
      </c>
      <c r="G41" s="55">
        <f t="shared" si="1"/>
        <v>1.83</v>
      </c>
      <c r="H41" s="10">
        <v>6</v>
      </c>
      <c r="I41" s="13">
        <v>1300</v>
      </c>
      <c r="J41" s="56">
        <v>44348</v>
      </c>
      <c r="K41" s="57">
        <v>1.62</v>
      </c>
      <c r="M41" s="14"/>
      <c r="N41" s="14"/>
      <c r="O41" s="15">
        <v>1.8280000000000001</v>
      </c>
      <c r="P41" s="14"/>
      <c r="Q41" s="14">
        <v>1.252</v>
      </c>
      <c r="R41" s="14"/>
      <c r="S41" s="14">
        <v>1.161</v>
      </c>
      <c r="T41" s="70">
        <v>1.07</v>
      </c>
      <c r="U41" s="77">
        <v>1.83</v>
      </c>
      <c r="V41" s="76">
        <v>0</v>
      </c>
      <c r="W41" s="77">
        <v>1.83</v>
      </c>
      <c r="X41" s="76">
        <v>0</v>
      </c>
      <c r="Y41" s="77" t="s">
        <v>35</v>
      </c>
      <c r="Z41" s="78">
        <v>1300</v>
      </c>
      <c r="AA41" s="79" t="s">
        <v>36</v>
      </c>
      <c r="AB41" s="79" t="s">
        <v>35</v>
      </c>
      <c r="AC41" s="79" t="s">
        <v>37</v>
      </c>
      <c r="AD41" s="79" t="s">
        <v>38</v>
      </c>
      <c r="AE41" s="79" t="s">
        <v>39</v>
      </c>
      <c r="AF41" s="79" t="s">
        <v>40</v>
      </c>
      <c r="AG41" s="80" t="s">
        <v>41</v>
      </c>
      <c r="AH41" s="79"/>
      <c r="AI41" s="53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</row>
    <row r="42" spans="1:110" ht="13.8" x14ac:dyDescent="0.25">
      <c r="A42" s="10">
        <v>1101081</v>
      </c>
      <c r="B42" s="11" t="s">
        <v>30</v>
      </c>
      <c r="C42" s="12" t="s">
        <v>115</v>
      </c>
      <c r="D42" s="11" t="s">
        <v>66</v>
      </c>
      <c r="E42" s="10" t="s">
        <v>33</v>
      </c>
      <c r="F42" s="10" t="s">
        <v>34</v>
      </c>
      <c r="G42" s="55">
        <f t="shared" si="1"/>
        <v>1.89</v>
      </c>
      <c r="H42" s="10">
        <v>6</v>
      </c>
      <c r="I42" s="13">
        <v>8800</v>
      </c>
      <c r="J42" s="56"/>
      <c r="K42" s="57"/>
      <c r="M42" s="14"/>
      <c r="N42" s="14"/>
      <c r="O42" s="14"/>
      <c r="P42" s="14"/>
      <c r="Q42" s="14"/>
      <c r="R42" s="14"/>
      <c r="S42" s="14"/>
      <c r="T42" s="70">
        <v>1.89</v>
      </c>
      <c r="U42" s="76">
        <v>1.89</v>
      </c>
      <c r="V42" s="76">
        <v>0</v>
      </c>
      <c r="W42" s="76">
        <v>1.89</v>
      </c>
      <c r="X42" s="76">
        <v>0</v>
      </c>
      <c r="Y42" s="77" t="s">
        <v>35</v>
      </c>
      <c r="Z42" s="78">
        <v>1500</v>
      </c>
      <c r="AA42" s="79" t="s">
        <v>116</v>
      </c>
      <c r="AB42" s="79" t="s">
        <v>35</v>
      </c>
      <c r="AC42" s="79" t="s">
        <v>35</v>
      </c>
      <c r="AD42" s="85">
        <v>41477</v>
      </c>
      <c r="AE42" s="79" t="s">
        <v>39</v>
      </c>
      <c r="AF42" s="79" t="s">
        <v>40</v>
      </c>
      <c r="AG42" s="80" t="s">
        <v>41</v>
      </c>
      <c r="AH42" s="79"/>
      <c r="AI42" s="53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</row>
    <row r="43" spans="1:110" ht="13.8" x14ac:dyDescent="0.25">
      <c r="A43" s="10">
        <v>1101082</v>
      </c>
      <c r="B43" s="11" t="s">
        <v>30</v>
      </c>
      <c r="C43" s="12" t="s">
        <v>117</v>
      </c>
      <c r="D43" s="11" t="s">
        <v>66</v>
      </c>
      <c r="E43" s="10" t="s">
        <v>33</v>
      </c>
      <c r="F43" s="10" t="s">
        <v>34</v>
      </c>
      <c r="G43" s="55">
        <f t="shared" si="1"/>
        <v>1.89</v>
      </c>
      <c r="H43" s="10">
        <v>6</v>
      </c>
      <c r="I43" s="13">
        <v>8800</v>
      </c>
      <c r="J43" s="56"/>
      <c r="K43" s="57"/>
      <c r="M43" s="14"/>
      <c r="N43" s="14"/>
      <c r="O43" s="14"/>
      <c r="P43" s="14"/>
      <c r="Q43" s="14"/>
      <c r="R43" s="14"/>
      <c r="S43" s="14"/>
      <c r="T43" s="70">
        <v>1.89</v>
      </c>
      <c r="U43" s="76">
        <v>1.89</v>
      </c>
      <c r="V43" s="76">
        <v>0</v>
      </c>
      <c r="W43" s="76">
        <v>1.89</v>
      </c>
      <c r="X43" s="76">
        <v>0</v>
      </c>
      <c r="Y43" s="77" t="s">
        <v>35</v>
      </c>
      <c r="Z43" s="78">
        <v>1500</v>
      </c>
      <c r="AA43" s="79" t="s">
        <v>116</v>
      </c>
      <c r="AB43" s="79" t="s">
        <v>35</v>
      </c>
      <c r="AC43" s="79" t="s">
        <v>35</v>
      </c>
      <c r="AD43" s="85">
        <v>41495</v>
      </c>
      <c r="AE43" s="79" t="s">
        <v>39</v>
      </c>
      <c r="AF43" s="79" t="s">
        <v>40</v>
      </c>
      <c r="AG43" s="80" t="s">
        <v>41</v>
      </c>
      <c r="AH43" s="79"/>
      <c r="AI43" s="53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</row>
    <row r="44" spans="1:110" ht="13.8" x14ac:dyDescent="0.25">
      <c r="A44" s="10">
        <v>1101083</v>
      </c>
      <c r="B44" s="11" t="s">
        <v>30</v>
      </c>
      <c r="C44" s="12" t="s">
        <v>118</v>
      </c>
      <c r="D44" s="11" t="s">
        <v>119</v>
      </c>
      <c r="E44" s="10" t="s">
        <v>120</v>
      </c>
      <c r="F44" s="10" t="s">
        <v>34</v>
      </c>
      <c r="G44" s="55">
        <f t="shared" si="1"/>
        <v>2.5749999999999997</v>
      </c>
      <c r="H44" s="10">
        <v>10</v>
      </c>
      <c r="I44" s="13">
        <v>6000</v>
      </c>
      <c r="J44" s="56">
        <v>44452</v>
      </c>
      <c r="K44" s="57">
        <v>2.4249999999999998</v>
      </c>
      <c r="M44" s="14"/>
      <c r="N44" s="14"/>
      <c r="O44" s="14"/>
      <c r="P44" s="14"/>
      <c r="Q44" s="14"/>
      <c r="R44" s="14"/>
      <c r="S44" s="14"/>
      <c r="T44" s="70"/>
      <c r="U44" s="86">
        <v>2.5299999999999998</v>
      </c>
      <c r="V44" s="77">
        <v>4.4999999999999998E-2</v>
      </c>
      <c r="W44" s="86">
        <v>2.5299999999999998</v>
      </c>
      <c r="X44" s="77">
        <v>4.4999999999999998E-2</v>
      </c>
      <c r="Y44" s="77" t="s">
        <v>35</v>
      </c>
      <c r="Z44" s="87">
        <v>1500</v>
      </c>
      <c r="AA44" s="79" t="s">
        <v>121</v>
      </c>
      <c r="AB44" s="79" t="s">
        <v>35</v>
      </c>
      <c r="AC44" s="79" t="s">
        <v>37</v>
      </c>
      <c r="AD44" s="79" t="s">
        <v>38</v>
      </c>
      <c r="AE44" s="79" t="s">
        <v>122</v>
      </c>
      <c r="AF44" s="79" t="s">
        <v>123</v>
      </c>
      <c r="AG44" s="88" t="s">
        <v>124</v>
      </c>
      <c r="AH44" s="79"/>
      <c r="AI44" s="53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</row>
    <row r="45" spans="1:110" ht="12" customHeight="1" x14ac:dyDescent="0.25">
      <c r="A45" s="10">
        <v>1101084</v>
      </c>
      <c r="B45" s="11" t="s">
        <v>30</v>
      </c>
      <c r="C45" s="12" t="s">
        <v>1508</v>
      </c>
      <c r="D45" s="11" t="s">
        <v>32</v>
      </c>
      <c r="E45" s="10" t="s">
        <v>33</v>
      </c>
      <c r="F45" s="10" t="s">
        <v>34</v>
      </c>
      <c r="G45" s="55">
        <f t="shared" si="1"/>
        <v>0</v>
      </c>
      <c r="H45" s="10">
        <v>6</v>
      </c>
      <c r="I45" s="13">
        <v>55</v>
      </c>
      <c r="J45" s="56"/>
      <c r="K45" s="57"/>
      <c r="M45" s="14"/>
      <c r="N45" s="14"/>
      <c r="O45" s="14"/>
      <c r="P45" s="14"/>
      <c r="Q45" s="14"/>
      <c r="R45" s="14"/>
      <c r="S45" s="14"/>
      <c r="T45" s="70"/>
      <c r="U45" s="77"/>
      <c r="V45" s="77"/>
      <c r="W45" s="77"/>
      <c r="X45" s="77"/>
      <c r="Y45" s="77"/>
      <c r="Z45" s="87"/>
      <c r="AA45" s="79"/>
      <c r="AB45" s="79"/>
      <c r="AC45" s="79"/>
      <c r="AD45" s="79"/>
      <c r="AE45" s="79"/>
      <c r="AF45" s="79"/>
      <c r="AG45" s="88"/>
      <c r="AH45" s="79"/>
      <c r="AI45" s="53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</row>
    <row r="46" spans="1:110" ht="13.8" x14ac:dyDescent="0.25">
      <c r="A46" s="10">
        <v>1101090</v>
      </c>
      <c r="B46" s="11" t="s">
        <v>30</v>
      </c>
      <c r="C46" s="12" t="s">
        <v>125</v>
      </c>
      <c r="D46" s="11" t="s">
        <v>46</v>
      </c>
      <c r="E46" s="10" t="s">
        <v>47</v>
      </c>
      <c r="F46" s="10" t="s">
        <v>34</v>
      </c>
      <c r="G46" s="55" t="str">
        <f t="shared" si="1"/>
        <v>Obsolete</v>
      </c>
      <c r="H46" s="10">
        <v>10</v>
      </c>
      <c r="I46" s="13"/>
      <c r="J46" s="56"/>
      <c r="K46" s="57"/>
      <c r="M46" s="14"/>
      <c r="N46" s="14"/>
      <c r="O46" s="14"/>
      <c r="P46" s="14"/>
      <c r="Q46" s="14">
        <v>1.64</v>
      </c>
      <c r="R46" s="14"/>
      <c r="S46" s="14">
        <v>1.36</v>
      </c>
      <c r="T46" s="70"/>
      <c r="U46" s="76" t="s">
        <v>54</v>
      </c>
      <c r="V46" s="76">
        <v>0</v>
      </c>
      <c r="W46" s="76" t="s">
        <v>54</v>
      </c>
      <c r="X46" s="76">
        <v>0</v>
      </c>
      <c r="Y46" s="89" t="s">
        <v>35</v>
      </c>
      <c r="Z46" s="78">
        <v>1600</v>
      </c>
      <c r="AA46" s="79" t="s">
        <v>36</v>
      </c>
      <c r="AB46" s="79" t="s">
        <v>37</v>
      </c>
      <c r="AC46" s="79" t="s">
        <v>37</v>
      </c>
      <c r="AD46" s="79" t="s">
        <v>38</v>
      </c>
      <c r="AE46" s="79" t="s">
        <v>1547</v>
      </c>
      <c r="AF46" s="79" t="s">
        <v>1548</v>
      </c>
      <c r="AG46" s="81" t="s">
        <v>1549</v>
      </c>
      <c r="AH46" s="79"/>
      <c r="AI46" s="53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</row>
    <row r="47" spans="1:110" ht="13.8" x14ac:dyDescent="0.25">
      <c r="A47" s="10">
        <v>1101200</v>
      </c>
      <c r="B47" s="11" t="s">
        <v>30</v>
      </c>
      <c r="C47" s="12" t="s">
        <v>126</v>
      </c>
      <c r="D47" s="11" t="s">
        <v>127</v>
      </c>
      <c r="E47" s="10" t="s">
        <v>1619</v>
      </c>
      <c r="F47" s="10" t="s">
        <v>34</v>
      </c>
      <c r="G47" s="55">
        <f t="shared" si="1"/>
        <v>6.33</v>
      </c>
      <c r="H47" s="10">
        <v>10</v>
      </c>
      <c r="I47" s="13">
        <v>110</v>
      </c>
      <c r="J47" s="56"/>
      <c r="K47" s="57"/>
      <c r="M47" s="14">
        <v>5.97</v>
      </c>
      <c r="N47" s="14"/>
      <c r="O47" s="14"/>
      <c r="P47" s="14"/>
      <c r="Q47" s="14"/>
      <c r="R47" s="14"/>
      <c r="S47" s="14"/>
      <c r="T47" s="70"/>
      <c r="U47" s="76">
        <v>5.97</v>
      </c>
      <c r="V47" s="76">
        <v>0.36</v>
      </c>
      <c r="W47" s="76">
        <v>5.97</v>
      </c>
      <c r="X47" s="76">
        <v>0.36</v>
      </c>
      <c r="Y47" s="77" t="s">
        <v>37</v>
      </c>
      <c r="Z47" s="78">
        <v>55</v>
      </c>
      <c r="AA47" s="79" t="s">
        <v>36</v>
      </c>
      <c r="AB47" s="79" t="s">
        <v>35</v>
      </c>
      <c r="AC47" s="79" t="s">
        <v>37</v>
      </c>
      <c r="AD47" s="79" t="s">
        <v>38</v>
      </c>
      <c r="AE47" s="79" t="s">
        <v>50</v>
      </c>
      <c r="AF47" s="79" t="s">
        <v>51</v>
      </c>
      <c r="AG47" s="82" t="s">
        <v>52</v>
      </c>
      <c r="AH47" s="79"/>
      <c r="AI47" s="53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</row>
    <row r="48" spans="1:110" ht="13.8" x14ac:dyDescent="0.25">
      <c r="A48" s="10">
        <v>1101210</v>
      </c>
      <c r="B48" s="11" t="s">
        <v>30</v>
      </c>
      <c r="C48" s="12" t="s">
        <v>128</v>
      </c>
      <c r="D48" s="11" t="s">
        <v>46</v>
      </c>
      <c r="E48" s="10" t="s">
        <v>47</v>
      </c>
      <c r="F48" s="10" t="s">
        <v>34</v>
      </c>
      <c r="G48" s="55" t="str">
        <f t="shared" si="1"/>
        <v>Obsolete</v>
      </c>
      <c r="H48" s="10">
        <v>11</v>
      </c>
      <c r="I48" s="13">
        <v>6000</v>
      </c>
      <c r="J48" s="56"/>
      <c r="K48" s="57"/>
      <c r="M48" s="14"/>
      <c r="N48" s="14"/>
      <c r="O48" s="14"/>
      <c r="P48" s="14"/>
      <c r="Q48" s="14"/>
      <c r="R48" s="14"/>
      <c r="S48" s="14">
        <v>1.74</v>
      </c>
      <c r="T48" s="70"/>
      <c r="U48" s="76" t="s">
        <v>54</v>
      </c>
      <c r="V48" s="76">
        <v>0</v>
      </c>
      <c r="W48" s="76" t="s">
        <v>54</v>
      </c>
      <c r="X48" s="76">
        <v>0</v>
      </c>
      <c r="Y48" s="89" t="s">
        <v>35</v>
      </c>
      <c r="Z48" s="78">
        <v>1499.144</v>
      </c>
      <c r="AA48" s="79" t="s">
        <v>36</v>
      </c>
      <c r="AB48" s="79" t="s">
        <v>37</v>
      </c>
      <c r="AC48" s="79" t="s">
        <v>37</v>
      </c>
      <c r="AD48" s="79" t="s">
        <v>38</v>
      </c>
      <c r="AE48" s="79" t="s">
        <v>1547</v>
      </c>
      <c r="AF48" s="79" t="s">
        <v>1548</v>
      </c>
      <c r="AG48" s="81" t="s">
        <v>1549</v>
      </c>
      <c r="AH48" s="79"/>
      <c r="AI48" s="53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</row>
    <row r="49" spans="1:110" ht="13.8" x14ac:dyDescent="0.25">
      <c r="A49" s="125">
        <v>1101220</v>
      </c>
      <c r="B49" s="11" t="s">
        <v>30</v>
      </c>
      <c r="C49" s="12" t="s">
        <v>129</v>
      </c>
      <c r="D49" s="11" t="s">
        <v>46</v>
      </c>
      <c r="E49" s="10" t="s">
        <v>47</v>
      </c>
      <c r="F49" s="10" t="s">
        <v>34</v>
      </c>
      <c r="G49" s="55">
        <f t="shared" si="1"/>
        <v>2.57</v>
      </c>
      <c r="H49" s="10">
        <v>10</v>
      </c>
      <c r="I49" s="13">
        <v>6400</v>
      </c>
      <c r="J49" s="56">
        <v>44616</v>
      </c>
      <c r="K49" s="57">
        <v>2.3199999999999998</v>
      </c>
      <c r="M49" s="14"/>
      <c r="N49" s="14"/>
      <c r="O49" s="14">
        <v>2.94</v>
      </c>
      <c r="P49" s="14"/>
      <c r="Q49" s="14"/>
      <c r="R49" s="14"/>
      <c r="S49" s="14">
        <v>2.57</v>
      </c>
      <c r="T49" s="70"/>
      <c r="U49" s="14">
        <v>2.57</v>
      </c>
      <c r="V49" s="76">
        <v>0</v>
      </c>
      <c r="W49" s="14">
        <v>2.57</v>
      </c>
      <c r="X49" s="76">
        <v>0</v>
      </c>
      <c r="Y49" s="77" t="s">
        <v>35</v>
      </c>
      <c r="Z49" s="78">
        <v>1600</v>
      </c>
      <c r="AA49" s="79" t="s">
        <v>36</v>
      </c>
      <c r="AB49" s="79" t="s">
        <v>35</v>
      </c>
      <c r="AC49" s="79" t="s">
        <v>37</v>
      </c>
      <c r="AD49" s="79" t="s">
        <v>38</v>
      </c>
      <c r="AE49" s="79" t="s">
        <v>1547</v>
      </c>
      <c r="AF49" s="79" t="s">
        <v>1548</v>
      </c>
      <c r="AG49" s="81" t="s">
        <v>1549</v>
      </c>
      <c r="AH49" s="79"/>
      <c r="AI49" s="53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</row>
    <row r="50" spans="1:110" ht="13.8" x14ac:dyDescent="0.25">
      <c r="A50" s="10">
        <v>1101223</v>
      </c>
      <c r="B50" s="11" t="s">
        <v>30</v>
      </c>
      <c r="C50" s="12" t="s">
        <v>130</v>
      </c>
      <c r="D50" s="11" t="s">
        <v>131</v>
      </c>
      <c r="E50" s="10" t="s">
        <v>132</v>
      </c>
      <c r="F50" s="10" t="s">
        <v>34</v>
      </c>
      <c r="G50" s="55" t="str">
        <f t="shared" si="1"/>
        <v>Obsolete</v>
      </c>
      <c r="H50" s="10">
        <v>10</v>
      </c>
      <c r="I50" s="13">
        <v>1000</v>
      </c>
      <c r="J50" s="56"/>
      <c r="K50" s="57"/>
      <c r="M50" s="14"/>
      <c r="N50" s="14">
        <v>4.7</v>
      </c>
      <c r="O50" s="14"/>
      <c r="P50" s="14"/>
      <c r="Q50" s="14"/>
      <c r="R50" s="14"/>
      <c r="S50" s="14"/>
      <c r="T50" s="70"/>
      <c r="U50" s="76" t="s">
        <v>54</v>
      </c>
      <c r="V50" s="76"/>
      <c r="W50" s="76" t="s">
        <v>54</v>
      </c>
      <c r="X50" s="76"/>
      <c r="Y50" s="89"/>
      <c r="Z50" s="78">
        <v>25</v>
      </c>
      <c r="AA50" s="79" t="s">
        <v>36</v>
      </c>
      <c r="AB50" s="79" t="s">
        <v>37</v>
      </c>
      <c r="AC50" s="79" t="s">
        <v>37</v>
      </c>
      <c r="AD50" s="79"/>
      <c r="AE50" s="79" t="s">
        <v>133</v>
      </c>
      <c r="AF50" s="79" t="s">
        <v>134</v>
      </c>
      <c r="AG50" s="90" t="s">
        <v>135</v>
      </c>
      <c r="AH50" s="79"/>
      <c r="AI50" s="53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</row>
    <row r="51" spans="1:110" ht="13.8" x14ac:dyDescent="0.25">
      <c r="A51" s="10">
        <v>1101224</v>
      </c>
      <c r="B51" s="11" t="s">
        <v>30</v>
      </c>
      <c r="C51" s="12" t="s">
        <v>136</v>
      </c>
      <c r="D51" s="11" t="s">
        <v>131</v>
      </c>
      <c r="E51" s="10" t="s">
        <v>1619</v>
      </c>
      <c r="F51" s="10" t="s">
        <v>34</v>
      </c>
      <c r="G51" s="55">
        <f t="shared" si="1"/>
        <v>3.13</v>
      </c>
      <c r="H51" s="10">
        <v>10</v>
      </c>
      <c r="I51" s="13">
        <v>440</v>
      </c>
      <c r="J51" s="56">
        <v>44546</v>
      </c>
      <c r="K51" s="57">
        <v>2.9499999999999997</v>
      </c>
      <c r="M51" s="14">
        <v>3.04</v>
      </c>
      <c r="N51" s="14"/>
      <c r="O51" s="14"/>
      <c r="P51" s="14"/>
      <c r="Q51" s="14"/>
      <c r="R51" s="14"/>
      <c r="S51" s="14"/>
      <c r="T51" s="70"/>
      <c r="U51" s="76">
        <v>3.04</v>
      </c>
      <c r="V51" s="76">
        <v>0.09</v>
      </c>
      <c r="W51" s="76">
        <v>3.04</v>
      </c>
      <c r="X51" s="76">
        <v>0.09</v>
      </c>
      <c r="Y51" s="77" t="s">
        <v>37</v>
      </c>
      <c r="Z51" s="78">
        <v>55</v>
      </c>
      <c r="AA51" s="79" t="s">
        <v>36</v>
      </c>
      <c r="AB51" s="79" t="s">
        <v>35</v>
      </c>
      <c r="AC51" s="79" t="s">
        <v>37</v>
      </c>
      <c r="AD51" s="79" t="s">
        <v>38</v>
      </c>
      <c r="AE51" s="79" t="s">
        <v>1637</v>
      </c>
      <c r="AF51" s="79">
        <v>5548845795</v>
      </c>
      <c r="AG51" s="124" t="s">
        <v>1636</v>
      </c>
      <c r="AH51" s="79"/>
      <c r="AI51" s="53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</row>
    <row r="52" spans="1:110" ht="13.8" x14ac:dyDescent="0.25">
      <c r="A52" s="10">
        <v>1101225</v>
      </c>
      <c r="B52" s="11" t="s">
        <v>30</v>
      </c>
      <c r="C52" s="12" t="s">
        <v>137</v>
      </c>
      <c r="D52" s="11" t="s">
        <v>138</v>
      </c>
      <c r="E52" s="10" t="s">
        <v>33</v>
      </c>
      <c r="F52" s="10" t="s">
        <v>34</v>
      </c>
      <c r="G52" s="55">
        <f t="shared" si="1"/>
        <v>19.079999999999998</v>
      </c>
      <c r="H52" s="10">
        <v>6</v>
      </c>
      <c r="I52" s="13">
        <v>110</v>
      </c>
      <c r="J52" s="56"/>
      <c r="K52" s="57"/>
      <c r="M52" s="14">
        <v>19.079999999999998</v>
      </c>
      <c r="N52" s="14"/>
      <c r="O52" s="14"/>
      <c r="P52" s="14"/>
      <c r="Q52" s="14"/>
      <c r="R52" s="14"/>
      <c r="S52" s="14"/>
      <c r="T52" s="70"/>
      <c r="U52" s="76">
        <v>19.079999999999998</v>
      </c>
      <c r="V52" s="76">
        <v>0</v>
      </c>
      <c r="W52" s="76">
        <v>19.079999999999998</v>
      </c>
      <c r="X52" s="76">
        <v>0</v>
      </c>
      <c r="Y52" s="77" t="s">
        <v>35</v>
      </c>
      <c r="Z52" s="78">
        <v>55</v>
      </c>
      <c r="AA52" s="79" t="s">
        <v>36</v>
      </c>
      <c r="AB52" s="79" t="s">
        <v>35</v>
      </c>
      <c r="AC52" s="79" t="s">
        <v>37</v>
      </c>
      <c r="AD52" s="79" t="s">
        <v>38</v>
      </c>
      <c r="AE52" s="79" t="s">
        <v>39</v>
      </c>
      <c r="AF52" s="79" t="s">
        <v>40</v>
      </c>
      <c r="AG52" s="80" t="s">
        <v>41</v>
      </c>
      <c r="AH52" s="79"/>
      <c r="AI52" s="53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</row>
    <row r="53" spans="1:110" ht="13.8" x14ac:dyDescent="0.25">
      <c r="A53" s="10">
        <v>1101226</v>
      </c>
      <c r="B53" s="11" t="s">
        <v>30</v>
      </c>
      <c r="C53" s="12" t="s">
        <v>139</v>
      </c>
      <c r="D53" s="11" t="s">
        <v>140</v>
      </c>
      <c r="E53" s="10" t="s">
        <v>47</v>
      </c>
      <c r="F53" s="10" t="s">
        <v>34</v>
      </c>
      <c r="G53" s="55" t="str">
        <f t="shared" si="1"/>
        <v>Obsolete</v>
      </c>
      <c r="H53" s="22" t="s">
        <v>141</v>
      </c>
      <c r="I53" s="13">
        <v>3200</v>
      </c>
      <c r="J53" s="56"/>
      <c r="K53" s="57"/>
      <c r="M53" s="14"/>
      <c r="N53" s="14"/>
      <c r="O53" s="14"/>
      <c r="P53" s="14"/>
      <c r="Q53" s="14">
        <v>1.86</v>
      </c>
      <c r="R53" s="14"/>
      <c r="S53" s="14">
        <v>1.54</v>
      </c>
      <c r="T53" s="70"/>
      <c r="U53" s="76" t="s">
        <v>54</v>
      </c>
      <c r="V53" s="76">
        <v>0</v>
      </c>
      <c r="W53" s="76" t="s">
        <v>54</v>
      </c>
      <c r="X53" s="76">
        <v>0</v>
      </c>
      <c r="Y53" s="89" t="s">
        <v>35</v>
      </c>
      <c r="Z53" s="78">
        <v>1600</v>
      </c>
      <c r="AA53" s="79" t="s">
        <v>36</v>
      </c>
      <c r="AB53" s="79" t="s">
        <v>37</v>
      </c>
      <c r="AC53" s="79" t="s">
        <v>37</v>
      </c>
      <c r="AD53" s="79" t="s">
        <v>38</v>
      </c>
      <c r="AE53" s="79" t="s">
        <v>1547</v>
      </c>
      <c r="AF53" s="79" t="s">
        <v>1548</v>
      </c>
      <c r="AG53" s="81" t="s">
        <v>1549</v>
      </c>
      <c r="AH53" s="79"/>
      <c r="AI53" s="53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</row>
    <row r="54" spans="1:110" ht="13.8" x14ac:dyDescent="0.25">
      <c r="A54" s="10">
        <v>1101227</v>
      </c>
      <c r="B54" s="11" t="s">
        <v>30</v>
      </c>
      <c r="C54" s="12" t="s">
        <v>142</v>
      </c>
      <c r="D54" s="11" t="s">
        <v>143</v>
      </c>
      <c r="E54" s="10" t="s">
        <v>33</v>
      </c>
      <c r="F54" s="10" t="s">
        <v>34</v>
      </c>
      <c r="G54" s="55" t="str">
        <f t="shared" si="1"/>
        <v>Obsolete</v>
      </c>
      <c r="H54" s="10">
        <v>6</v>
      </c>
      <c r="I54" s="13"/>
      <c r="J54" s="56"/>
      <c r="K54" s="57"/>
      <c r="M54" s="14"/>
      <c r="N54" s="14"/>
      <c r="O54" s="14"/>
      <c r="P54" s="14"/>
      <c r="Q54" s="14"/>
      <c r="R54" s="14">
        <v>3.03</v>
      </c>
      <c r="S54" s="14"/>
      <c r="T54" s="70">
        <v>2.29</v>
      </c>
      <c r="U54" s="76" t="s">
        <v>54</v>
      </c>
      <c r="V54" s="76"/>
      <c r="W54" s="76" t="s">
        <v>54</v>
      </c>
      <c r="X54" s="76"/>
      <c r="Y54" s="77"/>
      <c r="Z54" s="78"/>
      <c r="AA54" s="79" t="s">
        <v>36</v>
      </c>
      <c r="AB54" s="79" t="s">
        <v>37</v>
      </c>
      <c r="AC54" s="79" t="s">
        <v>37</v>
      </c>
      <c r="AD54" s="79"/>
      <c r="AE54" s="79" t="s">
        <v>39</v>
      </c>
      <c r="AF54" s="79" t="s">
        <v>40</v>
      </c>
      <c r="AG54" s="80" t="s">
        <v>41</v>
      </c>
      <c r="AH54" s="79"/>
      <c r="AI54" s="53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</row>
    <row r="55" spans="1:110" ht="13.8" x14ac:dyDescent="0.25">
      <c r="A55" s="10">
        <v>1101228</v>
      </c>
      <c r="B55" s="11" t="s">
        <v>30</v>
      </c>
      <c r="C55" s="12" t="s">
        <v>144</v>
      </c>
      <c r="D55" s="11" t="s">
        <v>143</v>
      </c>
      <c r="E55" s="10" t="s">
        <v>33</v>
      </c>
      <c r="F55" s="10" t="s">
        <v>34</v>
      </c>
      <c r="G55" s="55">
        <f t="shared" si="1"/>
        <v>2.1113137528801973</v>
      </c>
      <c r="H55" s="10">
        <v>6</v>
      </c>
      <c r="I55" s="13">
        <v>4500</v>
      </c>
      <c r="J55" s="56"/>
      <c r="K55" s="57"/>
      <c r="M55" s="14"/>
      <c r="N55" s="14"/>
      <c r="O55" s="14"/>
      <c r="P55" s="14"/>
      <c r="Q55" s="14"/>
      <c r="R55" s="14">
        <v>2.1113137528801973</v>
      </c>
      <c r="S55" s="14"/>
      <c r="T55" s="70"/>
      <c r="U55" s="76">
        <v>2.1113137528801973</v>
      </c>
      <c r="V55" s="76">
        <v>0</v>
      </c>
      <c r="W55" s="76">
        <v>2.1113137528801973</v>
      </c>
      <c r="X55" s="76">
        <v>0</v>
      </c>
      <c r="Y55" s="77" t="s">
        <v>35</v>
      </c>
      <c r="Z55" s="78">
        <v>1500</v>
      </c>
      <c r="AA55" s="79" t="s">
        <v>36</v>
      </c>
      <c r="AB55" s="79" t="s">
        <v>35</v>
      </c>
      <c r="AC55" s="79" t="s">
        <v>37</v>
      </c>
      <c r="AD55" s="79" t="s">
        <v>38</v>
      </c>
      <c r="AE55" s="79" t="s">
        <v>39</v>
      </c>
      <c r="AF55" s="79" t="s">
        <v>40</v>
      </c>
      <c r="AG55" s="80" t="s">
        <v>41</v>
      </c>
      <c r="AH55" s="79"/>
      <c r="AI55" s="53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</row>
    <row r="56" spans="1:110" ht="13.8" x14ac:dyDescent="0.25">
      <c r="A56" s="10">
        <v>1101229</v>
      </c>
      <c r="B56" s="11" t="s">
        <v>30</v>
      </c>
      <c r="C56" s="12" t="s">
        <v>145</v>
      </c>
      <c r="D56" s="11" t="s">
        <v>146</v>
      </c>
      <c r="E56" s="10" t="s">
        <v>1619</v>
      </c>
      <c r="F56" s="10" t="s">
        <v>34</v>
      </c>
      <c r="G56" s="55">
        <f t="shared" si="1"/>
        <v>2.7457000000000003</v>
      </c>
      <c r="H56" s="10">
        <v>4</v>
      </c>
      <c r="I56" s="13">
        <v>1100</v>
      </c>
      <c r="J56" s="56"/>
      <c r="K56" s="57"/>
      <c r="M56" s="14"/>
      <c r="N56" s="14"/>
      <c r="O56" s="14">
        <v>3.14</v>
      </c>
      <c r="P56" s="14">
        <v>2.35</v>
      </c>
      <c r="Q56" s="14"/>
      <c r="R56" s="14"/>
      <c r="S56" s="14"/>
      <c r="T56" s="70"/>
      <c r="U56" s="76">
        <v>2.35</v>
      </c>
      <c r="V56" s="76">
        <v>0.3957</v>
      </c>
      <c r="W56" s="76">
        <v>2.35</v>
      </c>
      <c r="X56" s="76">
        <v>0.3957</v>
      </c>
      <c r="Y56" s="77" t="s">
        <v>35</v>
      </c>
      <c r="Z56" s="87">
        <v>55</v>
      </c>
      <c r="AA56" s="79" t="s">
        <v>36</v>
      </c>
      <c r="AB56" s="79" t="s">
        <v>35</v>
      </c>
      <c r="AC56" s="79" t="s">
        <v>37</v>
      </c>
      <c r="AD56" s="79" t="s">
        <v>38</v>
      </c>
      <c r="AE56" s="79" t="s">
        <v>147</v>
      </c>
      <c r="AF56" s="79" t="s">
        <v>148</v>
      </c>
      <c r="AG56" s="79" t="s">
        <v>149</v>
      </c>
      <c r="AH56" s="79"/>
      <c r="AI56" s="53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</row>
    <row r="57" spans="1:110" ht="13.8" x14ac:dyDescent="0.25">
      <c r="A57" s="10">
        <v>1101230</v>
      </c>
      <c r="B57" s="11" t="s">
        <v>30</v>
      </c>
      <c r="C57" s="12" t="s">
        <v>150</v>
      </c>
      <c r="D57" s="11" t="s">
        <v>151</v>
      </c>
      <c r="E57" s="10" t="s">
        <v>33</v>
      </c>
      <c r="F57" s="10" t="s">
        <v>34</v>
      </c>
      <c r="G57" s="55" t="str">
        <f t="shared" si="1"/>
        <v>Obsolete</v>
      </c>
      <c r="H57" s="10">
        <v>7</v>
      </c>
      <c r="I57" s="13"/>
      <c r="J57" s="56"/>
      <c r="K57" s="57"/>
      <c r="M57" s="14"/>
      <c r="N57" s="14"/>
      <c r="O57" s="14"/>
      <c r="P57" s="14"/>
      <c r="Q57" s="14"/>
      <c r="R57" s="14"/>
      <c r="S57" s="14"/>
      <c r="T57" s="70"/>
      <c r="U57" s="76" t="s">
        <v>54</v>
      </c>
      <c r="V57" s="76"/>
      <c r="W57" s="76" t="s">
        <v>54</v>
      </c>
      <c r="X57" s="76"/>
      <c r="Y57" s="77"/>
      <c r="Z57" s="78"/>
      <c r="AA57" s="79" t="s">
        <v>36</v>
      </c>
      <c r="AB57" s="79" t="s">
        <v>37</v>
      </c>
      <c r="AC57" s="79" t="s">
        <v>37</v>
      </c>
      <c r="AD57" s="79"/>
      <c r="AE57" s="79" t="s">
        <v>39</v>
      </c>
      <c r="AF57" s="79" t="s">
        <v>40</v>
      </c>
      <c r="AG57" s="80" t="s">
        <v>41</v>
      </c>
      <c r="AH57" s="79"/>
      <c r="AI57" s="53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</row>
    <row r="58" spans="1:110" ht="13.8" x14ac:dyDescent="0.25">
      <c r="A58" s="10">
        <v>1101231</v>
      </c>
      <c r="B58" s="11" t="s">
        <v>30</v>
      </c>
      <c r="C58" s="12" t="s">
        <v>152</v>
      </c>
      <c r="D58" s="11" t="s">
        <v>66</v>
      </c>
      <c r="E58" s="10" t="s">
        <v>1619</v>
      </c>
      <c r="F58" s="10" t="s">
        <v>34</v>
      </c>
      <c r="G58" s="55">
        <f t="shared" si="1"/>
        <v>3.7199999999999998</v>
      </c>
      <c r="H58" s="10">
        <v>10</v>
      </c>
      <c r="I58" s="13">
        <v>55</v>
      </c>
      <c r="J58" s="56"/>
      <c r="K58" s="57"/>
      <c r="M58" s="14">
        <v>2.4</v>
      </c>
      <c r="N58" s="14"/>
      <c r="O58" s="14"/>
      <c r="P58" s="14"/>
      <c r="Q58" s="14"/>
      <c r="R58" s="14"/>
      <c r="S58" s="14"/>
      <c r="T58" s="70"/>
      <c r="U58" s="76">
        <v>3</v>
      </c>
      <c r="V58" s="76">
        <v>0.72</v>
      </c>
      <c r="W58" s="76">
        <v>2.5099999999999998</v>
      </c>
      <c r="X58" s="76">
        <v>0.72</v>
      </c>
      <c r="Y58" s="77" t="s">
        <v>37</v>
      </c>
      <c r="Z58" s="78">
        <v>55</v>
      </c>
      <c r="AA58" s="79" t="s">
        <v>36</v>
      </c>
      <c r="AB58" s="79" t="s">
        <v>35</v>
      </c>
      <c r="AC58" s="79" t="s">
        <v>37</v>
      </c>
      <c r="AD58" s="79" t="s">
        <v>38</v>
      </c>
      <c r="AE58" s="79" t="s">
        <v>133</v>
      </c>
      <c r="AF58" s="79" t="s">
        <v>134</v>
      </c>
      <c r="AG58" s="90" t="s">
        <v>135</v>
      </c>
      <c r="AH58" s="79"/>
      <c r="AI58" s="53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</row>
    <row r="59" spans="1:110" ht="13.8" x14ac:dyDescent="0.25">
      <c r="A59" s="10">
        <v>1101232</v>
      </c>
      <c r="B59" s="11" t="s">
        <v>30</v>
      </c>
      <c r="C59" s="12" t="s">
        <v>153</v>
      </c>
      <c r="D59" s="11" t="s">
        <v>143</v>
      </c>
      <c r="E59" s="10" t="s">
        <v>33</v>
      </c>
      <c r="F59" s="10" t="s">
        <v>34</v>
      </c>
      <c r="G59" s="55">
        <f t="shared" si="1"/>
        <v>2.0369999999999999</v>
      </c>
      <c r="H59" s="10">
        <v>6</v>
      </c>
      <c r="I59" s="13">
        <v>8800</v>
      </c>
      <c r="J59" s="56">
        <v>44348</v>
      </c>
      <c r="K59" s="57">
        <v>1.9595213687619639</v>
      </c>
      <c r="M59" s="14"/>
      <c r="N59" s="14"/>
      <c r="O59" s="15">
        <v>2.7669999999999999</v>
      </c>
      <c r="P59" s="14"/>
      <c r="Q59" s="14"/>
      <c r="R59" s="15">
        <v>2.617</v>
      </c>
      <c r="S59" s="14"/>
      <c r="T59" s="71">
        <v>2.0369999999999999</v>
      </c>
      <c r="U59" s="77">
        <v>2.0369999999999999</v>
      </c>
      <c r="V59" s="76">
        <v>0</v>
      </c>
      <c r="W59" s="77">
        <v>2.0369999999999999</v>
      </c>
      <c r="X59" s="76">
        <v>0</v>
      </c>
      <c r="Y59" s="77" t="s">
        <v>35</v>
      </c>
      <c r="Z59" s="78">
        <v>1500</v>
      </c>
      <c r="AA59" s="79" t="s">
        <v>36</v>
      </c>
      <c r="AB59" s="79" t="s">
        <v>35</v>
      </c>
      <c r="AC59" s="79" t="s">
        <v>37</v>
      </c>
      <c r="AD59" s="79" t="s">
        <v>38</v>
      </c>
      <c r="AE59" s="79" t="s">
        <v>39</v>
      </c>
      <c r="AF59" s="79" t="s">
        <v>40</v>
      </c>
      <c r="AG59" s="80" t="s">
        <v>41</v>
      </c>
      <c r="AH59" s="79"/>
      <c r="AI59" s="53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</row>
    <row r="60" spans="1:110" ht="13.8" x14ac:dyDescent="0.25">
      <c r="A60" s="10">
        <v>1101233</v>
      </c>
      <c r="B60" s="11" t="s">
        <v>30</v>
      </c>
      <c r="C60" s="12" t="s">
        <v>154</v>
      </c>
      <c r="D60" s="11" t="s">
        <v>155</v>
      </c>
      <c r="E60" s="10" t="s">
        <v>1619</v>
      </c>
      <c r="F60" s="10" t="s">
        <v>34</v>
      </c>
      <c r="G60" s="55">
        <f t="shared" si="1"/>
        <v>4.0949999999999998</v>
      </c>
      <c r="H60" s="10">
        <v>10</v>
      </c>
      <c r="I60" s="13">
        <v>275</v>
      </c>
      <c r="J60" s="56">
        <v>44489</v>
      </c>
      <c r="K60" s="57">
        <v>3.9350000000000001</v>
      </c>
      <c r="M60" s="14">
        <v>4.05</v>
      </c>
      <c r="N60" s="14"/>
      <c r="O60" s="14"/>
      <c r="P60" s="14"/>
      <c r="Q60" s="14"/>
      <c r="R60" s="14"/>
      <c r="S60" s="14"/>
      <c r="T60" s="70"/>
      <c r="U60" s="76">
        <v>4.05</v>
      </c>
      <c r="V60" s="76">
        <v>4.4999999999999998E-2</v>
      </c>
      <c r="W60" s="76">
        <v>4.05</v>
      </c>
      <c r="X60" s="76">
        <v>4.4999999999999998E-2</v>
      </c>
      <c r="Y60" s="77" t="s">
        <v>37</v>
      </c>
      <c r="Z60" s="78">
        <v>55</v>
      </c>
      <c r="AA60" s="79" t="s">
        <v>36</v>
      </c>
      <c r="AB60" s="79" t="s">
        <v>35</v>
      </c>
      <c r="AC60" s="79" t="s">
        <v>37</v>
      </c>
      <c r="AD60" s="79" t="s">
        <v>38</v>
      </c>
      <c r="AE60" s="79" t="s">
        <v>50</v>
      </c>
      <c r="AF60" s="79" t="s">
        <v>51</v>
      </c>
      <c r="AG60" s="82" t="s">
        <v>52</v>
      </c>
      <c r="AH60" s="79"/>
      <c r="AI60" s="53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</row>
    <row r="61" spans="1:110" ht="13.8" x14ac:dyDescent="0.25">
      <c r="A61" s="10">
        <v>1101234</v>
      </c>
      <c r="B61" s="11" t="s">
        <v>30</v>
      </c>
      <c r="C61" s="12" t="s">
        <v>156</v>
      </c>
      <c r="D61" s="11" t="s">
        <v>49</v>
      </c>
      <c r="E61" s="10" t="s">
        <v>1619</v>
      </c>
      <c r="F61" s="10" t="s">
        <v>34</v>
      </c>
      <c r="G61" s="55" t="str">
        <f t="shared" si="1"/>
        <v>Obsolete</v>
      </c>
      <c r="H61" s="10">
        <v>10</v>
      </c>
      <c r="I61" s="13">
        <v>55</v>
      </c>
      <c r="J61" s="56"/>
      <c r="K61" s="57"/>
      <c r="M61" s="14">
        <v>2.77</v>
      </c>
      <c r="N61" s="14"/>
      <c r="O61" s="14"/>
      <c r="P61" s="14"/>
      <c r="Q61" s="14"/>
      <c r="R61" s="14"/>
      <c r="S61" s="14"/>
      <c r="T61" s="70"/>
      <c r="U61" s="76" t="s">
        <v>54</v>
      </c>
      <c r="V61" s="76">
        <v>0</v>
      </c>
      <c r="W61" s="76" t="s">
        <v>54</v>
      </c>
      <c r="X61" s="76">
        <v>0</v>
      </c>
      <c r="Y61" s="77" t="s">
        <v>37</v>
      </c>
      <c r="Z61" s="78">
        <v>55</v>
      </c>
      <c r="AA61" s="79" t="s">
        <v>36</v>
      </c>
      <c r="AB61" s="79" t="s">
        <v>37</v>
      </c>
      <c r="AC61" s="79" t="s">
        <v>37</v>
      </c>
      <c r="AD61" s="79" t="s">
        <v>38</v>
      </c>
      <c r="AE61" s="79" t="s">
        <v>50</v>
      </c>
      <c r="AF61" s="79" t="s">
        <v>51</v>
      </c>
      <c r="AG61" s="82" t="s">
        <v>52</v>
      </c>
      <c r="AH61" s="79"/>
      <c r="AI61" s="53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</row>
    <row r="62" spans="1:110" ht="13.8" x14ac:dyDescent="0.25">
      <c r="A62" s="10">
        <v>1101235</v>
      </c>
      <c r="B62" s="11" t="s">
        <v>30</v>
      </c>
      <c r="C62" s="16" t="s">
        <v>157</v>
      </c>
      <c r="D62" s="11"/>
      <c r="E62" s="10" t="s">
        <v>33</v>
      </c>
      <c r="F62" s="10" t="s">
        <v>34</v>
      </c>
      <c r="G62" s="55" t="str">
        <f t="shared" si="1"/>
        <v>Obsolete</v>
      </c>
      <c r="H62" s="10">
        <v>9</v>
      </c>
      <c r="I62" s="13" t="s">
        <v>158</v>
      </c>
      <c r="J62" s="56"/>
      <c r="K62" s="57"/>
      <c r="M62" s="14"/>
      <c r="N62" s="14"/>
      <c r="O62" s="14">
        <v>3.62</v>
      </c>
      <c r="P62" s="14"/>
      <c r="Q62" s="14"/>
      <c r="R62" s="14"/>
      <c r="S62" s="14"/>
      <c r="T62" s="70"/>
      <c r="U62" s="76" t="s">
        <v>54</v>
      </c>
      <c r="V62" s="76"/>
      <c r="W62" s="76" t="s">
        <v>54</v>
      </c>
      <c r="X62" s="76"/>
      <c r="Y62" s="77"/>
      <c r="Z62" s="78"/>
      <c r="AA62" s="79" t="s">
        <v>36</v>
      </c>
      <c r="AB62" s="79" t="s">
        <v>37</v>
      </c>
      <c r="AC62" s="79" t="s">
        <v>37</v>
      </c>
      <c r="AD62" s="79"/>
      <c r="AE62" s="79" t="s">
        <v>39</v>
      </c>
      <c r="AF62" s="79" t="s">
        <v>40</v>
      </c>
      <c r="AG62" s="80" t="s">
        <v>41</v>
      </c>
      <c r="AH62" s="79"/>
      <c r="AI62" s="53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</row>
    <row r="63" spans="1:110" ht="13.8" x14ac:dyDescent="0.25">
      <c r="A63" s="10">
        <v>1101236</v>
      </c>
      <c r="B63" s="11" t="s">
        <v>30</v>
      </c>
      <c r="C63" s="12" t="s">
        <v>159</v>
      </c>
      <c r="D63" s="11" t="s">
        <v>143</v>
      </c>
      <c r="E63" s="10" t="s">
        <v>33</v>
      </c>
      <c r="F63" s="10" t="s">
        <v>34</v>
      </c>
      <c r="G63" s="55" t="str">
        <f t="shared" si="1"/>
        <v>Obsolete</v>
      </c>
      <c r="H63" s="10">
        <v>9</v>
      </c>
      <c r="I63" s="13"/>
      <c r="J63" s="56"/>
      <c r="K63" s="57"/>
      <c r="M63" s="14"/>
      <c r="N63" s="14"/>
      <c r="O63" s="14"/>
      <c r="P63" s="14"/>
      <c r="Q63" s="14"/>
      <c r="R63" s="14"/>
      <c r="S63" s="14"/>
      <c r="T63" s="70"/>
      <c r="U63" s="76" t="s">
        <v>54</v>
      </c>
      <c r="V63" s="76" t="s">
        <v>38</v>
      </c>
      <c r="W63" s="76" t="s">
        <v>54</v>
      </c>
      <c r="X63" s="76" t="s">
        <v>38</v>
      </c>
      <c r="Y63" s="77"/>
      <c r="Z63" s="78"/>
      <c r="AA63" s="79" t="s">
        <v>36</v>
      </c>
      <c r="AB63" s="79" t="s">
        <v>37</v>
      </c>
      <c r="AC63" s="79" t="s">
        <v>37</v>
      </c>
      <c r="AD63" s="79"/>
      <c r="AE63" s="79" t="s">
        <v>39</v>
      </c>
      <c r="AF63" s="79" t="s">
        <v>40</v>
      </c>
      <c r="AG63" s="80" t="s">
        <v>41</v>
      </c>
      <c r="AH63" s="79"/>
      <c r="AI63" s="53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</row>
    <row r="64" spans="1:110" ht="13.8" x14ac:dyDescent="0.25">
      <c r="A64" s="10">
        <v>1101237</v>
      </c>
      <c r="B64" s="11" t="s">
        <v>30</v>
      </c>
      <c r="C64" s="12" t="s">
        <v>160</v>
      </c>
      <c r="D64" s="11" t="s">
        <v>143</v>
      </c>
      <c r="E64" s="10" t="s">
        <v>33</v>
      </c>
      <c r="F64" s="10" t="s">
        <v>34</v>
      </c>
      <c r="G64" s="55" t="str">
        <f t="shared" si="1"/>
        <v>Obsolete</v>
      </c>
      <c r="H64" s="10">
        <v>9</v>
      </c>
      <c r="I64" s="13">
        <v>1500</v>
      </c>
      <c r="J64" s="56"/>
      <c r="K64" s="57"/>
      <c r="M64" s="14"/>
      <c r="N64" s="14"/>
      <c r="O64" s="14"/>
      <c r="P64" s="14"/>
      <c r="Q64" s="14"/>
      <c r="R64" s="14"/>
      <c r="S64" s="14"/>
      <c r="T64" s="70"/>
      <c r="U64" s="76" t="s">
        <v>54</v>
      </c>
      <c r="V64" s="76"/>
      <c r="W64" s="76" t="s">
        <v>54</v>
      </c>
      <c r="X64" s="76"/>
      <c r="Y64" s="77"/>
      <c r="Z64" s="78">
        <v>55</v>
      </c>
      <c r="AA64" s="79" t="s">
        <v>36</v>
      </c>
      <c r="AB64" s="79" t="s">
        <v>37</v>
      </c>
      <c r="AC64" s="79" t="s">
        <v>37</v>
      </c>
      <c r="AD64" s="79"/>
      <c r="AE64" s="79" t="s">
        <v>39</v>
      </c>
      <c r="AF64" s="79" t="s">
        <v>40</v>
      </c>
      <c r="AG64" s="80" t="s">
        <v>41</v>
      </c>
      <c r="AH64" s="79"/>
      <c r="AI64" s="53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</row>
    <row r="65" spans="1:110" ht="13.8" x14ac:dyDescent="0.25">
      <c r="A65" s="10">
        <v>1101238</v>
      </c>
      <c r="B65" s="11" t="s">
        <v>30</v>
      </c>
      <c r="C65" s="12" t="s">
        <v>161</v>
      </c>
      <c r="D65" s="11" t="s">
        <v>143</v>
      </c>
      <c r="E65" s="10" t="s">
        <v>33</v>
      </c>
      <c r="F65" s="10" t="s">
        <v>34</v>
      </c>
      <c r="G65" s="55">
        <f t="shared" si="1"/>
        <v>3.33</v>
      </c>
      <c r="H65" s="10">
        <v>8</v>
      </c>
      <c r="I65" s="13">
        <v>1100</v>
      </c>
      <c r="J65" s="56"/>
      <c r="K65" s="57"/>
      <c r="M65" s="14"/>
      <c r="N65" s="14"/>
      <c r="O65" s="14"/>
      <c r="P65" s="14"/>
      <c r="Q65" s="14"/>
      <c r="R65" s="14"/>
      <c r="S65" s="14"/>
      <c r="T65" s="70">
        <v>3.33</v>
      </c>
      <c r="U65" s="76">
        <v>3.33</v>
      </c>
      <c r="V65" s="76">
        <v>0</v>
      </c>
      <c r="W65" s="76">
        <v>3.33</v>
      </c>
      <c r="X65" s="76">
        <v>0</v>
      </c>
      <c r="Y65" s="77" t="s">
        <v>35</v>
      </c>
      <c r="Z65" s="78">
        <v>1500</v>
      </c>
      <c r="AA65" s="79" t="s">
        <v>162</v>
      </c>
      <c r="AB65" s="79" t="s">
        <v>35</v>
      </c>
      <c r="AC65" s="79" t="s">
        <v>35</v>
      </c>
      <c r="AD65" s="85">
        <v>41554</v>
      </c>
      <c r="AE65" s="79" t="s">
        <v>39</v>
      </c>
      <c r="AF65" s="79" t="s">
        <v>40</v>
      </c>
      <c r="AG65" s="80" t="s">
        <v>41</v>
      </c>
      <c r="AH65" s="79"/>
      <c r="AI65" s="53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</row>
    <row r="66" spans="1:110" ht="13.8" x14ac:dyDescent="0.25">
      <c r="A66" s="24">
        <v>1101239</v>
      </c>
      <c r="B66" s="11" t="s">
        <v>30</v>
      </c>
      <c r="C66" s="16" t="s">
        <v>163</v>
      </c>
      <c r="D66" s="10" t="s">
        <v>143</v>
      </c>
      <c r="E66" s="10" t="s">
        <v>164</v>
      </c>
      <c r="F66" s="10" t="s">
        <v>34</v>
      </c>
      <c r="G66" s="55">
        <f t="shared" si="1"/>
        <v>1.95</v>
      </c>
      <c r="H66" s="10">
        <v>12</v>
      </c>
      <c r="I66" s="13">
        <v>1500</v>
      </c>
      <c r="J66" s="56"/>
      <c r="K66" s="57"/>
      <c r="M66" s="15"/>
      <c r="N66" s="15"/>
      <c r="O66" s="15"/>
      <c r="P66" s="15"/>
      <c r="Q66" s="15"/>
      <c r="R66" s="15"/>
      <c r="S66" s="15"/>
      <c r="T66" s="71">
        <v>1.66</v>
      </c>
      <c r="U66" s="76">
        <v>1.66</v>
      </c>
      <c r="V66" s="76">
        <v>0.28999999999999998</v>
      </c>
      <c r="W66" s="76">
        <v>1.66</v>
      </c>
      <c r="X66" s="76">
        <v>0.28999999999999998</v>
      </c>
      <c r="Y66" s="77" t="s">
        <v>35</v>
      </c>
      <c r="Z66" s="87">
        <v>1500</v>
      </c>
      <c r="AA66" s="79" t="s">
        <v>36</v>
      </c>
      <c r="AB66" s="79" t="s">
        <v>35</v>
      </c>
      <c r="AC66" s="79" t="s">
        <v>37</v>
      </c>
      <c r="AD66" s="79" t="s">
        <v>38</v>
      </c>
      <c r="AE66" s="79" t="s">
        <v>165</v>
      </c>
      <c r="AF66" s="79" t="s">
        <v>166</v>
      </c>
      <c r="AG66" s="80" t="s">
        <v>167</v>
      </c>
      <c r="AH66" s="79"/>
      <c r="AI66" s="53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</row>
    <row r="67" spans="1:110" ht="13.8" x14ac:dyDescent="0.25">
      <c r="A67" s="10">
        <v>1101240</v>
      </c>
      <c r="B67" s="11" t="s">
        <v>30</v>
      </c>
      <c r="C67" s="16" t="s">
        <v>168</v>
      </c>
      <c r="D67" s="10" t="s">
        <v>143</v>
      </c>
      <c r="E67" s="10" t="s">
        <v>169</v>
      </c>
      <c r="F67" s="10" t="s">
        <v>34</v>
      </c>
      <c r="G67" s="58" t="s">
        <v>170</v>
      </c>
      <c r="H67" s="10"/>
      <c r="I67" s="13"/>
      <c r="J67" s="56"/>
      <c r="K67" s="57"/>
      <c r="M67" s="15"/>
      <c r="N67" s="15"/>
      <c r="O67" s="15"/>
      <c r="P67" s="15"/>
      <c r="Q67" s="15"/>
      <c r="R67" s="15"/>
      <c r="S67" s="15"/>
      <c r="T67" s="71"/>
      <c r="U67" s="77">
        <v>0</v>
      </c>
      <c r="V67" s="77">
        <v>0</v>
      </c>
      <c r="W67" s="77">
        <v>0</v>
      </c>
      <c r="X67" s="77">
        <v>0</v>
      </c>
      <c r="Y67" s="77"/>
      <c r="Z67" s="87"/>
      <c r="AA67" s="79" t="s">
        <v>36</v>
      </c>
      <c r="AB67" s="79" t="s">
        <v>37</v>
      </c>
      <c r="AC67" s="79" t="s">
        <v>37</v>
      </c>
      <c r="AD67" s="79" t="s">
        <v>38</v>
      </c>
      <c r="AE67" s="91" t="s">
        <v>57</v>
      </c>
      <c r="AF67" s="91" t="s">
        <v>57</v>
      </c>
      <c r="AG67" s="91" t="s">
        <v>57</v>
      </c>
      <c r="AH67" s="79"/>
      <c r="AI67" s="53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</row>
    <row r="68" spans="1:110" ht="13.8" x14ac:dyDescent="0.25">
      <c r="A68" s="125">
        <v>1101241</v>
      </c>
      <c r="B68" s="11" t="s">
        <v>30</v>
      </c>
      <c r="C68" s="16" t="s">
        <v>171</v>
      </c>
      <c r="D68" s="10" t="s">
        <v>143</v>
      </c>
      <c r="E68" s="10" t="s">
        <v>172</v>
      </c>
      <c r="F68" s="10" t="s">
        <v>34</v>
      </c>
      <c r="G68" s="55">
        <f t="shared" ref="G68:G131" si="2">IF(U68="Obsolete",U68,U68+V68)</f>
        <v>2.85</v>
      </c>
      <c r="H68" s="10">
        <v>20</v>
      </c>
      <c r="I68" s="13">
        <v>35274</v>
      </c>
      <c r="J68" s="56">
        <v>44616</v>
      </c>
      <c r="K68" s="57">
        <v>1.66</v>
      </c>
      <c r="M68" s="15"/>
      <c r="N68" s="15"/>
      <c r="O68" s="15"/>
      <c r="P68" s="15"/>
      <c r="Q68" s="15"/>
      <c r="R68" s="15"/>
      <c r="S68" s="15"/>
      <c r="T68" s="71">
        <v>2.85</v>
      </c>
      <c r="U68" s="71">
        <v>2.85</v>
      </c>
      <c r="V68" s="77">
        <v>0</v>
      </c>
      <c r="W68" s="71">
        <v>2.85</v>
      </c>
      <c r="X68" s="77">
        <v>0</v>
      </c>
      <c r="Y68" s="77" t="s">
        <v>35</v>
      </c>
      <c r="Z68" s="87">
        <v>55</v>
      </c>
      <c r="AA68" s="79" t="s">
        <v>36</v>
      </c>
      <c r="AB68" s="79" t="s">
        <v>37</v>
      </c>
      <c r="AC68" s="79" t="s">
        <v>37</v>
      </c>
      <c r="AD68" s="79" t="s">
        <v>38</v>
      </c>
      <c r="AE68" s="79" t="s">
        <v>173</v>
      </c>
      <c r="AF68" s="79" t="s">
        <v>174</v>
      </c>
      <c r="AG68" s="82" t="s">
        <v>175</v>
      </c>
      <c r="AH68" s="79"/>
      <c r="AI68" s="53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</row>
    <row r="69" spans="1:110" ht="13.8" x14ac:dyDescent="0.25">
      <c r="A69" s="10">
        <v>1101242</v>
      </c>
      <c r="B69" s="11" t="s">
        <v>30</v>
      </c>
      <c r="C69" s="16" t="s">
        <v>176</v>
      </c>
      <c r="D69" s="10" t="s">
        <v>143</v>
      </c>
      <c r="E69" s="10" t="s">
        <v>33</v>
      </c>
      <c r="F69" s="10" t="s">
        <v>34</v>
      </c>
      <c r="G69" s="55">
        <f t="shared" si="2"/>
        <v>0</v>
      </c>
      <c r="H69" s="10">
        <v>10</v>
      </c>
      <c r="I69" s="13"/>
      <c r="J69" s="56"/>
      <c r="K69" s="57"/>
      <c r="M69" s="15"/>
      <c r="N69" s="15"/>
      <c r="O69" s="15"/>
      <c r="P69" s="15"/>
      <c r="Q69" s="15"/>
      <c r="R69" s="15"/>
      <c r="S69" s="15"/>
      <c r="T69" s="71"/>
      <c r="U69" s="77">
        <v>0</v>
      </c>
      <c r="V69" s="77">
        <v>0</v>
      </c>
      <c r="W69" s="77">
        <v>0</v>
      </c>
      <c r="X69" s="77">
        <v>0</v>
      </c>
      <c r="Y69" s="77"/>
      <c r="Z69" s="87"/>
      <c r="AA69" s="79"/>
      <c r="AB69" s="79"/>
      <c r="AC69" s="79"/>
      <c r="AD69" s="79"/>
      <c r="AE69" s="79"/>
      <c r="AF69" s="79"/>
      <c r="AG69" s="92"/>
      <c r="AH69" s="79"/>
      <c r="AI69" s="53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</row>
    <row r="70" spans="1:110" ht="13.8" x14ac:dyDescent="0.25">
      <c r="A70" s="10">
        <v>1101260</v>
      </c>
      <c r="B70" s="11" t="s">
        <v>30</v>
      </c>
      <c r="C70" s="12" t="s">
        <v>177</v>
      </c>
      <c r="D70" s="11" t="s">
        <v>46</v>
      </c>
      <c r="E70" s="10" t="s">
        <v>1619</v>
      </c>
      <c r="F70" s="10" t="s">
        <v>34</v>
      </c>
      <c r="G70" s="55">
        <f t="shared" si="2"/>
        <v>4.1879999999999997</v>
      </c>
      <c r="H70" s="10">
        <v>10</v>
      </c>
      <c r="I70" s="13">
        <v>2200</v>
      </c>
      <c r="J70" s="56">
        <v>44461</v>
      </c>
      <c r="K70" s="57">
        <v>4.0779999999999994</v>
      </c>
      <c r="M70" s="14">
        <v>4.17</v>
      </c>
      <c r="N70" s="14"/>
      <c r="O70" s="14"/>
      <c r="P70" s="14"/>
      <c r="Q70" s="14"/>
      <c r="R70" s="14"/>
      <c r="S70" s="23"/>
      <c r="T70" s="70"/>
      <c r="U70" s="76">
        <v>4.17</v>
      </c>
      <c r="V70" s="76">
        <v>1.7999999999999999E-2</v>
      </c>
      <c r="W70" s="76">
        <v>4.17</v>
      </c>
      <c r="X70" s="76">
        <v>1.7999999999999999E-2</v>
      </c>
      <c r="Y70" s="77" t="s">
        <v>37</v>
      </c>
      <c r="Z70" s="78">
        <v>55</v>
      </c>
      <c r="AA70" s="79" t="s">
        <v>36</v>
      </c>
      <c r="AB70" s="79" t="s">
        <v>35</v>
      </c>
      <c r="AC70" s="79" t="s">
        <v>37</v>
      </c>
      <c r="AD70" s="79" t="s">
        <v>38</v>
      </c>
      <c r="AE70" s="79" t="s">
        <v>50</v>
      </c>
      <c r="AF70" s="79" t="s">
        <v>51</v>
      </c>
      <c r="AG70" s="82" t="s">
        <v>52</v>
      </c>
      <c r="AH70" s="79"/>
      <c r="AI70" s="53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</row>
    <row r="71" spans="1:110" ht="13.8" x14ac:dyDescent="0.25">
      <c r="A71" s="10">
        <v>1101261</v>
      </c>
      <c r="B71" s="11" t="s">
        <v>30</v>
      </c>
      <c r="C71" s="12" t="s">
        <v>178</v>
      </c>
      <c r="D71" s="11" t="s">
        <v>179</v>
      </c>
      <c r="E71" s="10" t="s">
        <v>1619</v>
      </c>
      <c r="F71" s="10" t="s">
        <v>34</v>
      </c>
      <c r="G71" s="55">
        <f t="shared" si="2"/>
        <v>6.19</v>
      </c>
      <c r="H71" s="10">
        <v>9</v>
      </c>
      <c r="I71" s="13">
        <v>110</v>
      </c>
      <c r="J71" s="56"/>
      <c r="K71" s="57"/>
      <c r="M71" s="14">
        <v>5.83</v>
      </c>
      <c r="N71" s="14"/>
      <c r="O71" s="14"/>
      <c r="P71" s="14"/>
      <c r="Q71" s="14"/>
      <c r="R71" s="14"/>
      <c r="S71" s="14"/>
      <c r="T71" s="70"/>
      <c r="U71" s="76">
        <v>5.83</v>
      </c>
      <c r="V71" s="76">
        <v>0.36</v>
      </c>
      <c r="W71" s="76">
        <v>5.83</v>
      </c>
      <c r="X71" s="76">
        <v>0.36</v>
      </c>
      <c r="Y71" s="77" t="s">
        <v>37</v>
      </c>
      <c r="Z71" s="78">
        <v>55</v>
      </c>
      <c r="AA71" s="79" t="s">
        <v>36</v>
      </c>
      <c r="AB71" s="79" t="s">
        <v>35</v>
      </c>
      <c r="AC71" s="79" t="s">
        <v>37</v>
      </c>
      <c r="AD71" s="79" t="s">
        <v>38</v>
      </c>
      <c r="AE71" s="79" t="s">
        <v>50</v>
      </c>
      <c r="AF71" s="79" t="s">
        <v>51</v>
      </c>
      <c r="AG71" s="82" t="s">
        <v>52</v>
      </c>
      <c r="AH71" s="79"/>
      <c r="AI71" s="53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</row>
    <row r="72" spans="1:110" ht="20.399999999999999" x14ac:dyDescent="0.25">
      <c r="A72" s="24">
        <v>1101265</v>
      </c>
      <c r="B72" s="11" t="s">
        <v>30</v>
      </c>
      <c r="C72" s="25" t="s">
        <v>180</v>
      </c>
      <c r="D72" s="26" t="s">
        <v>181</v>
      </c>
      <c r="E72" s="10" t="s">
        <v>1616</v>
      </c>
      <c r="F72" s="10" t="s">
        <v>34</v>
      </c>
      <c r="G72" s="55">
        <f t="shared" si="2"/>
        <v>2.9268000000000001</v>
      </c>
      <c r="H72" s="10">
        <v>4</v>
      </c>
      <c r="I72" s="13">
        <v>1650</v>
      </c>
      <c r="J72" s="56">
        <v>44441</v>
      </c>
      <c r="K72" s="57">
        <v>2.5568</v>
      </c>
      <c r="M72" s="14"/>
      <c r="N72" s="14"/>
      <c r="O72" s="14">
        <v>2.66</v>
      </c>
      <c r="P72" s="14"/>
      <c r="Q72" s="14"/>
      <c r="R72" s="14"/>
      <c r="S72" s="14"/>
      <c r="T72" s="70"/>
      <c r="U72" s="76">
        <v>2.66</v>
      </c>
      <c r="V72" s="76">
        <v>0.26679999999999998</v>
      </c>
      <c r="W72" s="76">
        <v>2.66</v>
      </c>
      <c r="X72" s="76">
        <f>0.045+0.1401</f>
        <v>0.18509999999999999</v>
      </c>
      <c r="Y72" s="77" t="s">
        <v>35</v>
      </c>
      <c r="Z72" s="87">
        <v>55</v>
      </c>
      <c r="AA72" s="79" t="s">
        <v>36</v>
      </c>
      <c r="AB72" s="79" t="s">
        <v>35</v>
      </c>
      <c r="AC72" s="79" t="s">
        <v>37</v>
      </c>
      <c r="AD72" s="79" t="s">
        <v>38</v>
      </c>
      <c r="AE72" s="79" t="s">
        <v>182</v>
      </c>
      <c r="AF72" s="79" t="s">
        <v>183</v>
      </c>
      <c r="AG72" s="94" t="s">
        <v>184</v>
      </c>
      <c r="AH72" s="79"/>
      <c r="AI72" s="53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</row>
    <row r="73" spans="1:110" ht="13.8" x14ac:dyDescent="0.25">
      <c r="A73" s="24">
        <v>1101266</v>
      </c>
      <c r="B73" s="11" t="s">
        <v>30</v>
      </c>
      <c r="C73" s="25" t="s">
        <v>185</v>
      </c>
      <c r="D73" s="26" t="s">
        <v>181</v>
      </c>
      <c r="E73" s="10" t="s">
        <v>1616</v>
      </c>
      <c r="F73" s="10" t="s">
        <v>34</v>
      </c>
      <c r="G73" s="55">
        <f t="shared" si="2"/>
        <v>2.9268000000000001</v>
      </c>
      <c r="H73" s="10">
        <v>4</v>
      </c>
      <c r="I73" s="13">
        <v>1650</v>
      </c>
      <c r="J73" s="56">
        <v>44441</v>
      </c>
      <c r="K73" s="57">
        <v>2.5568</v>
      </c>
      <c r="M73" s="14"/>
      <c r="N73" s="14"/>
      <c r="O73" s="14">
        <v>2.66</v>
      </c>
      <c r="P73" s="14"/>
      <c r="Q73" s="14"/>
      <c r="R73" s="14"/>
      <c r="S73" s="14"/>
      <c r="T73" s="70"/>
      <c r="U73" s="76">
        <v>2.66</v>
      </c>
      <c r="V73" s="76">
        <v>0.26679999999999998</v>
      </c>
      <c r="W73" s="76">
        <v>2.66</v>
      </c>
      <c r="X73" s="76">
        <f>0.045+0.1401</f>
        <v>0.18509999999999999</v>
      </c>
      <c r="Y73" s="77" t="s">
        <v>35</v>
      </c>
      <c r="Z73" s="95">
        <v>55</v>
      </c>
      <c r="AA73" s="83" t="s">
        <v>36</v>
      </c>
      <c r="AB73" s="83" t="s">
        <v>186</v>
      </c>
      <c r="AC73" s="79" t="s">
        <v>37</v>
      </c>
      <c r="AD73" s="79" t="s">
        <v>38</v>
      </c>
      <c r="AE73" s="79" t="s">
        <v>182</v>
      </c>
      <c r="AF73" s="79" t="s">
        <v>183</v>
      </c>
      <c r="AG73" s="79" t="s">
        <v>184</v>
      </c>
      <c r="AH73" s="96"/>
      <c r="AI73" s="73"/>
      <c r="AJ73" s="27"/>
      <c r="AK73" s="28"/>
      <c r="AL73" s="27"/>
      <c r="AM73" s="28"/>
      <c r="AN73" s="27"/>
      <c r="AO73" s="28"/>
      <c r="AP73" s="27"/>
      <c r="AQ73" s="28"/>
      <c r="AR73" s="27"/>
      <c r="AS73" s="28"/>
      <c r="AT73" s="27"/>
      <c r="AU73" s="28"/>
      <c r="AV73" s="27"/>
      <c r="AW73" s="28"/>
      <c r="AX73" s="27"/>
      <c r="AY73" s="28"/>
      <c r="AZ73" s="27"/>
      <c r="BA73" s="28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</row>
    <row r="74" spans="1:110" ht="13.8" x14ac:dyDescent="0.25">
      <c r="A74" s="10">
        <v>1101267</v>
      </c>
      <c r="B74" s="11" t="s">
        <v>30</v>
      </c>
      <c r="C74" s="16" t="s">
        <v>187</v>
      </c>
      <c r="D74" s="10" t="s">
        <v>32</v>
      </c>
      <c r="E74" s="10" t="s">
        <v>188</v>
      </c>
      <c r="F74" s="10" t="s">
        <v>34</v>
      </c>
      <c r="G74" s="55" t="str">
        <f t="shared" si="2"/>
        <v>Obsolete</v>
      </c>
      <c r="H74" s="10">
        <v>1</v>
      </c>
      <c r="I74" s="13"/>
      <c r="J74" s="56"/>
      <c r="K74" s="57"/>
      <c r="M74" s="15"/>
      <c r="N74" s="15"/>
      <c r="O74" s="15"/>
      <c r="P74" s="15"/>
      <c r="Q74" s="15"/>
      <c r="R74" s="15"/>
      <c r="S74" s="15"/>
      <c r="T74" s="71"/>
      <c r="U74" s="77" t="s">
        <v>54</v>
      </c>
      <c r="V74" s="77"/>
      <c r="W74" s="77" t="s">
        <v>54</v>
      </c>
      <c r="X74" s="77"/>
      <c r="Y74" s="77"/>
      <c r="Z74" s="87">
        <v>1300</v>
      </c>
      <c r="AA74" s="79" t="s">
        <v>189</v>
      </c>
      <c r="AB74" s="79" t="s">
        <v>35</v>
      </c>
      <c r="AC74" s="79" t="s">
        <v>35</v>
      </c>
      <c r="AD74" s="79"/>
      <c r="AE74" s="79" t="s">
        <v>190</v>
      </c>
      <c r="AF74" s="79" t="s">
        <v>191</v>
      </c>
      <c r="AG74" s="79" t="s">
        <v>192</v>
      </c>
      <c r="AH74" s="96"/>
      <c r="AI74" s="73"/>
      <c r="AJ74" s="27"/>
      <c r="AK74" s="28"/>
      <c r="AL74" s="27"/>
      <c r="AM74" s="28"/>
      <c r="AN74" s="27"/>
      <c r="AO74" s="28"/>
      <c r="AP74" s="27"/>
      <c r="AQ74" s="28"/>
      <c r="AR74" s="27"/>
      <c r="AS74" s="28"/>
      <c r="AT74" s="27"/>
      <c r="AU74" s="28"/>
      <c r="AV74" s="27"/>
      <c r="AW74" s="28"/>
      <c r="AX74" s="27"/>
      <c r="AY74" s="28"/>
      <c r="AZ74" s="27"/>
      <c r="BA74" s="28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</row>
    <row r="75" spans="1:110" ht="13.8" x14ac:dyDescent="0.25">
      <c r="A75" s="10">
        <v>1102003</v>
      </c>
      <c r="B75" s="11" t="s">
        <v>30</v>
      </c>
      <c r="C75" s="12" t="s">
        <v>193</v>
      </c>
      <c r="D75" s="11" t="s">
        <v>66</v>
      </c>
      <c r="E75" s="10" t="s">
        <v>194</v>
      </c>
      <c r="F75" s="10" t="s">
        <v>34</v>
      </c>
      <c r="G75" s="55">
        <f t="shared" si="2"/>
        <v>1.02</v>
      </c>
      <c r="H75" s="10">
        <v>2</v>
      </c>
      <c r="I75" s="13">
        <v>1650</v>
      </c>
      <c r="J75" s="56"/>
      <c r="K75" s="57"/>
      <c r="M75" s="14"/>
      <c r="N75" s="14"/>
      <c r="O75" s="14"/>
      <c r="P75" s="14"/>
      <c r="Q75" s="14"/>
      <c r="R75" s="14"/>
      <c r="S75" s="14"/>
      <c r="T75" s="70"/>
      <c r="U75" s="76">
        <v>1.01</v>
      </c>
      <c r="V75" s="76">
        <v>0.01</v>
      </c>
      <c r="W75" s="76">
        <v>1.01</v>
      </c>
      <c r="X75" s="76">
        <v>0.01</v>
      </c>
      <c r="Y75" s="89"/>
      <c r="Z75" s="78">
        <v>1650</v>
      </c>
      <c r="AA75" s="79" t="s">
        <v>36</v>
      </c>
      <c r="AB75" s="79" t="s">
        <v>37</v>
      </c>
      <c r="AC75" s="79" t="s">
        <v>37</v>
      </c>
      <c r="AD75" s="79"/>
      <c r="AE75" s="79" t="s">
        <v>195</v>
      </c>
      <c r="AF75" s="79" t="s">
        <v>196</v>
      </c>
      <c r="AG75" s="79" t="s">
        <v>197</v>
      </c>
      <c r="AH75" s="96"/>
      <c r="AI75" s="73"/>
      <c r="AJ75" s="27"/>
      <c r="AK75" s="28"/>
      <c r="AL75" s="27"/>
      <c r="AM75" s="28"/>
      <c r="AN75" s="27"/>
      <c r="AO75" s="28"/>
      <c r="AP75" s="27"/>
      <c r="AQ75" s="28"/>
      <c r="AR75" s="27"/>
      <c r="AS75" s="28"/>
      <c r="AT75" s="27"/>
      <c r="AU75" s="28"/>
      <c r="AV75" s="27"/>
      <c r="AW75" s="28"/>
      <c r="AX75" s="27"/>
      <c r="AY75" s="28"/>
      <c r="AZ75" s="27"/>
      <c r="BA75" s="28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</row>
    <row r="76" spans="1:110" ht="13.8" x14ac:dyDescent="0.25">
      <c r="A76" s="24">
        <v>1102004</v>
      </c>
      <c r="B76" s="11" t="s">
        <v>30</v>
      </c>
      <c r="C76" s="25" t="s">
        <v>198</v>
      </c>
      <c r="D76" s="26" t="s">
        <v>66</v>
      </c>
      <c r="E76" s="10" t="s">
        <v>36</v>
      </c>
      <c r="F76" s="10" t="s">
        <v>34</v>
      </c>
      <c r="G76" s="55" t="str">
        <f t="shared" si="2"/>
        <v>Obsolete</v>
      </c>
      <c r="H76" s="10">
        <v>7</v>
      </c>
      <c r="I76" s="13">
        <v>1100</v>
      </c>
      <c r="J76" s="56"/>
      <c r="K76" s="57"/>
      <c r="M76" s="14"/>
      <c r="N76" s="14"/>
      <c r="O76" s="14">
        <v>2.29</v>
      </c>
      <c r="P76" s="14"/>
      <c r="Q76" s="14"/>
      <c r="R76" s="14"/>
      <c r="S76" s="14"/>
      <c r="T76" s="70"/>
      <c r="U76" s="76" t="s">
        <v>54</v>
      </c>
      <c r="V76" s="76"/>
      <c r="W76" s="76" t="s">
        <v>54</v>
      </c>
      <c r="X76" s="76"/>
      <c r="Y76" s="89"/>
      <c r="Z76" s="87">
        <v>1100</v>
      </c>
      <c r="AA76" s="79" t="s">
        <v>36</v>
      </c>
      <c r="AB76" s="79" t="s">
        <v>37</v>
      </c>
      <c r="AC76" s="79" t="s">
        <v>37</v>
      </c>
      <c r="AD76" s="79"/>
      <c r="AE76" s="79"/>
      <c r="AF76" s="79"/>
      <c r="AG76" s="79"/>
      <c r="AH76" s="96"/>
      <c r="AI76" s="73"/>
      <c r="AJ76" s="27"/>
      <c r="AK76" s="28"/>
      <c r="AL76" s="27"/>
      <c r="AM76" s="28"/>
      <c r="AN76" s="27"/>
      <c r="AO76" s="28"/>
      <c r="AP76" s="27"/>
      <c r="AQ76" s="28"/>
      <c r="AR76" s="27"/>
      <c r="AS76" s="28"/>
      <c r="AT76" s="27"/>
      <c r="AU76" s="28"/>
      <c r="AV76" s="27"/>
      <c r="AW76" s="28"/>
      <c r="AX76" s="27"/>
      <c r="AY76" s="28"/>
      <c r="AZ76" s="27"/>
      <c r="BA76" s="28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</row>
    <row r="77" spans="1:110" ht="13.8" x14ac:dyDescent="0.25">
      <c r="A77" s="24">
        <v>1102005</v>
      </c>
      <c r="B77" s="11" t="s">
        <v>30</v>
      </c>
      <c r="C77" s="25" t="s">
        <v>199</v>
      </c>
      <c r="D77" s="26" t="s">
        <v>66</v>
      </c>
      <c r="E77" s="10" t="s">
        <v>33</v>
      </c>
      <c r="F77" s="10" t="s">
        <v>34</v>
      </c>
      <c r="G77" s="55" t="str">
        <f t="shared" si="2"/>
        <v>Obsolete</v>
      </c>
      <c r="H77" s="10">
        <v>6</v>
      </c>
      <c r="I77" s="13"/>
      <c r="J77" s="56"/>
      <c r="K77" s="57"/>
      <c r="M77" s="14"/>
      <c r="N77" s="14"/>
      <c r="O77" s="14"/>
      <c r="P77" s="14"/>
      <c r="Q77" s="14"/>
      <c r="R77" s="14"/>
      <c r="S77" s="14"/>
      <c r="T77" s="70"/>
      <c r="U77" s="76" t="s">
        <v>54</v>
      </c>
      <c r="V77" s="76"/>
      <c r="W77" s="76" t="s">
        <v>54</v>
      </c>
      <c r="X77" s="76"/>
      <c r="Y77" s="77"/>
      <c r="Z77" s="78"/>
      <c r="AA77" s="79" t="s">
        <v>189</v>
      </c>
      <c r="AB77" s="79" t="s">
        <v>37</v>
      </c>
      <c r="AC77" s="79" t="s">
        <v>37</v>
      </c>
      <c r="AD77" s="79"/>
      <c r="AE77" s="79" t="s">
        <v>39</v>
      </c>
      <c r="AF77" s="79" t="s">
        <v>40</v>
      </c>
      <c r="AG77" s="79" t="s">
        <v>41</v>
      </c>
      <c r="AH77" s="96"/>
      <c r="AI77" s="73"/>
      <c r="AJ77" s="27"/>
      <c r="AK77" s="28"/>
      <c r="AL77" s="27"/>
      <c r="AM77" s="28"/>
      <c r="AN77" s="27"/>
      <c r="AO77" s="28"/>
      <c r="AP77" s="27"/>
      <c r="AQ77" s="28"/>
      <c r="AR77" s="27"/>
      <c r="AS77" s="28"/>
      <c r="AT77" s="27"/>
      <c r="AU77" s="28"/>
      <c r="AV77" s="27"/>
      <c r="AW77" s="28"/>
      <c r="AX77" s="27"/>
      <c r="AY77" s="28"/>
      <c r="AZ77" s="27"/>
      <c r="BA77" s="28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</row>
    <row r="78" spans="1:110" ht="13.8" x14ac:dyDescent="0.25">
      <c r="A78" s="24">
        <v>1102006</v>
      </c>
      <c r="B78" s="11" t="s">
        <v>30</v>
      </c>
      <c r="C78" s="25" t="s">
        <v>200</v>
      </c>
      <c r="D78" s="26" t="s">
        <v>66</v>
      </c>
      <c r="E78" s="10" t="s">
        <v>194</v>
      </c>
      <c r="F78" s="10" t="s">
        <v>34</v>
      </c>
      <c r="G78" s="55" t="str">
        <f t="shared" si="2"/>
        <v>Obsolete</v>
      </c>
      <c r="H78" s="10"/>
      <c r="I78" s="13">
        <v>1650</v>
      </c>
      <c r="J78" s="56"/>
      <c r="K78" s="57"/>
      <c r="M78" s="14"/>
      <c r="N78" s="14"/>
      <c r="O78" s="14"/>
      <c r="P78" s="14">
        <v>1.3</v>
      </c>
      <c r="Q78" s="14"/>
      <c r="R78" s="14"/>
      <c r="S78" s="14"/>
      <c r="T78" s="70"/>
      <c r="U78" s="76" t="s">
        <v>54</v>
      </c>
      <c r="V78" s="76"/>
      <c r="W78" s="76" t="s">
        <v>54</v>
      </c>
      <c r="X78" s="76"/>
      <c r="Y78" s="97"/>
      <c r="Z78" s="78">
        <v>1650</v>
      </c>
      <c r="AA78" s="79" t="s">
        <v>36</v>
      </c>
      <c r="AB78" s="79" t="s">
        <v>37</v>
      </c>
      <c r="AC78" s="79" t="s">
        <v>37</v>
      </c>
      <c r="AD78" s="79"/>
      <c r="AE78" s="79" t="s">
        <v>201</v>
      </c>
      <c r="AF78" s="79" t="s">
        <v>202</v>
      </c>
      <c r="AG78" s="79" t="s">
        <v>203</v>
      </c>
      <c r="AH78" s="96"/>
      <c r="AI78" s="73"/>
      <c r="AJ78" s="27"/>
      <c r="AK78" s="28"/>
      <c r="AL78" s="27"/>
      <c r="AM78" s="28"/>
      <c r="AN78" s="27"/>
      <c r="AO78" s="28"/>
      <c r="AP78" s="27"/>
      <c r="AQ78" s="28"/>
      <c r="AR78" s="27"/>
      <c r="AS78" s="28"/>
      <c r="AT78" s="27"/>
      <c r="AU78" s="28"/>
      <c r="AV78" s="27"/>
      <c r="AW78" s="28"/>
      <c r="AX78" s="27"/>
      <c r="AY78" s="28"/>
      <c r="AZ78" s="27"/>
      <c r="BA78" s="28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</row>
    <row r="79" spans="1:110" ht="20.399999999999999" x14ac:dyDescent="0.25">
      <c r="A79" s="24">
        <v>1102007</v>
      </c>
      <c r="B79" s="11" t="s">
        <v>30</v>
      </c>
      <c r="C79" s="25" t="s">
        <v>204</v>
      </c>
      <c r="D79" s="26" t="s">
        <v>66</v>
      </c>
      <c r="E79" s="10" t="s">
        <v>205</v>
      </c>
      <c r="F79" s="10" t="s">
        <v>34</v>
      </c>
      <c r="G79" s="55" t="str">
        <f t="shared" si="2"/>
        <v>Obsolete</v>
      </c>
      <c r="H79" s="10"/>
      <c r="I79" s="13">
        <v>10000</v>
      </c>
      <c r="J79" s="56"/>
      <c r="K79" s="57"/>
      <c r="M79" s="14"/>
      <c r="N79" s="14"/>
      <c r="O79" s="14"/>
      <c r="P79" s="14"/>
      <c r="Q79" s="14"/>
      <c r="R79" s="14"/>
      <c r="S79" s="14"/>
      <c r="T79" s="70">
        <v>0.57999999999999996</v>
      </c>
      <c r="U79" s="76" t="s">
        <v>54</v>
      </c>
      <c r="V79" s="76"/>
      <c r="W79" s="76" t="s">
        <v>54</v>
      </c>
      <c r="X79" s="76"/>
      <c r="Y79" s="97"/>
      <c r="Z79" s="78"/>
      <c r="AA79" s="79" t="s">
        <v>206</v>
      </c>
      <c r="AB79" s="79" t="s">
        <v>37</v>
      </c>
      <c r="AC79" s="79" t="s">
        <v>37</v>
      </c>
      <c r="AD79" s="79"/>
      <c r="AE79" s="79" t="s">
        <v>207</v>
      </c>
      <c r="AF79" s="79" t="s">
        <v>208</v>
      </c>
      <c r="AG79" s="79" t="s">
        <v>209</v>
      </c>
      <c r="AH79" s="79"/>
      <c r="AI79" s="53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</row>
    <row r="80" spans="1:110" ht="20.399999999999999" x14ac:dyDescent="0.25">
      <c r="A80" s="24">
        <v>1102008</v>
      </c>
      <c r="B80" s="11" t="s">
        <v>30</v>
      </c>
      <c r="C80" s="25" t="s">
        <v>210</v>
      </c>
      <c r="D80" s="26" t="s">
        <v>66</v>
      </c>
      <c r="E80" s="10" t="s">
        <v>194</v>
      </c>
      <c r="F80" s="10" t="s">
        <v>34</v>
      </c>
      <c r="G80" s="55" t="str">
        <f t="shared" si="2"/>
        <v>Obsolete</v>
      </c>
      <c r="H80" s="10"/>
      <c r="I80" s="13">
        <v>55</v>
      </c>
      <c r="J80" s="56"/>
      <c r="K80" s="57"/>
      <c r="M80" s="14">
        <v>3.7</v>
      </c>
      <c r="N80" s="14"/>
      <c r="O80" s="14"/>
      <c r="P80" s="14"/>
      <c r="Q80" s="14"/>
      <c r="R80" s="14"/>
      <c r="S80" s="14"/>
      <c r="T80" s="70"/>
      <c r="U80" s="76" t="s">
        <v>54</v>
      </c>
      <c r="V80" s="76"/>
      <c r="W80" s="76" t="s">
        <v>54</v>
      </c>
      <c r="X80" s="76"/>
      <c r="Y80" s="97"/>
      <c r="Z80" s="78">
        <v>55</v>
      </c>
      <c r="AA80" s="79" t="s">
        <v>206</v>
      </c>
      <c r="AB80" s="79" t="s">
        <v>37</v>
      </c>
      <c r="AC80" s="79" t="s">
        <v>37</v>
      </c>
      <c r="AD80" s="79"/>
      <c r="AE80" s="79" t="s">
        <v>201</v>
      </c>
      <c r="AF80" s="79" t="s">
        <v>202</v>
      </c>
      <c r="AG80" s="79" t="s">
        <v>203</v>
      </c>
      <c r="AH80" s="79"/>
      <c r="AI80" s="53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</row>
    <row r="81" spans="1:110" ht="13.8" x14ac:dyDescent="0.25">
      <c r="A81" s="24">
        <v>1102009</v>
      </c>
      <c r="B81" s="11" t="s">
        <v>30</v>
      </c>
      <c r="C81" s="25" t="s">
        <v>211</v>
      </c>
      <c r="D81" s="26" t="s">
        <v>66</v>
      </c>
      <c r="E81" s="10" t="s">
        <v>132</v>
      </c>
      <c r="F81" s="10" t="s">
        <v>34</v>
      </c>
      <c r="G81" s="55">
        <f t="shared" si="2"/>
        <v>1.45</v>
      </c>
      <c r="H81" s="10">
        <v>10</v>
      </c>
      <c r="I81" s="13">
        <v>55</v>
      </c>
      <c r="J81" s="56"/>
      <c r="K81" s="57"/>
      <c r="M81" s="14">
        <v>1.45</v>
      </c>
      <c r="N81" s="14"/>
      <c r="O81" s="14"/>
      <c r="P81" s="14"/>
      <c r="Q81" s="14"/>
      <c r="R81" s="14"/>
      <c r="S81" s="14"/>
      <c r="T81" s="70"/>
      <c r="U81" s="76">
        <v>1.45</v>
      </c>
      <c r="V81" s="76">
        <v>0</v>
      </c>
      <c r="W81" s="76">
        <v>1.45</v>
      </c>
      <c r="X81" s="76">
        <v>0</v>
      </c>
      <c r="Y81" s="77" t="s">
        <v>37</v>
      </c>
      <c r="Z81" s="78">
        <v>55</v>
      </c>
      <c r="AA81" s="79" t="s">
        <v>36</v>
      </c>
      <c r="AB81" s="79" t="s">
        <v>35</v>
      </c>
      <c r="AC81" s="79" t="s">
        <v>37</v>
      </c>
      <c r="AD81" s="79" t="s">
        <v>38</v>
      </c>
      <c r="AE81" s="79" t="s">
        <v>133</v>
      </c>
      <c r="AF81" s="79" t="s">
        <v>134</v>
      </c>
      <c r="AG81" s="79" t="s">
        <v>135</v>
      </c>
      <c r="AH81" s="79"/>
      <c r="AI81" s="53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</row>
    <row r="82" spans="1:110" ht="13.8" x14ac:dyDescent="0.25">
      <c r="A82" s="24">
        <v>1102010</v>
      </c>
      <c r="B82" s="11" t="s">
        <v>30</v>
      </c>
      <c r="C82" s="25" t="s">
        <v>212</v>
      </c>
      <c r="D82" s="26" t="s">
        <v>66</v>
      </c>
      <c r="E82" s="10" t="s">
        <v>172</v>
      </c>
      <c r="F82" s="10" t="s">
        <v>34</v>
      </c>
      <c r="G82" s="55">
        <f t="shared" si="2"/>
        <v>1.8283977158212967</v>
      </c>
      <c r="H82" s="10">
        <v>20</v>
      </c>
      <c r="I82" s="13">
        <v>35724</v>
      </c>
      <c r="J82" s="56">
        <v>44273</v>
      </c>
      <c r="K82" s="57">
        <v>0.95840000000000003</v>
      </c>
      <c r="M82" s="14"/>
      <c r="N82" s="14"/>
      <c r="O82" s="14"/>
      <c r="P82" s="14"/>
      <c r="Q82" s="14"/>
      <c r="R82" s="14"/>
      <c r="S82" s="14"/>
      <c r="T82" s="70"/>
      <c r="U82" s="76">
        <v>1.82</v>
      </c>
      <c r="V82" s="76">
        <f>300/I82</f>
        <v>8.3977158212966072E-3</v>
      </c>
      <c r="W82" s="76">
        <v>1.82</v>
      </c>
      <c r="X82" s="76">
        <v>8.3977158212966072E-3</v>
      </c>
      <c r="Y82" s="77" t="s">
        <v>35</v>
      </c>
      <c r="Z82" s="78">
        <v>1763</v>
      </c>
      <c r="AA82" s="79" t="s">
        <v>121</v>
      </c>
      <c r="AB82" s="79" t="s">
        <v>35</v>
      </c>
      <c r="AC82" s="79" t="s">
        <v>37</v>
      </c>
      <c r="AD82" s="79" t="s">
        <v>38</v>
      </c>
      <c r="AE82" s="79" t="s">
        <v>173</v>
      </c>
      <c r="AF82" s="79" t="s">
        <v>174</v>
      </c>
      <c r="AG82" s="79" t="s">
        <v>175</v>
      </c>
      <c r="AH82" s="79"/>
      <c r="AI82" s="53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</row>
    <row r="83" spans="1:110" ht="13.8" x14ac:dyDescent="0.25">
      <c r="A83" s="24">
        <v>1102011</v>
      </c>
      <c r="B83" s="11" t="s">
        <v>30</v>
      </c>
      <c r="C83" s="25" t="s">
        <v>213</v>
      </c>
      <c r="D83" s="26" t="s">
        <v>66</v>
      </c>
      <c r="E83" s="10" t="s">
        <v>214</v>
      </c>
      <c r="F83" s="10" t="s">
        <v>34</v>
      </c>
      <c r="G83" s="55">
        <f t="shared" si="2"/>
        <v>0</v>
      </c>
      <c r="H83" s="10"/>
      <c r="I83" s="13"/>
      <c r="J83" s="56"/>
      <c r="K83" s="57"/>
      <c r="M83" s="14"/>
      <c r="N83" s="14"/>
      <c r="O83" s="14"/>
      <c r="P83" s="14"/>
      <c r="Q83" s="14"/>
      <c r="R83" s="14"/>
      <c r="S83" s="14"/>
      <c r="T83" s="70"/>
      <c r="U83" s="76">
        <v>0</v>
      </c>
      <c r="V83" s="76">
        <v>0</v>
      </c>
      <c r="W83" s="76">
        <v>0</v>
      </c>
      <c r="X83" s="76">
        <v>0</v>
      </c>
      <c r="Y83" s="77" t="s">
        <v>37</v>
      </c>
      <c r="Z83" s="78"/>
      <c r="AA83" s="79" t="s">
        <v>121</v>
      </c>
      <c r="AB83" s="79" t="s">
        <v>35</v>
      </c>
      <c r="AC83" s="79" t="s">
        <v>37</v>
      </c>
      <c r="AD83" s="79" t="s">
        <v>38</v>
      </c>
      <c r="AE83" s="79" t="s">
        <v>215</v>
      </c>
      <c r="AF83" s="79"/>
      <c r="AG83" s="79"/>
      <c r="AH83" s="79"/>
      <c r="AI83" s="53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</row>
    <row r="84" spans="1:110" ht="13.8" x14ac:dyDescent="0.25">
      <c r="A84" s="24">
        <v>1102012</v>
      </c>
      <c r="B84" s="11" t="s">
        <v>30</v>
      </c>
      <c r="C84" s="25" t="s">
        <v>216</v>
      </c>
      <c r="D84" s="26" t="s">
        <v>66</v>
      </c>
      <c r="E84" s="10" t="s">
        <v>172</v>
      </c>
      <c r="F84" s="10" t="s">
        <v>34</v>
      </c>
      <c r="G84" s="55">
        <f t="shared" si="2"/>
        <v>1.7785</v>
      </c>
      <c r="H84" s="10">
        <v>20</v>
      </c>
      <c r="I84" s="13">
        <v>35724</v>
      </c>
      <c r="J84" s="56">
        <v>44390</v>
      </c>
      <c r="K84" s="57">
        <v>1.7783977158212967</v>
      </c>
      <c r="M84" s="14"/>
      <c r="N84" s="14" t="s">
        <v>1608</v>
      </c>
      <c r="O84" s="14"/>
      <c r="P84" s="14"/>
      <c r="Q84" s="14"/>
      <c r="R84" s="14"/>
      <c r="S84" s="14"/>
      <c r="T84" s="70"/>
      <c r="U84" s="76">
        <v>1.2789999999999999</v>
      </c>
      <c r="V84" s="76">
        <f>0.008+0.4915</f>
        <v>0.4995</v>
      </c>
      <c r="W84" s="76">
        <v>1.2789999999999999</v>
      </c>
      <c r="X84" s="76">
        <f>0.008+0.4915</f>
        <v>0.4995</v>
      </c>
      <c r="Y84" s="77" t="s">
        <v>37</v>
      </c>
      <c r="Z84" s="78"/>
      <c r="AA84" s="79" t="s">
        <v>121</v>
      </c>
      <c r="AB84" s="79" t="s">
        <v>35</v>
      </c>
      <c r="AC84" s="79" t="s">
        <v>37</v>
      </c>
      <c r="AD84" s="79" t="s">
        <v>38</v>
      </c>
      <c r="AE84" s="79" t="s">
        <v>173</v>
      </c>
      <c r="AF84" s="79" t="s">
        <v>174</v>
      </c>
      <c r="AG84" s="79" t="s">
        <v>175</v>
      </c>
      <c r="AH84" s="79"/>
      <c r="AI84" s="53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</row>
    <row r="85" spans="1:110" ht="13.8" x14ac:dyDescent="0.25">
      <c r="A85" s="24">
        <v>1102013</v>
      </c>
      <c r="B85" s="11" t="s">
        <v>30</v>
      </c>
      <c r="C85" s="25" t="s">
        <v>217</v>
      </c>
      <c r="D85" s="26" t="s">
        <v>66</v>
      </c>
      <c r="E85" s="10" t="s">
        <v>214</v>
      </c>
      <c r="F85" s="10" t="s">
        <v>34</v>
      </c>
      <c r="G85" s="55">
        <f t="shared" si="2"/>
        <v>0</v>
      </c>
      <c r="H85" s="10"/>
      <c r="I85" s="13"/>
      <c r="J85" s="56"/>
      <c r="K85" s="57"/>
      <c r="M85" s="14"/>
      <c r="N85" s="14"/>
      <c r="O85" s="14"/>
      <c r="P85" s="14"/>
      <c r="Q85" s="14"/>
      <c r="R85" s="14"/>
      <c r="S85" s="14"/>
      <c r="T85" s="70"/>
      <c r="U85" s="76">
        <v>0</v>
      </c>
      <c r="V85" s="76">
        <v>0</v>
      </c>
      <c r="W85" s="76">
        <v>0</v>
      </c>
      <c r="X85" s="76">
        <v>0</v>
      </c>
      <c r="Y85" s="77" t="s">
        <v>37</v>
      </c>
      <c r="Z85" s="78"/>
      <c r="AA85" s="79"/>
      <c r="AB85" s="79"/>
      <c r="AC85" s="79"/>
      <c r="AD85" s="79"/>
      <c r="AE85" s="79"/>
      <c r="AF85" s="79"/>
      <c r="AG85" s="79"/>
      <c r="AH85" s="79"/>
      <c r="AI85" s="53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</row>
    <row r="86" spans="1:110" ht="13.8" x14ac:dyDescent="0.25">
      <c r="A86" s="24">
        <v>1102014</v>
      </c>
      <c r="B86" s="11" t="s">
        <v>30</v>
      </c>
      <c r="C86" s="25" t="s">
        <v>218</v>
      </c>
      <c r="D86" s="26" t="s">
        <v>66</v>
      </c>
      <c r="E86" s="10" t="s">
        <v>33</v>
      </c>
      <c r="F86" s="10" t="s">
        <v>34</v>
      </c>
      <c r="G86" s="55">
        <f t="shared" si="2"/>
        <v>3.2789999999999999</v>
      </c>
      <c r="H86" s="10">
        <v>6</v>
      </c>
      <c r="I86" s="13">
        <v>1500</v>
      </c>
      <c r="J86" s="56">
        <v>44348</v>
      </c>
      <c r="K86" s="57">
        <v>3.098332221480987</v>
      </c>
      <c r="M86" s="14"/>
      <c r="N86" s="14"/>
      <c r="O86" s="14"/>
      <c r="P86" s="14"/>
      <c r="Q86" s="14">
        <v>3.2789999999999999</v>
      </c>
      <c r="R86" s="14"/>
      <c r="S86" s="14"/>
      <c r="T86" s="70"/>
      <c r="U86" s="76">
        <v>3.2789999999999999</v>
      </c>
      <c r="V86" s="76">
        <v>0</v>
      </c>
      <c r="W86" s="76">
        <v>3.2789999999999999</v>
      </c>
      <c r="X86" s="76">
        <v>0</v>
      </c>
      <c r="Y86" s="77" t="s">
        <v>37</v>
      </c>
      <c r="Z86" s="78"/>
      <c r="AA86" s="79" t="s">
        <v>121</v>
      </c>
      <c r="AB86" s="79" t="s">
        <v>35</v>
      </c>
      <c r="AC86" s="79" t="s">
        <v>37</v>
      </c>
      <c r="AD86" s="79" t="s">
        <v>38</v>
      </c>
      <c r="AE86" s="79"/>
      <c r="AF86" s="79"/>
      <c r="AG86" s="79"/>
      <c r="AH86" s="79"/>
      <c r="AI86" s="53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</row>
    <row r="87" spans="1:110" ht="13.8" x14ac:dyDescent="0.25">
      <c r="A87" s="24">
        <v>1102015</v>
      </c>
      <c r="B87" s="11" t="s">
        <v>30</v>
      </c>
      <c r="C87" s="25" t="s">
        <v>1501</v>
      </c>
      <c r="D87" s="26" t="s">
        <v>66</v>
      </c>
      <c r="E87" s="10" t="s">
        <v>172</v>
      </c>
      <c r="F87" s="10" t="s">
        <v>34</v>
      </c>
      <c r="G87" s="55">
        <f t="shared" si="2"/>
        <v>0</v>
      </c>
      <c r="H87" s="10">
        <v>20</v>
      </c>
      <c r="I87" s="13">
        <v>8800</v>
      </c>
      <c r="J87" s="56"/>
      <c r="K87" s="57"/>
      <c r="M87" s="14"/>
      <c r="N87" s="14"/>
      <c r="O87" s="14"/>
      <c r="P87" s="14"/>
      <c r="Q87" s="14"/>
      <c r="R87" s="14"/>
      <c r="S87" s="14"/>
      <c r="T87" s="70"/>
      <c r="U87" s="76">
        <v>0</v>
      </c>
      <c r="V87" s="76">
        <v>0</v>
      </c>
      <c r="W87" s="76">
        <v>0</v>
      </c>
      <c r="X87" s="76">
        <v>0</v>
      </c>
      <c r="Y87" s="77" t="s">
        <v>37</v>
      </c>
      <c r="Z87" s="78"/>
      <c r="AA87" s="79" t="s">
        <v>121</v>
      </c>
      <c r="AB87" s="79" t="s">
        <v>35</v>
      </c>
      <c r="AC87" s="79" t="s">
        <v>37</v>
      </c>
      <c r="AD87" s="79" t="s">
        <v>38</v>
      </c>
      <c r="AE87" s="79" t="s">
        <v>173</v>
      </c>
      <c r="AF87" s="79" t="s">
        <v>174</v>
      </c>
      <c r="AG87" s="79" t="s">
        <v>175</v>
      </c>
      <c r="AH87" s="79"/>
      <c r="AI87" s="53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</row>
    <row r="88" spans="1:110" ht="13.8" x14ac:dyDescent="0.25">
      <c r="A88" s="24">
        <v>1102016</v>
      </c>
      <c r="B88" s="11" t="s">
        <v>30</v>
      </c>
      <c r="C88" s="25" t="s">
        <v>1514</v>
      </c>
      <c r="D88" s="26" t="s">
        <v>66</v>
      </c>
      <c r="E88" s="10" t="s">
        <v>172</v>
      </c>
      <c r="F88" s="10" t="s">
        <v>34</v>
      </c>
      <c r="G88" s="55">
        <f t="shared" si="2"/>
        <v>1.0449999999999999</v>
      </c>
      <c r="H88" s="10">
        <v>20</v>
      </c>
      <c r="I88" s="13">
        <v>8800</v>
      </c>
      <c r="J88" s="56"/>
      <c r="K88" s="57"/>
      <c r="M88" s="14"/>
      <c r="N88" s="14"/>
      <c r="O88" s="14"/>
      <c r="P88" s="14"/>
      <c r="Q88" s="14"/>
      <c r="R88" s="14"/>
      <c r="S88" s="14"/>
      <c r="T88" s="70"/>
      <c r="U88" s="76">
        <v>1</v>
      </c>
      <c r="V88" s="76">
        <v>4.4999999999999998E-2</v>
      </c>
      <c r="W88" s="76">
        <v>1</v>
      </c>
      <c r="X88" s="76">
        <v>0</v>
      </c>
      <c r="Y88" s="77" t="s">
        <v>35</v>
      </c>
      <c r="Z88" s="78"/>
      <c r="AA88" s="79" t="s">
        <v>121</v>
      </c>
      <c r="AB88" s="79" t="s">
        <v>35</v>
      </c>
      <c r="AC88" s="79" t="s">
        <v>37</v>
      </c>
      <c r="AD88" s="79" t="s">
        <v>38</v>
      </c>
      <c r="AE88" s="79" t="s">
        <v>173</v>
      </c>
      <c r="AF88" s="79" t="s">
        <v>174</v>
      </c>
      <c r="AG88" s="79" t="s">
        <v>175</v>
      </c>
      <c r="AH88" s="79"/>
      <c r="AI88" s="53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</row>
    <row r="89" spans="1:110" ht="13.8" x14ac:dyDescent="0.25">
      <c r="A89" s="122">
        <v>1102017</v>
      </c>
      <c r="B89" s="11" t="s">
        <v>30</v>
      </c>
      <c r="C89" s="25" t="s">
        <v>1571</v>
      </c>
      <c r="D89" s="26" t="s">
        <v>66</v>
      </c>
      <c r="E89" s="10" t="s">
        <v>214</v>
      </c>
      <c r="F89" s="10" t="s">
        <v>34</v>
      </c>
      <c r="G89" s="55">
        <f t="shared" si="2"/>
        <v>1.7496511562083261</v>
      </c>
      <c r="H89" s="10">
        <v>10</v>
      </c>
      <c r="I89" s="13">
        <f>10000*2.20462</f>
        <v>22046.199999999997</v>
      </c>
      <c r="J89" s="56">
        <v>44616</v>
      </c>
      <c r="K89" s="57">
        <v>1.7977000000000001</v>
      </c>
      <c r="M89" s="14"/>
      <c r="N89" s="14"/>
      <c r="O89" s="14"/>
      <c r="P89" s="14"/>
      <c r="Q89" s="14"/>
      <c r="R89" s="14"/>
      <c r="S89" s="14"/>
      <c r="T89" s="70"/>
      <c r="U89" s="76">
        <f>2.714/2.20462</f>
        <v>1.2310511562083262</v>
      </c>
      <c r="V89" s="76">
        <v>0.51859999999999995</v>
      </c>
      <c r="W89" s="76">
        <f>2.714/2.20462</f>
        <v>1.2310511562083262</v>
      </c>
      <c r="X89" s="76">
        <f>22972.94/44300</f>
        <v>0.51857652370203156</v>
      </c>
      <c r="Y89" s="77" t="s">
        <v>35</v>
      </c>
      <c r="Z89" s="78"/>
      <c r="AA89" s="79" t="s">
        <v>121</v>
      </c>
      <c r="AB89" s="79" t="s">
        <v>35</v>
      </c>
      <c r="AC89" s="79" t="s">
        <v>37</v>
      </c>
      <c r="AD89" s="79" t="s">
        <v>38</v>
      </c>
      <c r="AE89" s="79" t="s">
        <v>1568</v>
      </c>
      <c r="AF89" s="79" t="s">
        <v>1569</v>
      </c>
      <c r="AG89" s="79" t="s">
        <v>1570</v>
      </c>
      <c r="AH89" s="79"/>
      <c r="AI89" s="53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</row>
    <row r="90" spans="1:110" ht="13.8" x14ac:dyDescent="0.25">
      <c r="A90" s="24">
        <v>1103001</v>
      </c>
      <c r="B90" s="11" t="s">
        <v>30</v>
      </c>
      <c r="C90" s="12" t="s">
        <v>219</v>
      </c>
      <c r="D90" s="11" t="s">
        <v>32</v>
      </c>
      <c r="E90" s="10" t="s">
        <v>220</v>
      </c>
      <c r="F90" s="10" t="s">
        <v>34</v>
      </c>
      <c r="G90" s="55">
        <f t="shared" si="2"/>
        <v>4.3449999999999998</v>
      </c>
      <c r="H90" s="10">
        <v>6</v>
      </c>
      <c r="I90" s="13">
        <v>330</v>
      </c>
      <c r="J90" s="56">
        <v>44489</v>
      </c>
      <c r="K90" s="57">
        <v>4.03</v>
      </c>
      <c r="M90" s="14">
        <v>4.3</v>
      </c>
      <c r="N90" s="14"/>
      <c r="O90" s="14"/>
      <c r="P90" s="14"/>
      <c r="Q90" s="14"/>
      <c r="R90" s="14"/>
      <c r="S90" s="14"/>
      <c r="T90" s="70"/>
      <c r="U90" s="76">
        <v>4.3</v>
      </c>
      <c r="V90" s="76">
        <f>0.045</f>
        <v>4.4999999999999998E-2</v>
      </c>
      <c r="W90" s="76">
        <v>4.3</v>
      </c>
      <c r="X90" s="76">
        <f>0.045</f>
        <v>4.4999999999999998E-2</v>
      </c>
      <c r="Y90" s="77" t="s">
        <v>37</v>
      </c>
      <c r="Z90" s="78">
        <v>55</v>
      </c>
      <c r="AA90" s="79" t="s">
        <v>36</v>
      </c>
      <c r="AB90" s="79" t="s">
        <v>35</v>
      </c>
      <c r="AC90" s="79" t="s">
        <v>37</v>
      </c>
      <c r="AD90" s="79" t="s">
        <v>38</v>
      </c>
      <c r="AE90" s="79" t="s">
        <v>221</v>
      </c>
      <c r="AF90" s="79" t="s">
        <v>222</v>
      </c>
      <c r="AG90" s="79" t="s">
        <v>223</v>
      </c>
      <c r="AH90" s="79"/>
      <c r="AI90" s="53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</row>
    <row r="91" spans="1:110" ht="13.8" x14ac:dyDescent="0.25">
      <c r="A91" s="24">
        <v>1103003</v>
      </c>
      <c r="B91" s="11" t="s">
        <v>30</v>
      </c>
      <c r="C91" s="12" t="s">
        <v>224</v>
      </c>
      <c r="D91" s="11" t="s">
        <v>32</v>
      </c>
      <c r="E91" s="10" t="s">
        <v>225</v>
      </c>
      <c r="F91" s="10" t="s">
        <v>34</v>
      </c>
      <c r="G91" s="55" t="str">
        <f t="shared" si="2"/>
        <v>Obsolete</v>
      </c>
      <c r="H91" s="10">
        <v>12</v>
      </c>
      <c r="I91" s="13"/>
      <c r="J91" s="56"/>
      <c r="K91" s="57"/>
      <c r="M91" s="14"/>
      <c r="N91" s="14"/>
      <c r="O91" s="14"/>
      <c r="P91" s="14"/>
      <c r="Q91" s="14"/>
      <c r="R91" s="14"/>
      <c r="S91" s="14"/>
      <c r="T91" s="70"/>
      <c r="U91" s="76" t="s">
        <v>54</v>
      </c>
      <c r="V91" s="76"/>
      <c r="W91" s="76" t="s">
        <v>54</v>
      </c>
      <c r="X91" s="76"/>
      <c r="Y91" s="97"/>
      <c r="Z91" s="78"/>
      <c r="AA91" s="79" t="s">
        <v>64</v>
      </c>
      <c r="AB91" s="79" t="s">
        <v>37</v>
      </c>
      <c r="AC91" s="79" t="s">
        <v>37</v>
      </c>
      <c r="AD91" s="91" t="s">
        <v>57</v>
      </c>
      <c r="AE91" s="79" t="s">
        <v>226</v>
      </c>
      <c r="AF91" s="79" t="s">
        <v>227</v>
      </c>
      <c r="AG91" s="79" t="s">
        <v>228</v>
      </c>
      <c r="AH91" s="79"/>
      <c r="AI91" s="53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</row>
    <row r="92" spans="1:110" ht="13.8" x14ac:dyDescent="0.25">
      <c r="A92" s="24">
        <v>1103004</v>
      </c>
      <c r="B92" s="11" t="s">
        <v>30</v>
      </c>
      <c r="C92" s="12" t="s">
        <v>229</v>
      </c>
      <c r="D92" s="11" t="s">
        <v>32</v>
      </c>
      <c r="E92" s="10" t="s">
        <v>230</v>
      </c>
      <c r="F92" s="10" t="s">
        <v>34</v>
      </c>
      <c r="G92" s="55" t="str">
        <f t="shared" si="2"/>
        <v>Obsolete</v>
      </c>
      <c r="H92" s="10">
        <v>12</v>
      </c>
      <c r="I92" s="13"/>
      <c r="J92" s="56"/>
      <c r="K92" s="57"/>
      <c r="M92" s="14"/>
      <c r="N92" s="14"/>
      <c r="O92" s="14"/>
      <c r="P92" s="14"/>
      <c r="Q92" s="14"/>
      <c r="R92" s="14"/>
      <c r="S92" s="14"/>
      <c r="T92" s="70">
        <v>2.95</v>
      </c>
      <c r="U92" s="76" t="s">
        <v>54</v>
      </c>
      <c r="V92" s="76"/>
      <c r="W92" s="76" t="s">
        <v>54</v>
      </c>
      <c r="X92" s="76"/>
      <c r="Y92" s="97"/>
      <c r="Z92" s="78"/>
      <c r="AA92" s="79" t="s">
        <v>64</v>
      </c>
      <c r="AB92" s="79" t="s">
        <v>37</v>
      </c>
      <c r="AC92" s="79" t="s">
        <v>37</v>
      </c>
      <c r="AD92" s="79"/>
      <c r="AE92" s="79" t="s">
        <v>226</v>
      </c>
      <c r="AF92" s="79" t="s">
        <v>227</v>
      </c>
      <c r="AG92" s="79" t="s">
        <v>228</v>
      </c>
      <c r="AH92" s="79"/>
      <c r="AI92" s="53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</row>
    <row r="93" spans="1:110" ht="13.8" x14ac:dyDescent="0.25">
      <c r="A93" s="24">
        <v>1103005</v>
      </c>
      <c r="B93" s="11" t="s">
        <v>30</v>
      </c>
      <c r="C93" s="12" t="s">
        <v>231</v>
      </c>
      <c r="D93" s="11" t="s">
        <v>32</v>
      </c>
      <c r="E93" s="10" t="s">
        <v>33</v>
      </c>
      <c r="F93" s="10" t="s">
        <v>34</v>
      </c>
      <c r="G93" s="55">
        <f t="shared" si="2"/>
        <v>18.309999999999999</v>
      </c>
      <c r="H93" s="10">
        <v>6</v>
      </c>
      <c r="I93" s="13">
        <v>55</v>
      </c>
      <c r="J93" s="56"/>
      <c r="K93" s="57"/>
      <c r="M93" s="14">
        <v>18.309999999999999</v>
      </c>
      <c r="N93" s="14"/>
      <c r="O93" s="14"/>
      <c r="P93" s="14"/>
      <c r="Q93" s="14"/>
      <c r="R93" s="14"/>
      <c r="S93" s="14"/>
      <c r="T93" s="70"/>
      <c r="U93" s="76">
        <v>18.309999999999999</v>
      </c>
      <c r="V93" s="76">
        <v>0</v>
      </c>
      <c r="W93" s="76">
        <v>18.309999999999999</v>
      </c>
      <c r="X93" s="76">
        <v>0</v>
      </c>
      <c r="Y93" s="77" t="s">
        <v>35</v>
      </c>
      <c r="Z93" s="78">
        <v>1300</v>
      </c>
      <c r="AA93" s="79" t="s">
        <v>36</v>
      </c>
      <c r="AB93" s="79" t="s">
        <v>35</v>
      </c>
      <c r="AC93" s="79" t="s">
        <v>37</v>
      </c>
      <c r="AD93" s="79" t="s">
        <v>38</v>
      </c>
      <c r="AE93" s="79" t="s">
        <v>39</v>
      </c>
      <c r="AF93" s="79" t="s">
        <v>40</v>
      </c>
      <c r="AG93" s="79" t="s">
        <v>41</v>
      </c>
      <c r="AH93" s="79"/>
      <c r="AI93" s="53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</row>
    <row r="94" spans="1:110" ht="13.8" x14ac:dyDescent="0.25">
      <c r="A94" s="24">
        <v>1103006</v>
      </c>
      <c r="B94" s="11" t="s">
        <v>30</v>
      </c>
      <c r="C94" s="12" t="s">
        <v>232</v>
      </c>
      <c r="D94" s="11" t="s">
        <v>32</v>
      </c>
      <c r="E94" s="10" t="s">
        <v>33</v>
      </c>
      <c r="F94" s="10" t="s">
        <v>34</v>
      </c>
      <c r="G94" s="55">
        <f t="shared" si="2"/>
        <v>2.15</v>
      </c>
      <c r="H94" s="10">
        <v>6</v>
      </c>
      <c r="I94" s="13">
        <v>4400</v>
      </c>
      <c r="J94" s="56"/>
      <c r="K94" s="57"/>
      <c r="M94" s="14"/>
      <c r="N94" s="14"/>
      <c r="O94" s="14"/>
      <c r="P94" s="14"/>
      <c r="Q94" s="14"/>
      <c r="R94" s="14">
        <v>2.15</v>
      </c>
      <c r="S94" s="14"/>
      <c r="T94" s="70"/>
      <c r="U94" s="76">
        <v>2.15</v>
      </c>
      <c r="V94" s="76">
        <v>0</v>
      </c>
      <c r="W94" s="76">
        <v>2.15</v>
      </c>
      <c r="X94" s="76">
        <v>0</v>
      </c>
      <c r="Y94" s="77" t="s">
        <v>35</v>
      </c>
      <c r="Z94" s="78"/>
      <c r="AA94" s="79" t="s">
        <v>36</v>
      </c>
      <c r="AB94" s="79" t="s">
        <v>35</v>
      </c>
      <c r="AC94" s="79" t="s">
        <v>37</v>
      </c>
      <c r="AD94" s="79" t="s">
        <v>38</v>
      </c>
      <c r="AE94" s="79" t="s">
        <v>39</v>
      </c>
      <c r="AF94" s="79" t="s">
        <v>40</v>
      </c>
      <c r="AG94" s="79" t="s">
        <v>41</v>
      </c>
      <c r="AH94" s="79"/>
      <c r="AI94" s="53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</row>
    <row r="95" spans="1:110" ht="13.8" x14ac:dyDescent="0.25">
      <c r="A95" s="24">
        <v>1103007</v>
      </c>
      <c r="B95" s="11" t="s">
        <v>30</v>
      </c>
      <c r="C95" s="12" t="s">
        <v>233</v>
      </c>
      <c r="D95" s="11" t="s">
        <v>32</v>
      </c>
      <c r="E95" s="10" t="s">
        <v>33</v>
      </c>
      <c r="F95" s="10" t="s">
        <v>34</v>
      </c>
      <c r="G95" s="55">
        <f t="shared" si="2"/>
        <v>2.74</v>
      </c>
      <c r="H95" s="10">
        <v>6</v>
      </c>
      <c r="I95" s="13">
        <v>1100</v>
      </c>
      <c r="J95" s="56"/>
      <c r="K95" s="57"/>
      <c r="M95" s="14"/>
      <c r="N95" s="14"/>
      <c r="O95" s="14">
        <v>2.74</v>
      </c>
      <c r="P95" s="14"/>
      <c r="Q95" s="14"/>
      <c r="R95" s="14"/>
      <c r="S95" s="14"/>
      <c r="T95" s="70"/>
      <c r="U95" s="76">
        <v>2.74</v>
      </c>
      <c r="V95" s="76">
        <v>0</v>
      </c>
      <c r="W95" s="76">
        <v>2.74</v>
      </c>
      <c r="X95" s="76">
        <v>0</v>
      </c>
      <c r="Y95" s="77" t="s">
        <v>35</v>
      </c>
      <c r="Z95" s="78">
        <v>1500</v>
      </c>
      <c r="AA95" s="79" t="s">
        <v>234</v>
      </c>
      <c r="AB95" s="79" t="s">
        <v>35</v>
      </c>
      <c r="AC95" s="79" t="s">
        <v>37</v>
      </c>
      <c r="AD95" s="79" t="s">
        <v>38</v>
      </c>
      <c r="AE95" s="79" t="s">
        <v>39</v>
      </c>
      <c r="AF95" s="79" t="s">
        <v>40</v>
      </c>
      <c r="AG95" s="79" t="s">
        <v>41</v>
      </c>
      <c r="AH95" s="79"/>
      <c r="AI95" s="53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</row>
    <row r="96" spans="1:110" ht="13.8" x14ac:dyDescent="0.25">
      <c r="A96" s="24">
        <v>1103008</v>
      </c>
      <c r="B96" s="11" t="s">
        <v>30</v>
      </c>
      <c r="C96" s="12" t="s">
        <v>235</v>
      </c>
      <c r="D96" s="11" t="s">
        <v>32</v>
      </c>
      <c r="E96" s="10" t="s">
        <v>33</v>
      </c>
      <c r="F96" s="10" t="s">
        <v>34</v>
      </c>
      <c r="G96" s="55">
        <f t="shared" si="2"/>
        <v>2.61</v>
      </c>
      <c r="H96" s="10">
        <v>6</v>
      </c>
      <c r="I96" s="13">
        <v>1100</v>
      </c>
      <c r="J96" s="56"/>
      <c r="K96" s="57"/>
      <c r="M96" s="14"/>
      <c r="N96" s="14"/>
      <c r="O96" s="14">
        <v>2.61</v>
      </c>
      <c r="P96" s="14"/>
      <c r="Q96" s="14"/>
      <c r="R96" s="14">
        <v>2.37</v>
      </c>
      <c r="S96" s="14"/>
      <c r="T96" s="70">
        <v>2.04</v>
      </c>
      <c r="U96" s="76">
        <v>2.61</v>
      </c>
      <c r="V96" s="76">
        <v>0</v>
      </c>
      <c r="W96" s="76">
        <v>2.61</v>
      </c>
      <c r="X96" s="76">
        <v>0</v>
      </c>
      <c r="Y96" s="77" t="s">
        <v>35</v>
      </c>
      <c r="Z96" s="78">
        <v>1500</v>
      </c>
      <c r="AA96" s="79" t="s">
        <v>234</v>
      </c>
      <c r="AB96" s="79" t="s">
        <v>35</v>
      </c>
      <c r="AC96" s="79" t="s">
        <v>37</v>
      </c>
      <c r="AD96" s="79" t="s">
        <v>38</v>
      </c>
      <c r="AE96" s="79" t="s">
        <v>39</v>
      </c>
      <c r="AF96" s="79" t="s">
        <v>40</v>
      </c>
      <c r="AG96" s="79" t="s">
        <v>41</v>
      </c>
      <c r="AH96" s="79"/>
      <c r="AI96" s="53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</row>
    <row r="97" spans="1:110" ht="13.8" x14ac:dyDescent="0.25">
      <c r="A97" s="24">
        <v>1103009</v>
      </c>
      <c r="B97" s="11" t="s">
        <v>30</v>
      </c>
      <c r="C97" s="12" t="s">
        <v>236</v>
      </c>
      <c r="D97" s="11" t="s">
        <v>32</v>
      </c>
      <c r="E97" s="10" t="s">
        <v>33</v>
      </c>
      <c r="F97" s="10" t="s">
        <v>34</v>
      </c>
      <c r="G97" s="55">
        <f t="shared" si="2"/>
        <v>3.06</v>
      </c>
      <c r="H97" s="10">
        <v>6</v>
      </c>
      <c r="I97" s="13">
        <v>8800</v>
      </c>
      <c r="J97" s="56"/>
      <c r="K97" s="57"/>
      <c r="M97" s="14"/>
      <c r="N97" s="14"/>
      <c r="O97" s="14">
        <v>4.1900000000000004</v>
      </c>
      <c r="P97" s="14"/>
      <c r="Q97" s="14"/>
      <c r="R97" s="14">
        <v>3.59</v>
      </c>
      <c r="S97" s="14"/>
      <c r="T97" s="70">
        <v>3.06</v>
      </c>
      <c r="U97" s="76">
        <v>3.06</v>
      </c>
      <c r="V97" s="76">
        <v>0</v>
      </c>
      <c r="W97" s="76">
        <v>2.79</v>
      </c>
      <c r="X97" s="76">
        <v>0</v>
      </c>
      <c r="Y97" s="77" t="s">
        <v>35</v>
      </c>
      <c r="Z97" s="78">
        <v>1500</v>
      </c>
      <c r="AA97" s="79" t="s">
        <v>234</v>
      </c>
      <c r="AB97" s="79" t="s">
        <v>35</v>
      </c>
      <c r="AC97" s="79" t="s">
        <v>37</v>
      </c>
      <c r="AD97" s="79" t="s">
        <v>38</v>
      </c>
      <c r="AE97" s="79" t="s">
        <v>39</v>
      </c>
      <c r="AF97" s="79" t="s">
        <v>40</v>
      </c>
      <c r="AG97" s="79" t="s">
        <v>41</v>
      </c>
      <c r="AH97" s="79"/>
      <c r="AI97" s="53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</row>
    <row r="98" spans="1:110" ht="13.8" x14ac:dyDescent="0.25">
      <c r="A98" s="24">
        <v>1103010</v>
      </c>
      <c r="B98" s="11" t="s">
        <v>30</v>
      </c>
      <c r="C98" s="12" t="s">
        <v>237</v>
      </c>
      <c r="D98" s="11" t="s">
        <v>32</v>
      </c>
      <c r="E98" s="10" t="s">
        <v>33</v>
      </c>
      <c r="F98" s="10" t="s">
        <v>34</v>
      </c>
      <c r="G98" s="55" t="str">
        <f t="shared" si="2"/>
        <v>Obsolete</v>
      </c>
      <c r="H98" s="30" t="s">
        <v>238</v>
      </c>
      <c r="I98" s="13" t="s">
        <v>17</v>
      </c>
      <c r="J98" s="56"/>
      <c r="K98" s="57"/>
      <c r="M98" s="14"/>
      <c r="N98" s="14"/>
      <c r="O98" s="14"/>
      <c r="P98" s="14"/>
      <c r="Q98" s="14"/>
      <c r="R98" s="14"/>
      <c r="S98" s="14"/>
      <c r="T98" s="70">
        <v>3.42</v>
      </c>
      <c r="U98" s="76" t="s">
        <v>54</v>
      </c>
      <c r="V98" s="76"/>
      <c r="W98" s="76" t="s">
        <v>54</v>
      </c>
      <c r="X98" s="76"/>
      <c r="Y98" s="77"/>
      <c r="Z98" s="78"/>
      <c r="AA98" s="79" t="s">
        <v>234</v>
      </c>
      <c r="AB98" s="79" t="s">
        <v>37</v>
      </c>
      <c r="AC98" s="79" t="s">
        <v>37</v>
      </c>
      <c r="AD98" s="79"/>
      <c r="AE98" s="79" t="s">
        <v>39</v>
      </c>
      <c r="AF98" s="79" t="s">
        <v>40</v>
      </c>
      <c r="AG98" s="79" t="s">
        <v>41</v>
      </c>
      <c r="AH98" s="79"/>
      <c r="AI98" s="53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</row>
    <row r="99" spans="1:110" ht="13.8" x14ac:dyDescent="0.25">
      <c r="A99" s="24">
        <v>1103011</v>
      </c>
      <c r="B99" s="11" t="s">
        <v>30</v>
      </c>
      <c r="C99" s="12" t="s">
        <v>239</v>
      </c>
      <c r="D99" s="11" t="s">
        <v>32</v>
      </c>
      <c r="E99" s="10" t="s">
        <v>101</v>
      </c>
      <c r="F99" s="10" t="s">
        <v>34</v>
      </c>
      <c r="G99" s="55">
        <f t="shared" si="2"/>
        <v>8.8699999999999992</v>
      </c>
      <c r="H99" s="10">
        <v>6</v>
      </c>
      <c r="I99" s="13">
        <v>1100</v>
      </c>
      <c r="J99" s="56"/>
      <c r="K99" s="57"/>
      <c r="M99" s="14"/>
      <c r="N99" s="14">
        <v>8.8699999999999992</v>
      </c>
      <c r="O99" s="14"/>
      <c r="P99" s="14"/>
      <c r="Q99" s="14"/>
      <c r="R99" s="14"/>
      <c r="S99" s="14"/>
      <c r="T99" s="70"/>
      <c r="U99" s="76">
        <v>8.8699999999999992</v>
      </c>
      <c r="V99" s="76">
        <v>0</v>
      </c>
      <c r="W99" s="76">
        <v>8.8699999999999992</v>
      </c>
      <c r="X99" s="76">
        <v>0</v>
      </c>
      <c r="Y99" s="77" t="s">
        <v>35</v>
      </c>
      <c r="Z99" s="78">
        <v>50</v>
      </c>
      <c r="AA99" s="79" t="s">
        <v>234</v>
      </c>
      <c r="AB99" s="79" t="s">
        <v>35</v>
      </c>
      <c r="AC99" s="79" t="s">
        <v>37</v>
      </c>
      <c r="AD99" s="79" t="s">
        <v>38</v>
      </c>
      <c r="AE99" s="79" t="s">
        <v>103</v>
      </c>
      <c r="AF99" s="79" t="s">
        <v>104</v>
      </c>
      <c r="AG99" s="79" t="s">
        <v>105</v>
      </c>
      <c r="AH99" s="79"/>
      <c r="AI99" s="53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</row>
    <row r="100" spans="1:110" ht="13.8" x14ac:dyDescent="0.25">
      <c r="A100" s="24">
        <v>1103012</v>
      </c>
      <c r="B100" s="11" t="s">
        <v>30</v>
      </c>
      <c r="C100" s="16" t="s">
        <v>240</v>
      </c>
      <c r="D100" s="11" t="s">
        <v>32</v>
      </c>
      <c r="E100" s="10" t="s">
        <v>205</v>
      </c>
      <c r="F100" s="10" t="s">
        <v>34</v>
      </c>
      <c r="G100" s="55" t="str">
        <f t="shared" si="2"/>
        <v>Obsolete</v>
      </c>
      <c r="H100" s="10"/>
      <c r="I100" s="13"/>
      <c r="J100" s="56"/>
      <c r="K100" s="57"/>
      <c r="M100" s="14"/>
      <c r="N100" s="14"/>
      <c r="O100" s="14"/>
      <c r="P100" s="14"/>
      <c r="Q100" s="14"/>
      <c r="R100" s="14"/>
      <c r="S100" s="14"/>
      <c r="T100" s="70"/>
      <c r="U100" s="76" t="s">
        <v>54</v>
      </c>
      <c r="V100" s="76"/>
      <c r="W100" s="76" t="s">
        <v>54</v>
      </c>
      <c r="X100" s="76"/>
      <c r="Y100" s="97"/>
      <c r="Z100" s="78"/>
      <c r="AA100" s="79"/>
      <c r="AB100" s="79" t="s">
        <v>37</v>
      </c>
      <c r="AC100" s="79" t="s">
        <v>37</v>
      </c>
      <c r="AD100" s="79"/>
      <c r="AE100" s="79"/>
      <c r="AF100" s="79"/>
      <c r="AG100" s="79"/>
      <c r="AH100" s="79"/>
      <c r="AI100" s="53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</row>
    <row r="101" spans="1:110" ht="13.8" x14ac:dyDescent="0.25">
      <c r="A101" s="24">
        <v>1103013</v>
      </c>
      <c r="B101" s="11" t="s">
        <v>30</v>
      </c>
      <c r="C101" s="12" t="s">
        <v>241</v>
      </c>
      <c r="D101" s="11" t="s">
        <v>32</v>
      </c>
      <c r="E101" s="10" t="s">
        <v>33</v>
      </c>
      <c r="F101" s="10" t="s">
        <v>34</v>
      </c>
      <c r="G101" s="55" t="str">
        <f t="shared" si="2"/>
        <v>Obsolete</v>
      </c>
      <c r="H101" s="10">
        <v>6</v>
      </c>
      <c r="I101" s="13"/>
      <c r="J101" s="56"/>
      <c r="K101" s="57"/>
      <c r="M101" s="14"/>
      <c r="N101" s="14"/>
      <c r="O101" s="14"/>
      <c r="P101" s="14"/>
      <c r="Q101" s="14"/>
      <c r="R101" s="14"/>
      <c r="S101" s="14"/>
      <c r="T101" s="70"/>
      <c r="U101" s="76" t="s">
        <v>54</v>
      </c>
      <c r="V101" s="76"/>
      <c r="W101" s="76" t="s">
        <v>54</v>
      </c>
      <c r="X101" s="76"/>
      <c r="Y101" s="77"/>
      <c r="Z101" s="78"/>
      <c r="AA101" s="79" t="s">
        <v>242</v>
      </c>
      <c r="AB101" s="79" t="s">
        <v>37</v>
      </c>
      <c r="AC101" s="79" t="s">
        <v>37</v>
      </c>
      <c r="AD101" s="79"/>
      <c r="AE101" s="79" t="s">
        <v>39</v>
      </c>
      <c r="AF101" s="79" t="s">
        <v>40</v>
      </c>
      <c r="AG101" s="79" t="s">
        <v>41</v>
      </c>
      <c r="AH101" s="79"/>
      <c r="AI101" s="53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</row>
    <row r="102" spans="1:110" ht="13.8" x14ac:dyDescent="0.25">
      <c r="A102" s="24">
        <v>1103014</v>
      </c>
      <c r="B102" s="11" t="s">
        <v>30</v>
      </c>
      <c r="C102" s="12" t="s">
        <v>243</v>
      </c>
      <c r="D102" s="11" t="s">
        <v>32</v>
      </c>
      <c r="E102" s="10" t="s">
        <v>230</v>
      </c>
      <c r="F102" s="10" t="s">
        <v>34</v>
      </c>
      <c r="G102" s="55" t="str">
        <f t="shared" si="2"/>
        <v>Obsolete</v>
      </c>
      <c r="H102" s="10"/>
      <c r="I102" s="13"/>
      <c r="J102" s="56"/>
      <c r="K102" s="57"/>
      <c r="M102" s="14"/>
      <c r="N102" s="14"/>
      <c r="O102" s="14">
        <v>4.9800000000000004</v>
      </c>
      <c r="P102" s="14"/>
      <c r="Q102" s="14"/>
      <c r="R102" s="14"/>
      <c r="S102" s="14"/>
      <c r="T102" s="70"/>
      <c r="U102" s="76" t="s">
        <v>54</v>
      </c>
      <c r="V102" s="76"/>
      <c r="W102" s="76" t="s">
        <v>54</v>
      </c>
      <c r="X102" s="76"/>
      <c r="Y102" s="97"/>
      <c r="Z102" s="78"/>
      <c r="AA102" s="79" t="s">
        <v>64</v>
      </c>
      <c r="AB102" s="79" t="s">
        <v>37</v>
      </c>
      <c r="AC102" s="79" t="s">
        <v>37</v>
      </c>
      <c r="AD102" s="79"/>
      <c r="AE102" s="79" t="s">
        <v>244</v>
      </c>
      <c r="AF102" s="79" t="s">
        <v>245</v>
      </c>
      <c r="AG102" s="79" t="s">
        <v>246</v>
      </c>
      <c r="AH102" s="79"/>
      <c r="AI102" s="53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</row>
    <row r="103" spans="1:110" ht="13.8" x14ac:dyDescent="0.25">
      <c r="A103" s="24">
        <v>1103015</v>
      </c>
      <c r="B103" s="11" t="s">
        <v>30</v>
      </c>
      <c r="C103" s="12" t="s">
        <v>247</v>
      </c>
      <c r="D103" s="11" t="s">
        <v>32</v>
      </c>
      <c r="E103" s="10" t="s">
        <v>33</v>
      </c>
      <c r="F103" s="10" t="s">
        <v>34</v>
      </c>
      <c r="G103" s="55">
        <f t="shared" si="2"/>
        <v>6.37</v>
      </c>
      <c r="H103" s="10">
        <v>6</v>
      </c>
      <c r="I103" s="13">
        <v>55</v>
      </c>
      <c r="J103" s="56"/>
      <c r="K103" s="57"/>
      <c r="M103" s="14">
        <v>6.37</v>
      </c>
      <c r="N103" s="14">
        <v>4.22</v>
      </c>
      <c r="O103" s="14">
        <v>3.88</v>
      </c>
      <c r="P103" s="14"/>
      <c r="Q103" s="14"/>
      <c r="R103" s="14">
        <v>3.76</v>
      </c>
      <c r="S103" s="14"/>
      <c r="T103" s="70">
        <v>3.72</v>
      </c>
      <c r="U103" s="76">
        <v>6.37</v>
      </c>
      <c r="V103" s="76">
        <v>0</v>
      </c>
      <c r="W103" s="76">
        <v>6.37</v>
      </c>
      <c r="X103" s="76">
        <v>0</v>
      </c>
      <c r="Y103" s="77" t="s">
        <v>35</v>
      </c>
      <c r="Z103" s="78">
        <v>1500</v>
      </c>
      <c r="AA103" s="79" t="s">
        <v>36</v>
      </c>
      <c r="AB103" s="79" t="s">
        <v>35</v>
      </c>
      <c r="AC103" s="79" t="s">
        <v>37</v>
      </c>
      <c r="AD103" s="79" t="s">
        <v>38</v>
      </c>
      <c r="AE103" s="79" t="s">
        <v>39</v>
      </c>
      <c r="AF103" s="79" t="s">
        <v>40</v>
      </c>
      <c r="AG103" s="79" t="s">
        <v>41</v>
      </c>
      <c r="AH103" s="79"/>
      <c r="AI103" s="53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</row>
    <row r="104" spans="1:110" ht="13.8" x14ac:dyDescent="0.25">
      <c r="A104" s="24">
        <v>1103016</v>
      </c>
      <c r="B104" s="11" t="s">
        <v>30</v>
      </c>
      <c r="C104" s="12" t="s">
        <v>248</v>
      </c>
      <c r="D104" s="11" t="s">
        <v>32</v>
      </c>
      <c r="E104" s="10" t="s">
        <v>33</v>
      </c>
      <c r="F104" s="10" t="s">
        <v>34</v>
      </c>
      <c r="G104" s="55" t="str">
        <f t="shared" si="2"/>
        <v>Obsolete</v>
      </c>
      <c r="H104" s="10">
        <v>8</v>
      </c>
      <c r="I104" s="13"/>
      <c r="J104" s="56"/>
      <c r="K104" s="57"/>
      <c r="M104" s="14"/>
      <c r="N104" s="14"/>
      <c r="O104" s="14"/>
      <c r="P104" s="14"/>
      <c r="Q104" s="14"/>
      <c r="R104" s="14"/>
      <c r="S104" s="14"/>
      <c r="T104" s="70"/>
      <c r="U104" s="76" t="s">
        <v>54</v>
      </c>
      <c r="V104" s="76"/>
      <c r="W104" s="76" t="s">
        <v>54</v>
      </c>
      <c r="X104" s="76"/>
      <c r="Y104" s="77"/>
      <c r="Z104" s="78"/>
      <c r="AA104" s="79" t="s">
        <v>36</v>
      </c>
      <c r="AB104" s="79" t="s">
        <v>37</v>
      </c>
      <c r="AC104" s="79" t="s">
        <v>37</v>
      </c>
      <c r="AD104" s="79"/>
      <c r="AE104" s="79" t="s">
        <v>39</v>
      </c>
      <c r="AF104" s="79" t="s">
        <v>40</v>
      </c>
      <c r="AG104" s="79" t="s">
        <v>41</v>
      </c>
      <c r="AH104" s="79"/>
      <c r="AI104" s="53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</row>
    <row r="105" spans="1:110" ht="13.8" x14ac:dyDescent="0.25">
      <c r="A105" s="24">
        <v>1103017</v>
      </c>
      <c r="B105" s="11" t="s">
        <v>30</v>
      </c>
      <c r="C105" s="12" t="s">
        <v>249</v>
      </c>
      <c r="D105" s="11" t="s">
        <v>32</v>
      </c>
      <c r="E105" s="10" t="s">
        <v>33</v>
      </c>
      <c r="F105" s="10" t="s">
        <v>34</v>
      </c>
      <c r="G105" s="55" t="str">
        <f t="shared" si="2"/>
        <v>Obsolete</v>
      </c>
      <c r="H105" s="10"/>
      <c r="I105" s="13"/>
      <c r="J105" s="56"/>
      <c r="K105" s="57"/>
      <c r="M105" s="14"/>
      <c r="N105" s="14"/>
      <c r="O105" s="14"/>
      <c r="P105" s="14"/>
      <c r="Q105" s="14"/>
      <c r="R105" s="14"/>
      <c r="S105" s="14"/>
      <c r="T105" s="70"/>
      <c r="U105" s="76" t="s">
        <v>54</v>
      </c>
      <c r="V105" s="76"/>
      <c r="W105" s="76" t="s">
        <v>54</v>
      </c>
      <c r="X105" s="76"/>
      <c r="Y105" s="77"/>
      <c r="Z105" s="78"/>
      <c r="AA105" s="79" t="s">
        <v>55</v>
      </c>
      <c r="AB105" s="79" t="s">
        <v>37</v>
      </c>
      <c r="AC105" s="79" t="s">
        <v>37</v>
      </c>
      <c r="AD105" s="79"/>
      <c r="AE105" s="79" t="s">
        <v>39</v>
      </c>
      <c r="AF105" s="79" t="s">
        <v>40</v>
      </c>
      <c r="AG105" s="79" t="s">
        <v>41</v>
      </c>
      <c r="AH105" s="79"/>
      <c r="AI105" s="53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</row>
    <row r="106" spans="1:110" ht="13.8" x14ac:dyDescent="0.25">
      <c r="A106" s="24">
        <v>1103018</v>
      </c>
      <c r="B106" s="11" t="s">
        <v>30</v>
      </c>
      <c r="C106" s="12" t="s">
        <v>250</v>
      </c>
      <c r="D106" s="11" t="s">
        <v>32</v>
      </c>
      <c r="E106" s="10" t="s">
        <v>33</v>
      </c>
      <c r="F106" s="10" t="s">
        <v>34</v>
      </c>
      <c r="G106" s="55">
        <f t="shared" si="2"/>
        <v>2.3199999999999998</v>
      </c>
      <c r="H106" s="10">
        <v>6</v>
      </c>
      <c r="I106" s="13">
        <v>4400</v>
      </c>
      <c r="J106" s="56"/>
      <c r="K106" s="57"/>
      <c r="M106" s="14"/>
      <c r="N106" s="14"/>
      <c r="O106" s="14"/>
      <c r="P106" s="14"/>
      <c r="Q106" s="14"/>
      <c r="R106" s="14">
        <v>2.3199999999999998</v>
      </c>
      <c r="S106" s="14"/>
      <c r="T106" s="70"/>
      <c r="U106" s="76">
        <v>2.3199999999999998</v>
      </c>
      <c r="V106" s="76">
        <v>0</v>
      </c>
      <c r="W106" s="76">
        <v>2.3199999999999998</v>
      </c>
      <c r="X106" s="76">
        <v>0</v>
      </c>
      <c r="Y106" s="77" t="s">
        <v>35</v>
      </c>
      <c r="Z106" s="78"/>
      <c r="AA106" s="79" t="s">
        <v>58</v>
      </c>
      <c r="AB106" s="79" t="s">
        <v>35</v>
      </c>
      <c r="AC106" s="79" t="s">
        <v>35</v>
      </c>
      <c r="AD106" s="79"/>
      <c r="AE106" s="79" t="s">
        <v>39</v>
      </c>
      <c r="AF106" s="79" t="s">
        <v>40</v>
      </c>
      <c r="AG106" s="79" t="s">
        <v>41</v>
      </c>
      <c r="AH106" s="79"/>
      <c r="AI106" s="53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</row>
    <row r="107" spans="1:110" ht="13.8" x14ac:dyDescent="0.25">
      <c r="A107" s="24">
        <v>1103019</v>
      </c>
      <c r="B107" s="11" t="s">
        <v>30</v>
      </c>
      <c r="C107" s="31" t="s">
        <v>251</v>
      </c>
      <c r="D107" s="32" t="s">
        <v>32</v>
      </c>
      <c r="E107" s="10" t="s">
        <v>1619</v>
      </c>
      <c r="F107" s="18" t="s">
        <v>34</v>
      </c>
      <c r="G107" s="55" t="str">
        <f t="shared" si="2"/>
        <v>Obsolete</v>
      </c>
      <c r="H107" s="18">
        <v>8</v>
      </c>
      <c r="I107" s="33">
        <v>1650</v>
      </c>
      <c r="J107" s="56"/>
      <c r="K107" s="57"/>
      <c r="M107" s="14">
        <v>4.75</v>
      </c>
      <c r="N107" s="14"/>
      <c r="O107" s="14"/>
      <c r="P107" s="14"/>
      <c r="Q107" s="14"/>
      <c r="R107" s="14"/>
      <c r="S107" s="14"/>
      <c r="T107" s="70"/>
      <c r="U107" s="76" t="s">
        <v>54</v>
      </c>
      <c r="V107" s="76">
        <v>0</v>
      </c>
      <c r="W107" s="76" t="s">
        <v>54</v>
      </c>
      <c r="X107" s="76">
        <v>0</v>
      </c>
      <c r="Y107" s="77" t="s">
        <v>37</v>
      </c>
      <c r="Z107" s="87">
        <v>55</v>
      </c>
      <c r="AA107" s="79" t="s">
        <v>36</v>
      </c>
      <c r="AB107" s="79" t="s">
        <v>37</v>
      </c>
      <c r="AC107" s="79" t="s">
        <v>37</v>
      </c>
      <c r="AD107" s="79" t="s">
        <v>38</v>
      </c>
      <c r="AE107" s="79" t="s">
        <v>50</v>
      </c>
      <c r="AF107" s="79" t="s">
        <v>51</v>
      </c>
      <c r="AG107" s="79" t="s">
        <v>52</v>
      </c>
      <c r="AH107" s="79"/>
      <c r="AI107" s="53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</row>
    <row r="108" spans="1:110" ht="13.8" x14ac:dyDescent="0.25">
      <c r="A108" s="24">
        <v>1103020</v>
      </c>
      <c r="B108" s="11" t="s">
        <v>30</v>
      </c>
      <c r="C108" s="12" t="s">
        <v>252</v>
      </c>
      <c r="D108" s="11" t="s">
        <v>32</v>
      </c>
      <c r="E108" s="10" t="s">
        <v>33</v>
      </c>
      <c r="F108" s="10" t="s">
        <v>34</v>
      </c>
      <c r="G108" s="55">
        <f t="shared" si="2"/>
        <v>2.5</v>
      </c>
      <c r="H108" s="10">
        <v>6</v>
      </c>
      <c r="I108" s="13">
        <v>550</v>
      </c>
      <c r="J108" s="56"/>
      <c r="K108" s="57"/>
      <c r="M108" s="14"/>
      <c r="N108" s="14">
        <v>2.5</v>
      </c>
      <c r="O108" s="14"/>
      <c r="P108" s="14"/>
      <c r="Q108" s="14"/>
      <c r="R108" s="14"/>
      <c r="S108" s="14"/>
      <c r="T108" s="70"/>
      <c r="U108" s="76">
        <v>2.5</v>
      </c>
      <c r="V108" s="76">
        <v>0</v>
      </c>
      <c r="W108" s="76">
        <v>2.5</v>
      </c>
      <c r="X108" s="76">
        <v>0</v>
      </c>
      <c r="Y108" s="77" t="s">
        <v>35</v>
      </c>
      <c r="Z108" s="78">
        <v>55</v>
      </c>
      <c r="AA108" s="79" t="s">
        <v>36</v>
      </c>
      <c r="AB108" s="79" t="s">
        <v>35</v>
      </c>
      <c r="AC108" s="79" t="s">
        <v>37</v>
      </c>
      <c r="AD108" s="79" t="s">
        <v>38</v>
      </c>
      <c r="AE108" s="79" t="s">
        <v>39</v>
      </c>
      <c r="AF108" s="79" t="s">
        <v>40</v>
      </c>
      <c r="AG108" s="79" t="s">
        <v>41</v>
      </c>
      <c r="AH108" s="79"/>
      <c r="AI108" s="53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</row>
    <row r="109" spans="1:110" ht="13.8" x14ac:dyDescent="0.25">
      <c r="A109" s="24">
        <v>1103021</v>
      </c>
      <c r="B109" s="11" t="s">
        <v>30</v>
      </c>
      <c r="C109" s="12" t="s">
        <v>253</v>
      </c>
      <c r="D109" s="11" t="s">
        <v>32</v>
      </c>
      <c r="E109" s="10" t="s">
        <v>33</v>
      </c>
      <c r="F109" s="10" t="s">
        <v>34</v>
      </c>
      <c r="G109" s="55">
        <f t="shared" si="2"/>
        <v>2.6</v>
      </c>
      <c r="H109" s="10">
        <v>6</v>
      </c>
      <c r="I109" s="13">
        <v>1100</v>
      </c>
      <c r="J109" s="56"/>
      <c r="K109" s="57"/>
      <c r="M109" s="14"/>
      <c r="N109" s="14"/>
      <c r="O109" s="14">
        <v>2.6</v>
      </c>
      <c r="P109" s="14"/>
      <c r="Q109" s="14"/>
      <c r="R109" s="14"/>
      <c r="S109" s="14"/>
      <c r="T109" s="70"/>
      <c r="U109" s="76">
        <v>2.6</v>
      </c>
      <c r="V109" s="76">
        <v>0</v>
      </c>
      <c r="W109" s="76">
        <v>2.6</v>
      </c>
      <c r="X109" s="76">
        <v>0</v>
      </c>
      <c r="Y109" s="77" t="s">
        <v>35</v>
      </c>
      <c r="Z109" s="98"/>
      <c r="AA109" s="79" t="s">
        <v>36</v>
      </c>
      <c r="AB109" s="79" t="s">
        <v>35</v>
      </c>
      <c r="AC109" s="79" t="s">
        <v>37</v>
      </c>
      <c r="AD109" s="79" t="s">
        <v>38</v>
      </c>
      <c r="AE109" s="79" t="s">
        <v>39</v>
      </c>
      <c r="AF109" s="79" t="s">
        <v>40</v>
      </c>
      <c r="AG109" s="79" t="s">
        <v>41</v>
      </c>
      <c r="AH109" s="79"/>
      <c r="AI109" s="53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</row>
    <row r="110" spans="1:110" ht="13.8" x14ac:dyDescent="0.25">
      <c r="A110" s="24">
        <v>1103022</v>
      </c>
      <c r="B110" s="11" t="s">
        <v>30</v>
      </c>
      <c r="C110" s="12" t="s">
        <v>254</v>
      </c>
      <c r="D110" s="11" t="s">
        <v>32</v>
      </c>
      <c r="E110" s="10" t="s">
        <v>1520</v>
      </c>
      <c r="F110" s="10" t="s">
        <v>34</v>
      </c>
      <c r="G110" s="55">
        <f t="shared" si="2"/>
        <v>3.1425370358610554</v>
      </c>
      <c r="H110" s="10">
        <v>9</v>
      </c>
      <c r="I110" s="13">
        <v>4960</v>
      </c>
      <c r="J110" s="56"/>
      <c r="K110" s="57"/>
      <c r="M110" s="14"/>
      <c r="N110" s="14"/>
      <c r="O110" s="14"/>
      <c r="P110" s="14"/>
      <c r="Q110" s="14"/>
      <c r="R110" s="14"/>
      <c r="S110" s="14"/>
      <c r="T110" s="70"/>
      <c r="U110" s="76">
        <f>6.9281/2.20462</f>
        <v>3.1425370358610554</v>
      </c>
      <c r="V110" s="76">
        <v>0</v>
      </c>
      <c r="W110" s="76">
        <f>6.9281/2.20462</f>
        <v>3.1425370358610554</v>
      </c>
      <c r="X110" s="76">
        <v>0</v>
      </c>
      <c r="Y110" s="77" t="s">
        <v>35</v>
      </c>
      <c r="Z110" s="98">
        <v>55</v>
      </c>
      <c r="AA110" s="79" t="s">
        <v>189</v>
      </c>
      <c r="AB110" s="79" t="s">
        <v>35</v>
      </c>
      <c r="AC110" s="79" t="s">
        <v>35</v>
      </c>
      <c r="AD110" s="91" t="s">
        <v>57</v>
      </c>
      <c r="AE110" s="79" t="s">
        <v>255</v>
      </c>
      <c r="AF110" s="79" t="s">
        <v>256</v>
      </c>
      <c r="AG110" s="79" t="s">
        <v>257</v>
      </c>
      <c r="AH110" s="79"/>
      <c r="AI110" s="53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</row>
    <row r="111" spans="1:110" ht="13.8" x14ac:dyDescent="0.25">
      <c r="A111" s="24">
        <v>1103023</v>
      </c>
      <c r="B111" s="11" t="s">
        <v>30</v>
      </c>
      <c r="C111" s="12" t="s">
        <v>258</v>
      </c>
      <c r="D111" s="11" t="s">
        <v>259</v>
      </c>
      <c r="E111" s="10" t="s">
        <v>1521</v>
      </c>
      <c r="F111" s="10" t="s">
        <v>34</v>
      </c>
      <c r="G111" s="55">
        <f t="shared" si="2"/>
        <v>1.93</v>
      </c>
      <c r="H111" s="10">
        <v>8</v>
      </c>
      <c r="I111" s="13">
        <v>55</v>
      </c>
      <c r="J111" s="56"/>
      <c r="K111" s="57"/>
      <c r="M111" s="14"/>
      <c r="N111" s="14"/>
      <c r="O111" s="14"/>
      <c r="P111" s="14"/>
      <c r="Q111" s="14"/>
      <c r="R111" s="14"/>
      <c r="S111" s="14"/>
      <c r="T111" s="70"/>
      <c r="U111" s="76">
        <v>1.93</v>
      </c>
      <c r="V111" s="76">
        <v>0</v>
      </c>
      <c r="W111" s="76">
        <v>1.93</v>
      </c>
      <c r="X111" s="76">
        <v>0</v>
      </c>
      <c r="Y111" s="77" t="s">
        <v>35</v>
      </c>
      <c r="Z111" s="98">
        <v>55</v>
      </c>
      <c r="AA111" s="79" t="s">
        <v>189</v>
      </c>
      <c r="AB111" s="79" t="s">
        <v>35</v>
      </c>
      <c r="AC111" s="79" t="s">
        <v>35</v>
      </c>
      <c r="AD111" s="91" t="s">
        <v>57</v>
      </c>
      <c r="AE111" s="79" t="s">
        <v>1522</v>
      </c>
      <c r="AF111" s="79"/>
      <c r="AG111" s="79" t="s">
        <v>1523</v>
      </c>
      <c r="AH111" s="79"/>
      <c r="AI111" s="53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</row>
    <row r="112" spans="1:110" ht="13.8" x14ac:dyDescent="0.25">
      <c r="A112" s="24">
        <v>1103024</v>
      </c>
      <c r="B112" s="11" t="s">
        <v>30</v>
      </c>
      <c r="C112" s="12" t="s">
        <v>260</v>
      </c>
      <c r="D112" s="11" t="s">
        <v>32</v>
      </c>
      <c r="E112" s="10" t="s">
        <v>1619</v>
      </c>
      <c r="F112" s="10" t="s">
        <v>34</v>
      </c>
      <c r="G112" s="55">
        <f t="shared" si="2"/>
        <v>5.5</v>
      </c>
      <c r="H112" s="10">
        <v>1</v>
      </c>
      <c r="I112" s="13">
        <v>55</v>
      </c>
      <c r="J112" s="56"/>
      <c r="K112" s="57"/>
      <c r="M112" s="14">
        <v>5.5</v>
      </c>
      <c r="N112" s="14"/>
      <c r="O112" s="14"/>
      <c r="P112" s="14"/>
      <c r="Q112" s="14"/>
      <c r="R112" s="14"/>
      <c r="S112" s="14"/>
      <c r="T112" s="70"/>
      <c r="U112" s="76">
        <v>5.5</v>
      </c>
      <c r="V112" s="76"/>
      <c r="W112" s="76">
        <v>5.5</v>
      </c>
      <c r="X112" s="76"/>
      <c r="Y112" s="77" t="s">
        <v>37</v>
      </c>
      <c r="Z112" s="98"/>
      <c r="AA112" s="79" t="s">
        <v>261</v>
      </c>
      <c r="AB112" s="79" t="s">
        <v>35</v>
      </c>
      <c r="AC112" s="79" t="s">
        <v>35</v>
      </c>
      <c r="AD112" s="79"/>
      <c r="AE112" s="79" t="s">
        <v>50</v>
      </c>
      <c r="AF112" s="79" t="s">
        <v>51</v>
      </c>
      <c r="AG112" s="79" t="s">
        <v>52</v>
      </c>
      <c r="AH112" s="79"/>
      <c r="AI112" s="53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</row>
    <row r="113" spans="1:110" ht="13.8" x14ac:dyDescent="0.25">
      <c r="A113" s="24">
        <v>1103025</v>
      </c>
      <c r="B113" s="11" t="s">
        <v>30</v>
      </c>
      <c r="C113" s="12" t="s">
        <v>262</v>
      </c>
      <c r="D113" s="11" t="s">
        <v>259</v>
      </c>
      <c r="E113" s="10" t="s">
        <v>1619</v>
      </c>
      <c r="F113" s="10" t="s">
        <v>34</v>
      </c>
      <c r="G113" s="55">
        <f t="shared" si="2"/>
        <v>2.335</v>
      </c>
      <c r="H113" s="10">
        <v>4</v>
      </c>
      <c r="I113" s="13">
        <v>4959</v>
      </c>
      <c r="J113" s="56">
        <v>44076</v>
      </c>
      <c r="K113" s="63">
        <v>3.02</v>
      </c>
      <c r="M113" s="14"/>
      <c r="N113" s="14"/>
      <c r="O113" s="14"/>
      <c r="P113" s="14"/>
      <c r="Q113" s="14"/>
      <c r="R113" s="14">
        <v>2.29</v>
      </c>
      <c r="S113" s="14"/>
      <c r="T113" s="70"/>
      <c r="U113" s="76">
        <v>2.29</v>
      </c>
      <c r="V113" s="76">
        <f>0.045</f>
        <v>4.4999999999999998E-2</v>
      </c>
      <c r="W113" s="76">
        <v>2.29</v>
      </c>
      <c r="X113" s="76">
        <f>0.045</f>
        <v>4.4999999999999998E-2</v>
      </c>
      <c r="Y113" s="77" t="s">
        <v>35</v>
      </c>
      <c r="Z113" s="98">
        <v>1653</v>
      </c>
      <c r="AA113" s="79" t="s">
        <v>263</v>
      </c>
      <c r="AB113" s="79" t="s">
        <v>35</v>
      </c>
      <c r="AC113" s="79" t="s">
        <v>37</v>
      </c>
      <c r="AD113" s="79" t="s">
        <v>38</v>
      </c>
      <c r="AE113" s="79" t="s">
        <v>50</v>
      </c>
      <c r="AF113" s="79" t="s">
        <v>51</v>
      </c>
      <c r="AG113" s="79" t="s">
        <v>52</v>
      </c>
      <c r="AH113" s="79"/>
      <c r="AI113" s="53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</row>
    <row r="114" spans="1:110" ht="13.8" x14ac:dyDescent="0.25">
      <c r="A114" s="24">
        <v>1103026</v>
      </c>
      <c r="B114" s="11" t="s">
        <v>30</v>
      </c>
      <c r="C114" s="12" t="s">
        <v>264</v>
      </c>
      <c r="D114" s="11" t="s">
        <v>259</v>
      </c>
      <c r="E114" s="10" t="s">
        <v>1619</v>
      </c>
      <c r="F114" s="10" t="s">
        <v>34</v>
      </c>
      <c r="G114" s="55">
        <f t="shared" si="2"/>
        <v>3.26</v>
      </c>
      <c r="H114" s="10">
        <v>8</v>
      </c>
      <c r="I114" s="13">
        <v>4959</v>
      </c>
      <c r="J114" s="56"/>
      <c r="K114" s="57"/>
      <c r="M114" s="14"/>
      <c r="N114" s="14"/>
      <c r="O114" s="14"/>
      <c r="P114" s="14"/>
      <c r="Q114" s="14"/>
      <c r="R114" s="14">
        <v>3.19</v>
      </c>
      <c r="S114" s="14"/>
      <c r="T114" s="70">
        <v>3.04</v>
      </c>
      <c r="U114" s="76">
        <v>3.19</v>
      </c>
      <c r="V114" s="76">
        <v>7.0000000000000007E-2</v>
      </c>
      <c r="W114" s="76">
        <v>3.19</v>
      </c>
      <c r="X114" s="76">
        <v>7.0000000000000007E-2</v>
      </c>
      <c r="Y114" s="77" t="s">
        <v>35</v>
      </c>
      <c r="Z114" s="98">
        <v>1653</v>
      </c>
      <c r="AA114" s="79" t="s">
        <v>263</v>
      </c>
      <c r="AB114" s="79" t="s">
        <v>35</v>
      </c>
      <c r="AC114" s="79" t="s">
        <v>37</v>
      </c>
      <c r="AD114" s="79" t="s">
        <v>38</v>
      </c>
      <c r="AE114" s="79" t="s">
        <v>50</v>
      </c>
      <c r="AF114" s="79" t="s">
        <v>51</v>
      </c>
      <c r="AG114" s="79" t="s">
        <v>52</v>
      </c>
      <c r="AH114" s="79"/>
      <c r="AI114" s="53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</row>
    <row r="115" spans="1:110" ht="13.8" x14ac:dyDescent="0.25">
      <c r="A115" s="24">
        <v>1103027</v>
      </c>
      <c r="B115" s="11" t="s">
        <v>30</v>
      </c>
      <c r="C115" s="12" t="s">
        <v>265</v>
      </c>
      <c r="D115" s="11" t="s">
        <v>259</v>
      </c>
      <c r="E115" s="10" t="s">
        <v>33</v>
      </c>
      <c r="F115" s="10" t="s">
        <v>34</v>
      </c>
      <c r="G115" s="55">
        <f t="shared" si="2"/>
        <v>0</v>
      </c>
      <c r="H115" s="10" t="s">
        <v>38</v>
      </c>
      <c r="I115" s="13"/>
      <c r="J115" s="56"/>
      <c r="K115" s="57"/>
      <c r="M115" s="14"/>
      <c r="N115" s="14"/>
      <c r="O115" s="14"/>
      <c r="P115" s="14"/>
      <c r="Q115" s="14"/>
      <c r="R115" s="14"/>
      <c r="S115" s="14"/>
      <c r="T115" s="70"/>
      <c r="U115" s="76">
        <v>0</v>
      </c>
      <c r="V115" s="76">
        <v>0</v>
      </c>
      <c r="W115" s="76">
        <v>0</v>
      </c>
      <c r="X115" s="76">
        <v>0</v>
      </c>
      <c r="Y115" s="77" t="s">
        <v>37</v>
      </c>
      <c r="Z115" s="98">
        <v>55</v>
      </c>
      <c r="AA115" s="79" t="s">
        <v>263</v>
      </c>
      <c r="AB115" s="79" t="s">
        <v>35</v>
      </c>
      <c r="AC115" s="79" t="s">
        <v>37</v>
      </c>
      <c r="AD115" s="79" t="s">
        <v>38</v>
      </c>
      <c r="AE115" s="79" t="s">
        <v>39</v>
      </c>
      <c r="AF115" s="79" t="s">
        <v>40</v>
      </c>
      <c r="AG115" s="79" t="s">
        <v>41</v>
      </c>
      <c r="AH115" s="79"/>
      <c r="AI115" s="53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</row>
    <row r="116" spans="1:110" ht="13.8" x14ac:dyDescent="0.25">
      <c r="A116" s="24">
        <v>1103028</v>
      </c>
      <c r="B116" s="11" t="s">
        <v>30</v>
      </c>
      <c r="C116" s="12" t="s">
        <v>266</v>
      </c>
      <c r="D116" s="11" t="s">
        <v>259</v>
      </c>
      <c r="E116" s="10" t="s">
        <v>33</v>
      </c>
      <c r="F116" s="10" t="s">
        <v>34</v>
      </c>
      <c r="G116" s="55">
        <f t="shared" si="2"/>
        <v>2.10036146844759</v>
      </c>
      <c r="H116" s="10">
        <v>6</v>
      </c>
      <c r="I116" s="13">
        <v>9000</v>
      </c>
      <c r="J116" s="56">
        <v>44097</v>
      </c>
      <c r="K116" s="57">
        <v>2.10036146844759</v>
      </c>
      <c r="M116" s="14"/>
      <c r="N116" s="14"/>
      <c r="O116" s="14"/>
      <c r="P116" s="14"/>
      <c r="Q116" s="14"/>
      <c r="R116" s="14">
        <v>2.4051181768695131</v>
      </c>
      <c r="S116" s="14"/>
      <c r="T116" s="70">
        <v>2.0830672111702091</v>
      </c>
      <c r="U116" s="76">
        <v>2.10036146844759</v>
      </c>
      <c r="V116" s="76">
        <v>0</v>
      </c>
      <c r="W116" s="76">
        <v>2.19</v>
      </c>
      <c r="X116" s="76">
        <v>0</v>
      </c>
      <c r="Y116" s="77" t="s">
        <v>35</v>
      </c>
      <c r="Z116" s="98">
        <v>1500</v>
      </c>
      <c r="AA116" s="79" t="s">
        <v>36</v>
      </c>
      <c r="AB116" s="79" t="s">
        <v>35</v>
      </c>
      <c r="AC116" s="79" t="s">
        <v>37</v>
      </c>
      <c r="AD116" s="79" t="s">
        <v>38</v>
      </c>
      <c r="AE116" s="79" t="s">
        <v>39</v>
      </c>
      <c r="AF116" s="79" t="s">
        <v>40</v>
      </c>
      <c r="AG116" s="79" t="s">
        <v>41</v>
      </c>
      <c r="AH116" s="79"/>
      <c r="AI116" s="53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</row>
    <row r="117" spans="1:110" ht="13.8" x14ac:dyDescent="0.25">
      <c r="A117" s="24">
        <v>1103029</v>
      </c>
      <c r="B117" s="11" t="s">
        <v>30</v>
      </c>
      <c r="C117" s="12" t="s">
        <v>267</v>
      </c>
      <c r="D117" s="11" t="s">
        <v>259</v>
      </c>
      <c r="E117" s="10" t="s">
        <v>33</v>
      </c>
      <c r="F117" s="10" t="s">
        <v>34</v>
      </c>
      <c r="G117" s="55">
        <f t="shared" si="2"/>
        <v>1.44</v>
      </c>
      <c r="H117" s="10">
        <v>6</v>
      </c>
      <c r="I117" s="13">
        <v>40000</v>
      </c>
      <c r="J117" s="56">
        <v>44160</v>
      </c>
      <c r="K117" s="57">
        <v>1.57</v>
      </c>
      <c r="M117" s="14"/>
      <c r="N117" s="14"/>
      <c r="O117" s="14"/>
      <c r="P117" s="14"/>
      <c r="Q117" s="14"/>
      <c r="R117" s="15"/>
      <c r="S117" s="14"/>
      <c r="T117" s="71">
        <v>1.44</v>
      </c>
      <c r="U117" s="77">
        <v>1.44</v>
      </c>
      <c r="V117" s="76">
        <v>0</v>
      </c>
      <c r="W117" s="77">
        <v>1.44</v>
      </c>
      <c r="X117" s="76">
        <v>0</v>
      </c>
      <c r="Y117" s="77" t="s">
        <v>35</v>
      </c>
      <c r="Z117" s="98">
        <v>1500</v>
      </c>
      <c r="AA117" s="79" t="s">
        <v>36</v>
      </c>
      <c r="AB117" s="79" t="s">
        <v>35</v>
      </c>
      <c r="AC117" s="79" t="s">
        <v>37</v>
      </c>
      <c r="AD117" s="79" t="s">
        <v>38</v>
      </c>
      <c r="AE117" s="79" t="s">
        <v>39</v>
      </c>
      <c r="AF117" s="79" t="s">
        <v>40</v>
      </c>
      <c r="AG117" s="79" t="s">
        <v>41</v>
      </c>
      <c r="AH117" s="79"/>
      <c r="AI117" s="53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</row>
    <row r="118" spans="1:110" ht="13.5" customHeight="1" x14ac:dyDescent="0.25">
      <c r="A118" s="24">
        <v>1103030</v>
      </c>
      <c r="B118" s="11" t="s">
        <v>30</v>
      </c>
      <c r="C118" s="12" t="s">
        <v>268</v>
      </c>
      <c r="D118" s="11" t="s">
        <v>259</v>
      </c>
      <c r="E118" s="10" t="s">
        <v>33</v>
      </c>
      <c r="F118" s="10" t="s">
        <v>34</v>
      </c>
      <c r="G118" s="55">
        <f t="shared" si="2"/>
        <v>1.37</v>
      </c>
      <c r="H118" s="10">
        <v>6</v>
      </c>
      <c r="I118" s="13">
        <v>40000</v>
      </c>
      <c r="J118" s="56">
        <v>44348</v>
      </c>
      <c r="K118" s="57">
        <v>1.22</v>
      </c>
      <c r="M118" s="14"/>
      <c r="N118" s="14"/>
      <c r="O118" s="14"/>
      <c r="P118" s="14"/>
      <c r="Q118" s="14"/>
      <c r="R118" s="15"/>
      <c r="S118" s="14"/>
      <c r="T118" s="71">
        <v>1.37</v>
      </c>
      <c r="U118" s="77">
        <v>1.37</v>
      </c>
      <c r="V118" s="76">
        <v>0</v>
      </c>
      <c r="W118" s="77">
        <v>1.37</v>
      </c>
      <c r="X118" s="76">
        <v>0</v>
      </c>
      <c r="Y118" s="77"/>
      <c r="Z118" s="98"/>
      <c r="AA118" s="79"/>
      <c r="AB118" s="79"/>
      <c r="AC118" s="79"/>
      <c r="AD118" s="79"/>
      <c r="AE118" s="79"/>
      <c r="AF118" s="79"/>
      <c r="AG118" s="79"/>
      <c r="AH118" s="79"/>
      <c r="AI118" s="53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</row>
    <row r="119" spans="1:110" ht="13.8" x14ac:dyDescent="0.25">
      <c r="A119" s="24">
        <v>1103031</v>
      </c>
      <c r="B119" s="11" t="s">
        <v>30</v>
      </c>
      <c r="C119" s="12" t="s">
        <v>269</v>
      </c>
      <c r="D119" s="11" t="s">
        <v>259</v>
      </c>
      <c r="E119" s="10" t="s">
        <v>33</v>
      </c>
      <c r="F119" s="10" t="s">
        <v>34</v>
      </c>
      <c r="G119" s="55">
        <f t="shared" si="2"/>
        <v>2.585</v>
      </c>
      <c r="H119" s="10">
        <v>6</v>
      </c>
      <c r="I119" s="13">
        <v>1500</v>
      </c>
      <c r="J119" s="56">
        <v>44348</v>
      </c>
      <c r="K119" s="57">
        <v>2.36</v>
      </c>
      <c r="M119" s="14"/>
      <c r="N119" s="14"/>
      <c r="O119" s="14">
        <v>2.585</v>
      </c>
      <c r="P119" s="14"/>
      <c r="Q119" s="14"/>
      <c r="R119" s="14"/>
      <c r="S119" s="14"/>
      <c r="T119" s="70"/>
      <c r="U119" s="76">
        <v>2.585</v>
      </c>
      <c r="V119" s="76">
        <v>0</v>
      </c>
      <c r="W119" s="76">
        <v>2.585</v>
      </c>
      <c r="X119" s="76">
        <v>0</v>
      </c>
      <c r="Y119" s="77" t="s">
        <v>37</v>
      </c>
      <c r="Z119" s="98"/>
      <c r="AA119" s="79" t="s">
        <v>44</v>
      </c>
      <c r="AB119" s="79" t="s">
        <v>35</v>
      </c>
      <c r="AC119" s="79" t="s">
        <v>37</v>
      </c>
      <c r="AD119" s="79" t="s">
        <v>38</v>
      </c>
      <c r="AE119" s="79" t="s">
        <v>39</v>
      </c>
      <c r="AF119" s="79" t="s">
        <v>40</v>
      </c>
      <c r="AG119" s="79" t="s">
        <v>41</v>
      </c>
      <c r="AH119" s="79"/>
      <c r="AI119" s="53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</row>
    <row r="120" spans="1:110" ht="13.8" x14ac:dyDescent="0.25">
      <c r="A120" s="24">
        <v>1103032</v>
      </c>
      <c r="B120" s="11" t="s">
        <v>30</v>
      </c>
      <c r="C120" s="12" t="s">
        <v>270</v>
      </c>
      <c r="D120" s="11" t="s">
        <v>259</v>
      </c>
      <c r="E120" s="10" t="s">
        <v>271</v>
      </c>
      <c r="F120" s="10" t="s">
        <v>34</v>
      </c>
      <c r="G120" s="55">
        <f t="shared" si="2"/>
        <v>0</v>
      </c>
      <c r="H120" s="10"/>
      <c r="I120" s="13"/>
      <c r="J120" s="56"/>
      <c r="K120" s="57"/>
      <c r="M120" s="14"/>
      <c r="N120" s="14"/>
      <c r="O120" s="14"/>
      <c r="P120" s="14"/>
      <c r="Q120" s="14"/>
      <c r="R120" s="14"/>
      <c r="S120" s="14"/>
      <c r="T120" s="70"/>
      <c r="U120" s="76"/>
      <c r="V120" s="76"/>
      <c r="W120" s="76"/>
      <c r="X120" s="76"/>
      <c r="Y120" s="77"/>
      <c r="Z120" s="98"/>
      <c r="AA120" s="79" t="s">
        <v>272</v>
      </c>
      <c r="AB120" s="79" t="s">
        <v>35</v>
      </c>
      <c r="AC120" s="79" t="s">
        <v>35</v>
      </c>
      <c r="AD120" s="79"/>
      <c r="AE120" s="79"/>
      <c r="AF120" s="79"/>
      <c r="AG120" s="79"/>
      <c r="AH120" s="79"/>
      <c r="AI120" s="53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</row>
    <row r="121" spans="1:110" ht="15" customHeight="1" x14ac:dyDescent="0.25">
      <c r="A121" s="24">
        <v>1103033</v>
      </c>
      <c r="B121" s="11" t="s">
        <v>30</v>
      </c>
      <c r="C121" s="12" t="s">
        <v>273</v>
      </c>
      <c r="D121" s="11" t="s">
        <v>259</v>
      </c>
      <c r="E121" s="10" t="s">
        <v>33</v>
      </c>
      <c r="F121" s="10" t="s">
        <v>34</v>
      </c>
      <c r="G121" s="55">
        <f t="shared" si="2"/>
        <v>4.68</v>
      </c>
      <c r="H121" s="10">
        <v>6</v>
      </c>
      <c r="I121" s="13">
        <v>2200</v>
      </c>
      <c r="J121" s="56"/>
      <c r="K121" s="57"/>
      <c r="M121" s="14"/>
      <c r="N121" s="14"/>
      <c r="O121" s="14"/>
      <c r="P121" s="14"/>
      <c r="Q121" s="14"/>
      <c r="R121" s="14"/>
      <c r="S121" s="14"/>
      <c r="T121" s="70"/>
      <c r="U121" s="76">
        <v>4.68</v>
      </c>
      <c r="V121" s="76">
        <v>0</v>
      </c>
      <c r="W121" s="76">
        <v>4.68</v>
      </c>
      <c r="X121" s="76">
        <v>0</v>
      </c>
      <c r="Y121" s="77" t="s">
        <v>35</v>
      </c>
      <c r="Z121" s="98">
        <v>1100</v>
      </c>
      <c r="AA121" s="79" t="s">
        <v>121</v>
      </c>
      <c r="AB121" s="79" t="s">
        <v>35</v>
      </c>
      <c r="AC121" s="79" t="s">
        <v>37</v>
      </c>
      <c r="AD121" s="79" t="s">
        <v>38</v>
      </c>
      <c r="AE121" s="79"/>
      <c r="AF121" s="79"/>
      <c r="AG121" s="79"/>
      <c r="AH121" s="79"/>
      <c r="AI121" s="53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</row>
    <row r="122" spans="1:110" ht="12.75" customHeight="1" x14ac:dyDescent="0.25">
      <c r="A122" s="24">
        <v>1103034</v>
      </c>
      <c r="B122" s="11" t="s">
        <v>30</v>
      </c>
      <c r="C122" s="12" t="s">
        <v>1542</v>
      </c>
      <c r="D122" s="11" t="s">
        <v>259</v>
      </c>
      <c r="E122" s="10" t="s">
        <v>1545</v>
      </c>
      <c r="F122" s="10" t="s">
        <v>34</v>
      </c>
      <c r="G122" s="55">
        <f t="shared" si="2"/>
        <v>3.7250000000000001</v>
      </c>
      <c r="H122" s="10">
        <v>10</v>
      </c>
      <c r="I122" s="13">
        <v>55</v>
      </c>
      <c r="J122" s="56">
        <v>44448</v>
      </c>
      <c r="K122" s="57">
        <v>3.15</v>
      </c>
      <c r="M122" s="14"/>
      <c r="N122" s="14"/>
      <c r="O122" s="14"/>
      <c r="P122" s="14"/>
      <c r="Q122" s="14"/>
      <c r="R122" s="14"/>
      <c r="S122" s="14"/>
      <c r="T122" s="70"/>
      <c r="U122" s="76">
        <v>3.68</v>
      </c>
      <c r="V122" s="76">
        <v>4.4999999999999998E-2</v>
      </c>
      <c r="W122" s="76">
        <v>3.68</v>
      </c>
      <c r="X122" s="76">
        <v>4.4999999999999998E-2</v>
      </c>
      <c r="Y122" s="77" t="s">
        <v>37</v>
      </c>
      <c r="Z122" s="98">
        <v>55</v>
      </c>
      <c r="AA122" s="79" t="s">
        <v>121</v>
      </c>
      <c r="AB122" s="79" t="s">
        <v>35</v>
      </c>
      <c r="AC122" s="79" t="s">
        <v>37</v>
      </c>
      <c r="AD122" s="79" t="s">
        <v>38</v>
      </c>
      <c r="AE122" s="79" t="s">
        <v>1543</v>
      </c>
      <c r="AF122" s="79" t="s">
        <v>1544</v>
      </c>
      <c r="AG122" s="79" t="s">
        <v>1546</v>
      </c>
      <c r="AH122" s="79"/>
      <c r="AI122" s="53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</row>
    <row r="123" spans="1:110" ht="17.25" customHeight="1" x14ac:dyDescent="0.25">
      <c r="A123" s="24">
        <v>1103035</v>
      </c>
      <c r="B123" s="11" t="s">
        <v>30</v>
      </c>
      <c r="C123" s="12" t="s">
        <v>288</v>
      </c>
      <c r="D123" s="11" t="s">
        <v>259</v>
      </c>
      <c r="E123" s="10"/>
      <c r="F123" s="10" t="s">
        <v>34</v>
      </c>
      <c r="G123" s="55">
        <f t="shared" si="2"/>
        <v>0</v>
      </c>
      <c r="H123" s="10"/>
      <c r="I123" s="13"/>
      <c r="J123" s="56"/>
      <c r="K123" s="57"/>
      <c r="M123" s="14"/>
      <c r="N123" s="14"/>
      <c r="O123" s="14"/>
      <c r="P123" s="14"/>
      <c r="Q123" s="14"/>
      <c r="R123" s="14"/>
      <c r="S123" s="14"/>
      <c r="T123" s="70"/>
      <c r="U123" s="76"/>
      <c r="V123" s="76"/>
      <c r="W123" s="76"/>
      <c r="X123" s="76"/>
      <c r="Y123" s="77"/>
      <c r="Z123" s="98"/>
      <c r="AA123" s="79"/>
      <c r="AB123" s="79"/>
      <c r="AC123" s="79"/>
      <c r="AD123" s="79"/>
      <c r="AE123" s="79"/>
      <c r="AF123" s="79"/>
      <c r="AG123" s="79"/>
      <c r="AH123" s="79"/>
      <c r="AI123" s="53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</row>
    <row r="124" spans="1:110" ht="16.5" customHeight="1" x14ac:dyDescent="0.25">
      <c r="A124" s="24">
        <v>1103036</v>
      </c>
      <c r="B124" s="11" t="s">
        <v>30</v>
      </c>
      <c r="C124" s="12" t="s">
        <v>1507</v>
      </c>
      <c r="D124" s="11" t="s">
        <v>259</v>
      </c>
      <c r="E124" s="10" t="s">
        <v>33</v>
      </c>
      <c r="F124" s="10" t="s">
        <v>34</v>
      </c>
      <c r="G124" s="55">
        <f t="shared" si="2"/>
        <v>0</v>
      </c>
      <c r="H124" s="10">
        <v>6</v>
      </c>
      <c r="I124" s="13">
        <v>1500</v>
      </c>
      <c r="J124" s="56"/>
      <c r="K124" s="57"/>
      <c r="M124" s="14"/>
      <c r="N124" s="14"/>
      <c r="O124" s="14"/>
      <c r="P124" s="14"/>
      <c r="Q124" s="14"/>
      <c r="R124" s="14"/>
      <c r="S124" s="14"/>
      <c r="T124" s="70"/>
      <c r="U124" s="76"/>
      <c r="V124" s="76"/>
      <c r="W124" s="76"/>
      <c r="X124" s="76"/>
      <c r="Y124" s="77"/>
      <c r="Z124" s="98"/>
      <c r="AA124" s="79"/>
      <c r="AB124" s="79"/>
      <c r="AC124" s="79"/>
      <c r="AD124" s="79"/>
      <c r="AE124" s="79"/>
      <c r="AF124" s="79"/>
      <c r="AG124" s="79"/>
      <c r="AH124" s="79"/>
      <c r="AI124" s="53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</row>
    <row r="125" spans="1:110" ht="16.5" customHeight="1" x14ac:dyDescent="0.25">
      <c r="A125" s="24">
        <v>1103037</v>
      </c>
      <c r="B125" s="11" t="s">
        <v>30</v>
      </c>
      <c r="C125" s="12" t="s">
        <v>1574</v>
      </c>
      <c r="D125" s="11" t="s">
        <v>259</v>
      </c>
      <c r="E125" s="10" t="s">
        <v>164</v>
      </c>
      <c r="F125" s="10" t="s">
        <v>34</v>
      </c>
      <c r="G125" s="55">
        <f t="shared" si="2"/>
        <v>2.3311680924603788</v>
      </c>
      <c r="H125" s="10">
        <v>12</v>
      </c>
      <c r="I125" s="13">
        <v>1500</v>
      </c>
      <c r="J125" s="56"/>
      <c r="K125" s="57"/>
      <c r="M125" s="14"/>
      <c r="N125" s="14"/>
      <c r="O125" s="14"/>
      <c r="P125" s="14"/>
      <c r="Q125" s="14"/>
      <c r="R125" s="14"/>
      <c r="S125" s="14"/>
      <c r="T125" s="70"/>
      <c r="U125" s="76">
        <f>4.5/2.20462</f>
        <v>2.0411680924603788</v>
      </c>
      <c r="V125" s="76">
        <v>0.28999999999999998</v>
      </c>
      <c r="W125" s="76">
        <v>2.0411999999999999</v>
      </c>
      <c r="X125" s="76">
        <v>0.28999999999999998</v>
      </c>
      <c r="Y125" s="77" t="s">
        <v>35</v>
      </c>
      <c r="Z125" s="98">
        <v>1500</v>
      </c>
      <c r="AA125" s="79" t="s">
        <v>36</v>
      </c>
      <c r="AB125" s="79" t="s">
        <v>35</v>
      </c>
      <c r="AC125" s="79" t="s">
        <v>37</v>
      </c>
      <c r="AD125" s="79" t="s">
        <v>38</v>
      </c>
      <c r="AE125" s="79" t="s">
        <v>1575</v>
      </c>
      <c r="AF125" s="79"/>
      <c r="AG125" s="79" t="s">
        <v>1576</v>
      </c>
      <c r="AH125" s="79"/>
      <c r="AI125" s="53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</row>
    <row r="126" spans="1:110" ht="16.5" customHeight="1" x14ac:dyDescent="0.25">
      <c r="A126" s="24">
        <v>1103038</v>
      </c>
      <c r="B126" s="11" t="s">
        <v>30</v>
      </c>
      <c r="C126" s="12" t="s">
        <v>1641</v>
      </c>
      <c r="D126" s="11" t="s">
        <v>32</v>
      </c>
      <c r="E126" s="10" t="s">
        <v>1642</v>
      </c>
      <c r="F126" s="10" t="s">
        <v>34</v>
      </c>
      <c r="G126" s="55" t="s">
        <v>370</v>
      </c>
      <c r="H126" s="10">
        <v>12</v>
      </c>
      <c r="I126" s="13">
        <v>2200</v>
      </c>
      <c r="J126" s="56"/>
      <c r="K126" s="57"/>
      <c r="M126" s="14"/>
      <c r="N126" s="14"/>
      <c r="O126" s="14"/>
      <c r="P126" s="14"/>
      <c r="Q126" s="14"/>
      <c r="R126" s="14"/>
      <c r="S126" s="14"/>
      <c r="T126" s="70"/>
      <c r="U126" s="76"/>
      <c r="V126" s="76"/>
      <c r="W126" s="76"/>
      <c r="X126" s="76"/>
      <c r="Y126" s="77"/>
      <c r="Z126" s="98"/>
      <c r="AA126" s="79"/>
      <c r="AB126" s="79"/>
      <c r="AC126" s="79"/>
      <c r="AD126" s="79"/>
      <c r="AE126" s="79"/>
      <c r="AF126" s="79"/>
      <c r="AG126" s="79"/>
      <c r="AH126" s="79"/>
      <c r="AI126" s="53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</row>
    <row r="127" spans="1:110" ht="16.5" customHeight="1" x14ac:dyDescent="0.25">
      <c r="A127" s="24">
        <v>1103039</v>
      </c>
      <c r="B127" s="11" t="s">
        <v>30</v>
      </c>
      <c r="C127" s="12" t="s">
        <v>1644</v>
      </c>
      <c r="D127" s="11" t="s">
        <v>32</v>
      </c>
      <c r="E127" s="10" t="s">
        <v>1642</v>
      </c>
      <c r="F127" s="10" t="s">
        <v>34</v>
      </c>
      <c r="G127" s="55" t="s">
        <v>370</v>
      </c>
      <c r="H127" s="10"/>
      <c r="I127" s="13"/>
      <c r="J127" s="56"/>
      <c r="K127" s="57"/>
      <c r="M127" s="14"/>
      <c r="N127" s="14"/>
      <c r="O127" s="14"/>
      <c r="P127" s="14"/>
      <c r="Q127" s="14"/>
      <c r="R127" s="14"/>
      <c r="S127" s="14"/>
      <c r="T127" s="70"/>
      <c r="U127" s="76"/>
      <c r="V127" s="76"/>
      <c r="W127" s="76"/>
      <c r="X127" s="76"/>
      <c r="Y127" s="77"/>
      <c r="Z127" s="98"/>
      <c r="AA127" s="79"/>
      <c r="AB127" s="79"/>
      <c r="AC127" s="79"/>
      <c r="AD127" s="79"/>
      <c r="AE127" s="79"/>
      <c r="AF127" s="79"/>
      <c r="AG127" s="79"/>
      <c r="AH127" s="79"/>
      <c r="AI127" s="53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</row>
    <row r="128" spans="1:110" ht="13.8" x14ac:dyDescent="0.25">
      <c r="A128" s="24">
        <v>1103100</v>
      </c>
      <c r="B128" s="11" t="s">
        <v>30</v>
      </c>
      <c r="C128" s="12" t="s">
        <v>274</v>
      </c>
      <c r="D128" s="24" t="s">
        <v>275</v>
      </c>
      <c r="E128" s="24" t="s">
        <v>276</v>
      </c>
      <c r="F128" s="10" t="s">
        <v>34</v>
      </c>
      <c r="G128" s="55">
        <f t="shared" si="2"/>
        <v>9.7799999999999994</v>
      </c>
      <c r="H128" s="10">
        <v>8</v>
      </c>
      <c r="I128" s="13"/>
      <c r="J128" s="56"/>
      <c r="K128" s="57"/>
      <c r="M128" s="14">
        <v>9.7799999999999994</v>
      </c>
      <c r="N128" s="14"/>
      <c r="O128" s="14"/>
      <c r="P128" s="14"/>
      <c r="Q128" s="14"/>
      <c r="R128" s="14"/>
      <c r="S128" s="14"/>
      <c r="T128" s="70"/>
      <c r="U128" s="76">
        <v>9.7799999999999994</v>
      </c>
      <c r="V128" s="76">
        <v>0</v>
      </c>
      <c r="W128" s="76">
        <v>4.2</v>
      </c>
      <c r="X128" s="76">
        <v>2.5999999999999999E-2</v>
      </c>
      <c r="Y128" s="77" t="s">
        <v>37</v>
      </c>
      <c r="Z128" s="78">
        <v>55</v>
      </c>
      <c r="AA128" s="79" t="s">
        <v>277</v>
      </c>
      <c r="AB128" s="79" t="s">
        <v>35</v>
      </c>
      <c r="AC128" s="79" t="s">
        <v>35</v>
      </c>
      <c r="AD128" s="91" t="s">
        <v>57</v>
      </c>
      <c r="AE128" s="79" t="s">
        <v>278</v>
      </c>
      <c r="AF128" s="83" t="s">
        <v>279</v>
      </c>
      <c r="AG128" s="79" t="s">
        <v>280</v>
      </c>
      <c r="AH128" s="79"/>
      <c r="AI128" s="53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</row>
    <row r="129" spans="1:110" ht="13.8" x14ac:dyDescent="0.25">
      <c r="A129" s="24">
        <v>1103101</v>
      </c>
      <c r="B129" s="11" t="s">
        <v>30</v>
      </c>
      <c r="C129" s="12" t="s">
        <v>281</v>
      </c>
      <c r="D129" s="11"/>
      <c r="E129" s="10" t="s">
        <v>282</v>
      </c>
      <c r="F129" s="10" t="s">
        <v>34</v>
      </c>
      <c r="G129" s="55" t="str">
        <f t="shared" si="2"/>
        <v>Obsolete</v>
      </c>
      <c r="H129" s="10"/>
      <c r="I129" s="13"/>
      <c r="J129" s="56"/>
      <c r="K129" s="57"/>
      <c r="M129" s="14"/>
      <c r="N129" s="14"/>
      <c r="O129" s="14"/>
      <c r="P129" s="14"/>
      <c r="Q129" s="14"/>
      <c r="R129" s="14"/>
      <c r="S129" s="14"/>
      <c r="T129" s="70">
        <v>2.1564999999999999</v>
      </c>
      <c r="U129" s="76" t="s">
        <v>54</v>
      </c>
      <c r="V129" s="76"/>
      <c r="W129" s="76" t="s">
        <v>54</v>
      </c>
      <c r="X129" s="76"/>
      <c r="Y129" s="77"/>
      <c r="Z129" s="78"/>
      <c r="AA129" s="79" t="s">
        <v>277</v>
      </c>
      <c r="AB129" s="79" t="s">
        <v>37</v>
      </c>
      <c r="AC129" s="79" t="s">
        <v>35</v>
      </c>
      <c r="AD129" s="79"/>
      <c r="AE129" s="79"/>
      <c r="AF129" s="79"/>
      <c r="AG129" s="79"/>
      <c r="AH129" s="79"/>
      <c r="AI129" s="53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</row>
    <row r="130" spans="1:110" ht="13.8" x14ac:dyDescent="0.25">
      <c r="A130" s="24">
        <v>1103102</v>
      </c>
      <c r="B130" s="11" t="s">
        <v>30</v>
      </c>
      <c r="C130" s="12" t="s">
        <v>1577</v>
      </c>
      <c r="D130" s="11" t="s">
        <v>43</v>
      </c>
      <c r="E130" s="10" t="s">
        <v>283</v>
      </c>
      <c r="F130" s="10" t="s">
        <v>34</v>
      </c>
      <c r="G130" s="55">
        <f t="shared" si="2"/>
        <v>2.835</v>
      </c>
      <c r="H130" s="10"/>
      <c r="I130" s="13"/>
      <c r="J130" s="56"/>
      <c r="K130" s="57"/>
      <c r="M130" s="14"/>
      <c r="N130" s="14">
        <v>2.79</v>
      </c>
      <c r="O130" s="14"/>
      <c r="P130" s="14"/>
      <c r="Q130" s="14"/>
      <c r="R130" s="14"/>
      <c r="S130" s="14"/>
      <c r="T130" s="70"/>
      <c r="U130" s="76">
        <v>2.79</v>
      </c>
      <c r="V130" s="76">
        <v>4.4999999999999998E-2</v>
      </c>
      <c r="W130" s="76">
        <v>2.79</v>
      </c>
      <c r="X130" s="76">
        <v>4.4999999999999998E-2</v>
      </c>
      <c r="Y130" s="77" t="s">
        <v>37</v>
      </c>
      <c r="Z130" s="78">
        <v>50</v>
      </c>
      <c r="AA130" s="79" t="s">
        <v>284</v>
      </c>
      <c r="AB130" s="79" t="s">
        <v>35</v>
      </c>
      <c r="AC130" s="79" t="s">
        <v>37</v>
      </c>
      <c r="AD130" s="79" t="s">
        <v>38</v>
      </c>
      <c r="AE130" s="79" t="s">
        <v>285</v>
      </c>
      <c r="AF130" s="79" t="s">
        <v>286</v>
      </c>
      <c r="AG130" s="79" t="s">
        <v>287</v>
      </c>
      <c r="AH130" s="79"/>
      <c r="AI130" s="53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</row>
    <row r="131" spans="1:110" ht="14.25" customHeight="1" x14ac:dyDescent="0.25">
      <c r="A131" s="24">
        <v>1103035</v>
      </c>
      <c r="B131" s="11" t="s">
        <v>30</v>
      </c>
      <c r="C131" s="12" t="s">
        <v>288</v>
      </c>
      <c r="D131" s="11" t="s">
        <v>259</v>
      </c>
      <c r="E131" s="10" t="s">
        <v>289</v>
      </c>
      <c r="F131" s="10" t="s">
        <v>34</v>
      </c>
      <c r="G131" s="55">
        <f t="shared" si="2"/>
        <v>2.2400000000000002</v>
      </c>
      <c r="H131" s="10"/>
      <c r="I131" s="13"/>
      <c r="J131" s="56"/>
      <c r="K131" s="57"/>
      <c r="M131" s="14"/>
      <c r="N131" s="14"/>
      <c r="O131" s="14"/>
      <c r="P131" s="14"/>
      <c r="Q131" s="14"/>
      <c r="R131" s="14"/>
      <c r="S131" s="14"/>
      <c r="T131" s="70"/>
      <c r="U131" s="76">
        <v>2.2400000000000002</v>
      </c>
      <c r="V131" s="76">
        <v>0</v>
      </c>
      <c r="W131" s="76">
        <v>2.2400000000000002</v>
      </c>
      <c r="X131" s="76">
        <v>0</v>
      </c>
      <c r="Y131" s="77"/>
      <c r="Z131" s="98">
        <v>55</v>
      </c>
      <c r="AA131" s="79" t="s">
        <v>289</v>
      </c>
      <c r="AB131" s="79" t="s">
        <v>35</v>
      </c>
      <c r="AC131" s="79" t="s">
        <v>35</v>
      </c>
      <c r="AD131" s="79"/>
      <c r="AE131" s="79"/>
      <c r="AF131" s="79"/>
      <c r="AG131" s="79"/>
      <c r="AH131" s="79"/>
      <c r="AI131" s="53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</row>
    <row r="132" spans="1:110" ht="13.8" x14ac:dyDescent="0.25">
      <c r="A132" s="24">
        <v>1104001</v>
      </c>
      <c r="B132" s="11" t="s">
        <v>30</v>
      </c>
      <c r="C132" s="12" t="s">
        <v>290</v>
      </c>
      <c r="D132" s="11" t="s">
        <v>131</v>
      </c>
      <c r="E132" s="10" t="s">
        <v>132</v>
      </c>
      <c r="F132" s="10" t="s">
        <v>34</v>
      </c>
      <c r="G132" s="55" t="str">
        <f t="shared" ref="G132:G158" si="3">IF(U132="Obsolete",U132,U132+V132)</f>
        <v>Obsolete</v>
      </c>
      <c r="H132" s="10">
        <v>10</v>
      </c>
      <c r="I132" s="13">
        <v>2000</v>
      </c>
      <c r="J132" s="56"/>
      <c r="K132" s="57"/>
      <c r="M132" s="14"/>
      <c r="N132" s="14"/>
      <c r="O132" s="14"/>
      <c r="P132" s="14"/>
      <c r="Q132" s="14"/>
      <c r="R132" s="14"/>
      <c r="S132" s="14"/>
      <c r="T132" s="70"/>
      <c r="U132" s="76" t="s">
        <v>54</v>
      </c>
      <c r="V132" s="76"/>
      <c r="W132" s="76" t="s">
        <v>54</v>
      </c>
      <c r="X132" s="76"/>
      <c r="Y132" s="97"/>
      <c r="Z132" s="78">
        <v>55</v>
      </c>
      <c r="AA132" s="79" t="s">
        <v>36</v>
      </c>
      <c r="AB132" s="79" t="s">
        <v>37</v>
      </c>
      <c r="AC132" s="79" t="s">
        <v>37</v>
      </c>
      <c r="AD132" s="79"/>
      <c r="AE132" s="79" t="s">
        <v>133</v>
      </c>
      <c r="AF132" s="79" t="s">
        <v>134</v>
      </c>
      <c r="AG132" s="79" t="s">
        <v>135</v>
      </c>
      <c r="AH132" s="79"/>
      <c r="AI132" s="53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</row>
    <row r="133" spans="1:110" ht="13.8" x14ac:dyDescent="0.25">
      <c r="A133" s="24">
        <v>1104002</v>
      </c>
      <c r="B133" s="11" t="s">
        <v>30</v>
      </c>
      <c r="C133" s="25" t="s">
        <v>291</v>
      </c>
      <c r="D133" s="26" t="s">
        <v>131</v>
      </c>
      <c r="E133" s="10" t="s">
        <v>132</v>
      </c>
      <c r="F133" s="10" t="s">
        <v>34</v>
      </c>
      <c r="G133" s="55" t="str">
        <f t="shared" si="3"/>
        <v>Obsolete</v>
      </c>
      <c r="H133" s="10">
        <v>10</v>
      </c>
      <c r="I133" s="13">
        <v>2000</v>
      </c>
      <c r="J133" s="56"/>
      <c r="K133" s="57"/>
      <c r="M133" s="14"/>
      <c r="N133" s="14">
        <v>1.99</v>
      </c>
      <c r="O133" s="14"/>
      <c r="P133" s="14"/>
      <c r="Q133" s="14"/>
      <c r="R133" s="14"/>
      <c r="S133" s="14"/>
      <c r="T133" s="70"/>
      <c r="U133" s="76" t="s">
        <v>54</v>
      </c>
      <c r="V133" s="76"/>
      <c r="W133" s="76" t="s">
        <v>54</v>
      </c>
      <c r="X133" s="76"/>
      <c r="Y133" s="97"/>
      <c r="Z133" s="78">
        <v>55</v>
      </c>
      <c r="AA133" s="79" t="s">
        <v>292</v>
      </c>
      <c r="AB133" s="79" t="s">
        <v>37</v>
      </c>
      <c r="AC133" s="79" t="s">
        <v>37</v>
      </c>
      <c r="AD133" s="79"/>
      <c r="AE133" s="79" t="s">
        <v>133</v>
      </c>
      <c r="AF133" s="79" t="s">
        <v>134</v>
      </c>
      <c r="AG133" s="79" t="s">
        <v>135</v>
      </c>
      <c r="AH133" s="79"/>
      <c r="AI133" s="53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</row>
    <row r="134" spans="1:110" ht="13.8" x14ac:dyDescent="0.25">
      <c r="A134" s="122">
        <v>1104003</v>
      </c>
      <c r="B134" s="11" t="s">
        <v>30</v>
      </c>
      <c r="C134" s="25" t="s">
        <v>293</v>
      </c>
      <c r="D134" s="26" t="s">
        <v>131</v>
      </c>
      <c r="E134" s="10" t="s">
        <v>1619</v>
      </c>
      <c r="F134" s="10" t="s">
        <v>34</v>
      </c>
      <c r="G134" s="55">
        <f t="shared" si="3"/>
        <v>3.355</v>
      </c>
      <c r="H134" s="10">
        <v>10</v>
      </c>
      <c r="I134" s="13">
        <v>55</v>
      </c>
      <c r="J134" s="56">
        <v>44616</v>
      </c>
      <c r="K134" s="57">
        <v>2.9950000000000001</v>
      </c>
      <c r="M134" s="14"/>
      <c r="N134" s="14"/>
      <c r="O134" s="14"/>
      <c r="P134" s="14">
        <v>3.31</v>
      </c>
      <c r="Q134" s="14"/>
      <c r="R134" s="14"/>
      <c r="S134" s="14"/>
      <c r="T134" s="70"/>
      <c r="U134" s="14">
        <v>3.31</v>
      </c>
      <c r="V134" s="76">
        <v>4.4999999999999998E-2</v>
      </c>
      <c r="W134" s="14">
        <v>3.31</v>
      </c>
      <c r="X134" s="76">
        <v>4.4999999999999998E-2</v>
      </c>
      <c r="Y134" s="77" t="s">
        <v>37</v>
      </c>
      <c r="Z134" s="78">
        <v>55</v>
      </c>
      <c r="AA134" s="79" t="s">
        <v>121</v>
      </c>
      <c r="AB134" s="79" t="s">
        <v>35</v>
      </c>
      <c r="AC134" s="79" t="s">
        <v>37</v>
      </c>
      <c r="AD134" s="79" t="s">
        <v>38</v>
      </c>
      <c r="AE134" s="79" t="s">
        <v>50</v>
      </c>
      <c r="AF134" s="79" t="s">
        <v>51</v>
      </c>
      <c r="AG134" s="79" t="s">
        <v>52</v>
      </c>
      <c r="AH134" s="79"/>
      <c r="AI134" s="53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</row>
    <row r="135" spans="1:110" ht="13.8" x14ac:dyDescent="0.25">
      <c r="A135" s="24">
        <v>1104004</v>
      </c>
      <c r="B135" s="11" t="s">
        <v>30</v>
      </c>
      <c r="C135" s="25" t="s">
        <v>294</v>
      </c>
      <c r="D135" s="26" t="s">
        <v>131</v>
      </c>
      <c r="E135" s="10" t="s">
        <v>194</v>
      </c>
      <c r="F135" s="10" t="s">
        <v>34</v>
      </c>
      <c r="G135" s="55" t="str">
        <f t="shared" si="3"/>
        <v>Obsolete</v>
      </c>
      <c r="H135" s="10">
        <v>8</v>
      </c>
      <c r="I135" s="13">
        <v>1100</v>
      </c>
      <c r="J135" s="56"/>
      <c r="K135" s="57"/>
      <c r="M135" s="14"/>
      <c r="N135" s="14"/>
      <c r="O135" s="14">
        <v>2.84</v>
      </c>
      <c r="P135" s="14"/>
      <c r="Q135" s="14"/>
      <c r="R135" s="14"/>
      <c r="S135" s="14"/>
      <c r="T135" s="70"/>
      <c r="U135" s="76" t="s">
        <v>54</v>
      </c>
      <c r="V135" s="76"/>
      <c r="W135" s="76" t="s">
        <v>54</v>
      </c>
      <c r="X135" s="76"/>
      <c r="Y135" s="97"/>
      <c r="Z135" s="87">
        <v>55</v>
      </c>
      <c r="AA135" s="79" t="s">
        <v>189</v>
      </c>
      <c r="AB135" s="79" t="s">
        <v>37</v>
      </c>
      <c r="AC135" s="79" t="s">
        <v>37</v>
      </c>
      <c r="AD135" s="79"/>
      <c r="AE135" s="79" t="s">
        <v>201</v>
      </c>
      <c r="AF135" s="79" t="s">
        <v>202</v>
      </c>
      <c r="AG135" s="79" t="s">
        <v>203</v>
      </c>
      <c r="AH135" s="79"/>
      <c r="AI135" s="53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</row>
    <row r="136" spans="1:110" ht="13.8" x14ac:dyDescent="0.25">
      <c r="A136" s="24">
        <v>1104005</v>
      </c>
      <c r="B136" s="11" t="s">
        <v>30</v>
      </c>
      <c r="C136" s="31" t="s">
        <v>295</v>
      </c>
      <c r="D136" s="26" t="s">
        <v>131</v>
      </c>
      <c r="E136" s="10" t="s">
        <v>276</v>
      </c>
      <c r="F136" s="10" t="s">
        <v>34</v>
      </c>
      <c r="G136" s="55">
        <f t="shared" si="3"/>
        <v>8.84</v>
      </c>
      <c r="H136" s="10">
        <v>5</v>
      </c>
      <c r="I136" s="13">
        <v>220</v>
      </c>
      <c r="J136" s="56"/>
      <c r="K136" s="57"/>
      <c r="M136" s="14">
        <v>8.84</v>
      </c>
      <c r="N136" s="14"/>
      <c r="O136" s="14"/>
      <c r="P136" s="14"/>
      <c r="Q136" s="14"/>
      <c r="R136" s="14"/>
      <c r="S136" s="14"/>
      <c r="T136" s="70"/>
      <c r="U136" s="76">
        <v>8.84</v>
      </c>
      <c r="V136" s="76">
        <v>0</v>
      </c>
      <c r="W136" s="76">
        <v>3.95</v>
      </c>
      <c r="X136" s="76">
        <v>2.5999999999999999E-2</v>
      </c>
      <c r="Y136" s="77" t="s">
        <v>37</v>
      </c>
      <c r="Z136" s="87">
        <v>55</v>
      </c>
      <c r="AA136" s="79" t="s">
        <v>102</v>
      </c>
      <c r="AB136" s="79" t="s">
        <v>35</v>
      </c>
      <c r="AC136" s="79" t="s">
        <v>35</v>
      </c>
      <c r="AD136" s="79" t="s">
        <v>296</v>
      </c>
      <c r="AE136" s="79" t="s">
        <v>278</v>
      </c>
      <c r="AF136" s="83" t="s">
        <v>279</v>
      </c>
      <c r="AG136" s="79" t="s">
        <v>280</v>
      </c>
      <c r="AH136" s="79"/>
      <c r="AI136" s="53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</row>
    <row r="137" spans="1:110" ht="20.399999999999999" x14ac:dyDescent="0.25">
      <c r="A137" s="24">
        <v>1104006</v>
      </c>
      <c r="B137" s="11" t="s">
        <v>30</v>
      </c>
      <c r="C137" s="25" t="s">
        <v>297</v>
      </c>
      <c r="D137" s="26" t="s">
        <v>131</v>
      </c>
      <c r="E137" s="10" t="s">
        <v>242</v>
      </c>
      <c r="F137" s="10" t="s">
        <v>34</v>
      </c>
      <c r="G137" s="55" t="str">
        <f t="shared" si="3"/>
        <v>Obsolete</v>
      </c>
      <c r="H137" s="10"/>
      <c r="I137" s="13"/>
      <c r="J137" s="56"/>
      <c r="K137" s="57"/>
      <c r="M137" s="14"/>
      <c r="N137" s="14"/>
      <c r="O137" s="14"/>
      <c r="P137" s="14"/>
      <c r="Q137" s="14"/>
      <c r="R137" s="14"/>
      <c r="S137" s="14"/>
      <c r="T137" s="70"/>
      <c r="U137" s="76" t="s">
        <v>54</v>
      </c>
      <c r="V137" s="76"/>
      <c r="W137" s="76" t="s">
        <v>54</v>
      </c>
      <c r="X137" s="76"/>
      <c r="Y137" s="97"/>
      <c r="Z137" s="87"/>
      <c r="AA137" s="79" t="s">
        <v>242</v>
      </c>
      <c r="AB137" s="79" t="s">
        <v>37</v>
      </c>
      <c r="AC137" s="79" t="s">
        <v>37</v>
      </c>
      <c r="AD137" s="79"/>
      <c r="AE137" s="79" t="s">
        <v>298</v>
      </c>
      <c r="AF137" s="79" t="s">
        <v>299</v>
      </c>
      <c r="AG137" s="79" t="s">
        <v>300</v>
      </c>
      <c r="AH137" s="79"/>
      <c r="AI137" s="53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</row>
    <row r="138" spans="1:110" ht="13.8" x14ac:dyDescent="0.25">
      <c r="A138" s="24">
        <v>1104007</v>
      </c>
      <c r="B138" s="11" t="s">
        <v>30</v>
      </c>
      <c r="C138" s="16" t="s">
        <v>301</v>
      </c>
      <c r="D138" s="26" t="s">
        <v>131</v>
      </c>
      <c r="E138" s="10" t="s">
        <v>1619</v>
      </c>
      <c r="F138" s="10" t="s">
        <v>34</v>
      </c>
      <c r="G138" s="55">
        <f t="shared" si="3"/>
        <v>6.25</v>
      </c>
      <c r="H138" s="10">
        <v>9</v>
      </c>
      <c r="I138" s="13">
        <v>55</v>
      </c>
      <c r="J138" s="56"/>
      <c r="K138" s="57"/>
      <c r="M138" s="14">
        <v>5.53</v>
      </c>
      <c r="N138" s="14"/>
      <c r="O138" s="14"/>
      <c r="P138" s="14"/>
      <c r="Q138" s="14"/>
      <c r="R138" s="14"/>
      <c r="S138" s="14"/>
      <c r="T138" s="70"/>
      <c r="U138" s="76">
        <v>5.53</v>
      </c>
      <c r="V138" s="76">
        <v>0.72</v>
      </c>
      <c r="W138" s="76">
        <v>5.53</v>
      </c>
      <c r="X138" s="76">
        <v>0.72</v>
      </c>
      <c r="Y138" s="77" t="s">
        <v>37</v>
      </c>
      <c r="Z138" s="87">
        <v>55</v>
      </c>
      <c r="AA138" s="79" t="s">
        <v>36</v>
      </c>
      <c r="AB138" s="79" t="s">
        <v>35</v>
      </c>
      <c r="AC138" s="79" t="s">
        <v>37</v>
      </c>
      <c r="AD138" s="79" t="s">
        <v>38</v>
      </c>
      <c r="AE138" s="79" t="s">
        <v>50</v>
      </c>
      <c r="AF138" s="79" t="s">
        <v>51</v>
      </c>
      <c r="AG138" s="79" t="s">
        <v>52</v>
      </c>
      <c r="AH138" s="79"/>
      <c r="AI138" s="53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</row>
    <row r="139" spans="1:110" ht="13.8" x14ac:dyDescent="0.25">
      <c r="A139" s="24">
        <v>1104008</v>
      </c>
      <c r="B139" s="11" t="s">
        <v>30</v>
      </c>
      <c r="C139" s="16" t="s">
        <v>302</v>
      </c>
      <c r="D139" s="26" t="s">
        <v>131</v>
      </c>
      <c r="E139" s="10" t="s">
        <v>1619</v>
      </c>
      <c r="F139" s="10" t="s">
        <v>34</v>
      </c>
      <c r="G139" s="55">
        <f t="shared" si="3"/>
        <v>4.13</v>
      </c>
      <c r="H139" s="10">
        <v>10</v>
      </c>
      <c r="I139" s="13">
        <v>55</v>
      </c>
      <c r="J139" s="56"/>
      <c r="K139" s="57"/>
      <c r="M139" s="14">
        <v>3.35</v>
      </c>
      <c r="N139" s="14"/>
      <c r="O139" s="14"/>
      <c r="P139" s="14"/>
      <c r="Q139" s="14"/>
      <c r="R139" s="14"/>
      <c r="S139" s="14"/>
      <c r="T139" s="70"/>
      <c r="U139" s="76">
        <v>3.41</v>
      </c>
      <c r="V139" s="76">
        <v>0.72</v>
      </c>
      <c r="W139" s="76">
        <v>3.41</v>
      </c>
      <c r="X139" s="76">
        <v>0.72</v>
      </c>
      <c r="Y139" s="77" t="s">
        <v>37</v>
      </c>
      <c r="Z139" s="87">
        <v>55</v>
      </c>
      <c r="AA139" s="79" t="s">
        <v>36</v>
      </c>
      <c r="AB139" s="79" t="s">
        <v>35</v>
      </c>
      <c r="AC139" s="79" t="s">
        <v>37</v>
      </c>
      <c r="AD139" s="79" t="s">
        <v>38</v>
      </c>
      <c r="AE139" s="79" t="s">
        <v>50</v>
      </c>
      <c r="AF139" s="79" t="s">
        <v>51</v>
      </c>
      <c r="AG139" s="79" t="s">
        <v>52</v>
      </c>
      <c r="AH139" s="79"/>
      <c r="AI139" s="53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</row>
    <row r="140" spans="1:110" ht="13.8" x14ac:dyDescent="0.25">
      <c r="A140" s="24">
        <v>1104009</v>
      </c>
      <c r="B140" s="11" t="s">
        <v>30</v>
      </c>
      <c r="C140" s="16" t="s">
        <v>303</v>
      </c>
      <c r="D140" s="26" t="s">
        <v>131</v>
      </c>
      <c r="E140" s="10" t="s">
        <v>1619</v>
      </c>
      <c r="F140" s="10" t="s">
        <v>34</v>
      </c>
      <c r="G140" s="55">
        <f t="shared" si="3"/>
        <v>4.03</v>
      </c>
      <c r="H140" s="10">
        <v>10</v>
      </c>
      <c r="I140" s="13">
        <v>55</v>
      </c>
      <c r="J140" s="56">
        <v>44546</v>
      </c>
      <c r="K140" s="57">
        <v>2.4700000000000002</v>
      </c>
      <c r="M140" s="14">
        <v>2.4700000000000002</v>
      </c>
      <c r="N140" s="14"/>
      <c r="O140" s="14"/>
      <c r="P140" s="14">
        <v>3.31</v>
      </c>
      <c r="Q140" s="14"/>
      <c r="R140" s="14"/>
      <c r="S140" s="14"/>
      <c r="T140" s="70"/>
      <c r="U140" s="76">
        <v>3.31</v>
      </c>
      <c r="V140" s="76">
        <v>0.72</v>
      </c>
      <c r="W140" s="76">
        <v>3.31</v>
      </c>
      <c r="X140" s="76">
        <v>0.72</v>
      </c>
      <c r="Y140" s="77" t="s">
        <v>37</v>
      </c>
      <c r="Z140" s="87">
        <v>55</v>
      </c>
      <c r="AA140" s="79" t="s">
        <v>36</v>
      </c>
      <c r="AB140" s="79" t="s">
        <v>35</v>
      </c>
      <c r="AC140" s="79" t="s">
        <v>37</v>
      </c>
      <c r="AD140" s="79" t="s">
        <v>38</v>
      </c>
      <c r="AE140" s="79" t="s">
        <v>1637</v>
      </c>
      <c r="AF140" s="79">
        <v>5548845795</v>
      </c>
      <c r="AG140" s="124" t="s">
        <v>1636</v>
      </c>
      <c r="AH140" s="79"/>
      <c r="AI140" s="53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</row>
    <row r="141" spans="1:110" ht="13.8" x14ac:dyDescent="0.25">
      <c r="A141" s="24">
        <v>1104010</v>
      </c>
      <c r="B141" s="11" t="s">
        <v>30</v>
      </c>
      <c r="C141" s="16" t="s">
        <v>304</v>
      </c>
      <c r="D141" s="26" t="s">
        <v>131</v>
      </c>
      <c r="E141" s="10" t="s">
        <v>1619</v>
      </c>
      <c r="F141" s="10" t="s">
        <v>34</v>
      </c>
      <c r="G141" s="55">
        <f t="shared" si="3"/>
        <v>5.5299999999999994</v>
      </c>
      <c r="H141" s="10">
        <v>9</v>
      </c>
      <c r="I141" s="13">
        <v>55</v>
      </c>
      <c r="J141" s="56"/>
      <c r="K141" s="57"/>
      <c r="M141" s="14">
        <v>4.8099999999999996</v>
      </c>
      <c r="N141" s="14"/>
      <c r="O141" s="14"/>
      <c r="P141" s="14"/>
      <c r="Q141" s="14"/>
      <c r="R141" s="14"/>
      <c r="S141" s="14"/>
      <c r="T141" s="70"/>
      <c r="U141" s="76">
        <v>4.8099999999999996</v>
      </c>
      <c r="V141" s="76">
        <v>0.72</v>
      </c>
      <c r="W141" s="76">
        <v>4.8099999999999996</v>
      </c>
      <c r="X141" s="76">
        <v>0.72</v>
      </c>
      <c r="Y141" s="77" t="s">
        <v>35</v>
      </c>
      <c r="Z141" s="87">
        <v>1500</v>
      </c>
      <c r="AA141" s="79" t="s">
        <v>36</v>
      </c>
      <c r="AB141" s="79" t="s">
        <v>35</v>
      </c>
      <c r="AC141" s="79" t="s">
        <v>37</v>
      </c>
      <c r="AD141" s="79" t="s">
        <v>38</v>
      </c>
      <c r="AE141" s="79" t="s">
        <v>50</v>
      </c>
      <c r="AF141" s="79" t="s">
        <v>51</v>
      </c>
      <c r="AG141" s="79" t="s">
        <v>52</v>
      </c>
      <c r="AH141" s="79"/>
      <c r="AI141" s="53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</row>
    <row r="142" spans="1:110" ht="13.8" x14ac:dyDescent="0.25">
      <c r="A142" s="24">
        <v>1104011</v>
      </c>
      <c r="B142" s="11" t="s">
        <v>30</v>
      </c>
      <c r="C142" s="16" t="s">
        <v>305</v>
      </c>
      <c r="D142" s="26" t="s">
        <v>131</v>
      </c>
      <c r="E142" s="10" t="s">
        <v>47</v>
      </c>
      <c r="F142" s="10" t="s">
        <v>34</v>
      </c>
      <c r="G142" s="55">
        <f t="shared" si="3"/>
        <v>1.75</v>
      </c>
      <c r="H142" s="10">
        <v>10</v>
      </c>
      <c r="I142" s="13">
        <v>6400</v>
      </c>
      <c r="J142" s="56"/>
      <c r="K142" s="57"/>
      <c r="M142" s="14"/>
      <c r="N142" s="14"/>
      <c r="O142" s="14"/>
      <c r="P142" s="14"/>
      <c r="Q142" s="14"/>
      <c r="R142" s="14"/>
      <c r="S142" s="14">
        <v>1.75</v>
      </c>
      <c r="T142" s="70"/>
      <c r="U142" s="76">
        <v>1.75</v>
      </c>
      <c r="V142" s="76">
        <v>0</v>
      </c>
      <c r="W142" s="76">
        <v>1.75</v>
      </c>
      <c r="X142" s="76">
        <v>0</v>
      </c>
      <c r="Y142" s="77" t="s">
        <v>35</v>
      </c>
      <c r="Z142" s="87">
        <v>1600</v>
      </c>
      <c r="AA142" s="79" t="s">
        <v>36</v>
      </c>
      <c r="AB142" s="79" t="s">
        <v>35</v>
      </c>
      <c r="AC142" s="79" t="s">
        <v>37</v>
      </c>
      <c r="AD142" s="79" t="s">
        <v>38</v>
      </c>
      <c r="AE142" s="79" t="s">
        <v>1547</v>
      </c>
      <c r="AF142" s="79" t="s">
        <v>1548</v>
      </c>
      <c r="AG142" s="79" t="s">
        <v>1549</v>
      </c>
      <c r="AH142" s="79"/>
      <c r="AI142" s="53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</row>
    <row r="143" spans="1:110" ht="13.8" x14ac:dyDescent="0.25">
      <c r="A143" s="24">
        <v>1104015</v>
      </c>
      <c r="B143" s="11" t="s">
        <v>30</v>
      </c>
      <c r="C143" s="16" t="s">
        <v>306</v>
      </c>
      <c r="D143" s="26" t="s">
        <v>131</v>
      </c>
      <c r="E143" s="10" t="s">
        <v>307</v>
      </c>
      <c r="F143" s="10" t="s">
        <v>34</v>
      </c>
      <c r="G143" s="55" t="str">
        <f t="shared" si="3"/>
        <v>Obsolete</v>
      </c>
      <c r="H143" s="10">
        <v>10</v>
      </c>
      <c r="I143" s="13">
        <v>1763</v>
      </c>
      <c r="J143" s="56"/>
      <c r="K143" s="57"/>
      <c r="M143" s="14"/>
      <c r="N143" s="14"/>
      <c r="O143" s="14">
        <v>2.2999999999999998</v>
      </c>
      <c r="P143" s="14">
        <v>2.25</v>
      </c>
      <c r="Q143" s="14"/>
      <c r="R143" s="14">
        <v>2.2000000000000002</v>
      </c>
      <c r="S143" s="14">
        <v>2.15</v>
      </c>
      <c r="T143" s="70">
        <v>2.1</v>
      </c>
      <c r="U143" s="76" t="s">
        <v>54</v>
      </c>
      <c r="V143" s="76">
        <v>4.4999999999999998E-2</v>
      </c>
      <c r="W143" s="76" t="s">
        <v>54</v>
      </c>
      <c r="X143" s="76">
        <v>4.4999999999999998E-2</v>
      </c>
      <c r="Y143" s="77" t="s">
        <v>37</v>
      </c>
      <c r="Z143" s="87">
        <v>1763</v>
      </c>
      <c r="AA143" s="79" t="s">
        <v>36</v>
      </c>
      <c r="AB143" s="79" t="s">
        <v>37</v>
      </c>
      <c r="AC143" s="79" t="s">
        <v>37</v>
      </c>
      <c r="AD143" s="79" t="s">
        <v>38</v>
      </c>
      <c r="AE143" s="79" t="s">
        <v>308</v>
      </c>
      <c r="AF143" s="79" t="s">
        <v>309</v>
      </c>
      <c r="AG143" s="79" t="s">
        <v>310</v>
      </c>
      <c r="AH143" s="79"/>
      <c r="AI143" s="53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</row>
    <row r="144" spans="1:110" ht="13.8" x14ac:dyDescent="0.25">
      <c r="A144" s="24">
        <v>1104016</v>
      </c>
      <c r="B144" s="11" t="s">
        <v>30</v>
      </c>
      <c r="C144" s="16" t="s">
        <v>311</v>
      </c>
      <c r="D144" s="26" t="s">
        <v>131</v>
      </c>
      <c r="E144" s="10" t="s">
        <v>329</v>
      </c>
      <c r="F144" s="10" t="s">
        <v>34</v>
      </c>
      <c r="G144" s="55">
        <v>1</v>
      </c>
      <c r="H144" s="10">
        <v>8</v>
      </c>
      <c r="I144" s="13">
        <v>8000</v>
      </c>
      <c r="J144" s="56">
        <v>44182</v>
      </c>
      <c r="K144" s="57">
        <v>3.415151515151515</v>
      </c>
      <c r="M144" s="14"/>
      <c r="N144" s="14"/>
      <c r="O144" s="14"/>
      <c r="P144" s="14"/>
      <c r="Q144" s="14"/>
      <c r="R144" s="14"/>
      <c r="S144" s="14"/>
      <c r="T144" s="70"/>
      <c r="U144" s="76">
        <v>0</v>
      </c>
      <c r="V144" s="76">
        <v>4.4999999999999998E-2</v>
      </c>
      <c r="W144" s="76">
        <v>0</v>
      </c>
      <c r="X144" s="76">
        <v>4.4999999999999998E-2</v>
      </c>
      <c r="Y144" s="77" t="s">
        <v>35</v>
      </c>
      <c r="Z144" s="87"/>
      <c r="AA144" s="79" t="s">
        <v>329</v>
      </c>
      <c r="AB144" s="79" t="s">
        <v>35</v>
      </c>
      <c r="AC144" s="79" t="s">
        <v>35</v>
      </c>
      <c r="AD144" s="79" t="s">
        <v>38</v>
      </c>
      <c r="AE144" s="79" t="s">
        <v>330</v>
      </c>
      <c r="AF144" s="79" t="s">
        <v>1583</v>
      </c>
      <c r="AG144" s="79" t="s">
        <v>331</v>
      </c>
      <c r="AH144" s="79" t="s">
        <v>1604</v>
      </c>
      <c r="AI144" s="53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</row>
    <row r="145" spans="1:110" ht="13.8" x14ac:dyDescent="0.25">
      <c r="A145" s="24">
        <v>1104017</v>
      </c>
      <c r="B145" s="11" t="s">
        <v>30</v>
      </c>
      <c r="C145" s="16" t="s">
        <v>312</v>
      </c>
      <c r="D145" s="26" t="s">
        <v>131</v>
      </c>
      <c r="E145" s="10" t="s">
        <v>1640</v>
      </c>
      <c r="F145" s="10" t="s">
        <v>34</v>
      </c>
      <c r="G145" s="55">
        <f t="shared" si="3"/>
        <v>1.4</v>
      </c>
      <c r="H145" s="10">
        <v>16</v>
      </c>
      <c r="I145" s="13">
        <v>1800</v>
      </c>
      <c r="J145" s="56">
        <v>44585</v>
      </c>
      <c r="K145" s="57">
        <v>0.91</v>
      </c>
      <c r="M145" s="14"/>
      <c r="N145" s="14"/>
      <c r="O145" s="14"/>
      <c r="P145" s="14"/>
      <c r="Q145" s="14"/>
      <c r="R145" s="14"/>
      <c r="S145" s="14"/>
      <c r="T145" s="70"/>
      <c r="U145" s="76">
        <v>1.4</v>
      </c>
      <c r="V145" s="76">
        <v>0</v>
      </c>
      <c r="W145" s="76">
        <v>1.4</v>
      </c>
      <c r="X145" s="76">
        <v>0</v>
      </c>
      <c r="Y145" s="77" t="s">
        <v>35</v>
      </c>
      <c r="Z145" s="87">
        <v>55</v>
      </c>
      <c r="AA145" s="79" t="s">
        <v>102</v>
      </c>
      <c r="AB145" s="79" t="s">
        <v>35</v>
      </c>
      <c r="AC145" s="79" t="s">
        <v>35</v>
      </c>
      <c r="AD145" s="79"/>
      <c r="AE145" s="79" t="s">
        <v>313</v>
      </c>
      <c r="AF145" s="79"/>
      <c r="AG145" s="79"/>
      <c r="AH145" s="79"/>
      <c r="AI145" s="53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</row>
    <row r="146" spans="1:110" ht="13.8" x14ac:dyDescent="0.25">
      <c r="A146" s="24">
        <v>1104018</v>
      </c>
      <c r="B146" s="11" t="s">
        <v>30</v>
      </c>
      <c r="C146" s="16" t="s">
        <v>314</v>
      </c>
      <c r="D146" s="26" t="s">
        <v>131</v>
      </c>
      <c r="E146" s="10" t="s">
        <v>1619</v>
      </c>
      <c r="F146" s="10" t="s">
        <v>34</v>
      </c>
      <c r="G146" s="55">
        <f t="shared" si="3"/>
        <v>0</v>
      </c>
      <c r="H146" s="10"/>
      <c r="I146" s="13"/>
      <c r="J146" s="56"/>
      <c r="K146" s="57"/>
      <c r="M146" s="14"/>
      <c r="N146" s="14"/>
      <c r="O146" s="14"/>
      <c r="P146" s="14"/>
      <c r="Q146" s="14"/>
      <c r="R146" s="14"/>
      <c r="S146" s="14"/>
      <c r="T146" s="70"/>
      <c r="U146" s="76"/>
      <c r="V146" s="76"/>
      <c r="W146" s="76"/>
      <c r="X146" s="76"/>
      <c r="Y146" s="77"/>
      <c r="Z146" s="87"/>
      <c r="AA146" s="79"/>
      <c r="AB146" s="79"/>
      <c r="AC146" s="79"/>
      <c r="AD146" s="79"/>
      <c r="AE146" s="79"/>
      <c r="AF146" s="79"/>
      <c r="AG146" s="79"/>
      <c r="AH146" s="79"/>
      <c r="AI146" s="53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</row>
    <row r="147" spans="1:110" ht="13.8" x14ac:dyDescent="0.25">
      <c r="A147" s="24">
        <v>1104019</v>
      </c>
      <c r="B147" s="11" t="s">
        <v>30</v>
      </c>
      <c r="C147" s="16" t="s">
        <v>315</v>
      </c>
      <c r="D147" s="26" t="s">
        <v>131</v>
      </c>
      <c r="E147" s="10" t="s">
        <v>1619</v>
      </c>
      <c r="F147" s="10" t="s">
        <v>34</v>
      </c>
      <c r="G147" s="55">
        <f t="shared" si="3"/>
        <v>0</v>
      </c>
      <c r="H147" s="10"/>
      <c r="I147" s="13"/>
      <c r="J147" s="56"/>
      <c r="K147" s="57"/>
      <c r="M147" s="14"/>
      <c r="N147" s="14"/>
      <c r="O147" s="14"/>
      <c r="P147" s="14"/>
      <c r="Q147" s="14"/>
      <c r="R147" s="14"/>
      <c r="S147" s="14"/>
      <c r="T147" s="70"/>
      <c r="U147" s="76"/>
      <c r="V147" s="76"/>
      <c r="W147" s="76"/>
      <c r="X147" s="76"/>
      <c r="Y147" s="77"/>
      <c r="Z147" s="87"/>
      <c r="AA147" s="79"/>
      <c r="AB147" s="79"/>
      <c r="AC147" s="79"/>
      <c r="AD147" s="79"/>
      <c r="AE147" s="79"/>
      <c r="AF147" s="79"/>
      <c r="AG147" s="79"/>
      <c r="AH147" s="79"/>
      <c r="AI147" s="53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</row>
    <row r="148" spans="1:110" ht="13.8" x14ac:dyDescent="0.25">
      <c r="A148" s="24">
        <v>1104020</v>
      </c>
      <c r="B148" s="11" t="s">
        <v>30</v>
      </c>
      <c r="C148" s="16" t="s">
        <v>1582</v>
      </c>
      <c r="D148" s="26" t="s">
        <v>131</v>
      </c>
      <c r="E148" s="10" t="s">
        <v>329</v>
      </c>
      <c r="F148" s="10" t="s">
        <v>34</v>
      </c>
      <c r="G148" s="55">
        <f t="shared" si="3"/>
        <v>0</v>
      </c>
      <c r="H148" s="10"/>
      <c r="I148" s="13">
        <v>55</v>
      </c>
      <c r="J148" s="56"/>
      <c r="K148" s="57"/>
      <c r="M148" s="14"/>
      <c r="N148" s="14"/>
      <c r="O148" s="14"/>
      <c r="P148" s="14"/>
      <c r="Q148" s="14"/>
      <c r="R148" s="14"/>
      <c r="S148" s="14"/>
      <c r="T148" s="70"/>
      <c r="U148" s="76"/>
      <c r="V148" s="76"/>
      <c r="W148" s="76"/>
      <c r="X148" s="76"/>
      <c r="Y148" s="77"/>
      <c r="Z148" s="87"/>
      <c r="AA148" s="79" t="s">
        <v>329</v>
      </c>
      <c r="AB148" s="79" t="s">
        <v>35</v>
      </c>
      <c r="AC148" s="79" t="s">
        <v>35</v>
      </c>
      <c r="AD148" s="79" t="s">
        <v>38</v>
      </c>
      <c r="AE148" s="79" t="s">
        <v>330</v>
      </c>
      <c r="AF148" s="79" t="s">
        <v>1583</v>
      </c>
      <c r="AG148" s="79" t="s">
        <v>331</v>
      </c>
      <c r="AH148" s="79" t="s">
        <v>1602</v>
      </c>
      <c r="AI148" s="53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</row>
    <row r="149" spans="1:110" ht="13.8" x14ac:dyDescent="0.25">
      <c r="A149" s="24">
        <v>1105001</v>
      </c>
      <c r="B149" s="11" t="s">
        <v>30</v>
      </c>
      <c r="C149" s="25" t="s">
        <v>316</v>
      </c>
      <c r="D149" s="24" t="s">
        <v>317</v>
      </c>
      <c r="E149" s="24" t="s">
        <v>33</v>
      </c>
      <c r="F149" s="26" t="s">
        <v>34</v>
      </c>
      <c r="G149" s="55">
        <f t="shared" si="3"/>
        <v>6.8</v>
      </c>
      <c r="H149" s="24">
        <v>6</v>
      </c>
      <c r="I149" s="34">
        <v>1996</v>
      </c>
      <c r="J149" s="56"/>
      <c r="K149" s="57"/>
      <c r="M149" s="14"/>
      <c r="N149" s="14">
        <v>8.2799999999999994</v>
      </c>
      <c r="O149" s="14">
        <v>6.8</v>
      </c>
      <c r="P149" s="14"/>
      <c r="Q149" s="14">
        <v>6.54</v>
      </c>
      <c r="R149" s="14"/>
      <c r="S149" s="14"/>
      <c r="T149" s="70"/>
      <c r="U149" s="76">
        <v>6.8</v>
      </c>
      <c r="V149" s="76">
        <v>0</v>
      </c>
      <c r="W149" s="76">
        <v>6.8</v>
      </c>
      <c r="X149" s="76">
        <v>0</v>
      </c>
      <c r="Y149" s="77" t="s">
        <v>35</v>
      </c>
      <c r="Z149" s="99"/>
      <c r="AA149" s="100" t="s">
        <v>36</v>
      </c>
      <c r="AB149" s="96" t="s">
        <v>35</v>
      </c>
      <c r="AC149" s="79" t="s">
        <v>37</v>
      </c>
      <c r="AD149" s="96"/>
      <c r="AE149" s="79" t="s">
        <v>39</v>
      </c>
      <c r="AF149" s="79" t="s">
        <v>40</v>
      </c>
      <c r="AG149" s="79" t="s">
        <v>41</v>
      </c>
      <c r="AH149" s="79"/>
      <c r="AI149" s="53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</row>
    <row r="150" spans="1:110" ht="13.8" x14ac:dyDescent="0.25">
      <c r="A150" s="24">
        <v>1105002</v>
      </c>
      <c r="B150" s="11" t="s">
        <v>30</v>
      </c>
      <c r="C150" s="25" t="s">
        <v>318</v>
      </c>
      <c r="D150" s="24" t="s">
        <v>317</v>
      </c>
      <c r="E150" s="24" t="s">
        <v>33</v>
      </c>
      <c r="F150" s="26" t="s">
        <v>34</v>
      </c>
      <c r="G150" s="55" t="str">
        <f t="shared" si="3"/>
        <v>Obsolete</v>
      </c>
      <c r="H150" s="24">
        <v>6</v>
      </c>
      <c r="I150" s="34" t="s">
        <v>88</v>
      </c>
      <c r="J150" s="56"/>
      <c r="K150" s="57"/>
      <c r="M150" s="14"/>
      <c r="N150" s="14"/>
      <c r="O150" s="14">
        <v>8.5399999999999991</v>
      </c>
      <c r="P150" s="14"/>
      <c r="Q150" s="14"/>
      <c r="R150" s="14"/>
      <c r="S150" s="14"/>
      <c r="T150" s="70"/>
      <c r="U150" s="76" t="s">
        <v>54</v>
      </c>
      <c r="V150" s="101"/>
      <c r="W150" s="76" t="s">
        <v>54</v>
      </c>
      <c r="X150" s="76"/>
      <c r="Y150" s="102"/>
      <c r="Z150" s="99"/>
      <c r="AA150" s="100" t="s">
        <v>64</v>
      </c>
      <c r="AB150" s="96" t="s">
        <v>37</v>
      </c>
      <c r="AC150" s="79" t="s">
        <v>37</v>
      </c>
      <c r="AD150" s="96"/>
      <c r="AE150" s="79" t="s">
        <v>39</v>
      </c>
      <c r="AF150" s="79" t="s">
        <v>40</v>
      </c>
      <c r="AG150" s="79" t="s">
        <v>41</v>
      </c>
      <c r="AH150" s="79"/>
      <c r="AI150" s="53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</row>
    <row r="151" spans="1:110" ht="13.8" x14ac:dyDescent="0.25">
      <c r="A151" s="24">
        <v>1105003</v>
      </c>
      <c r="B151" s="11" t="s">
        <v>30</v>
      </c>
      <c r="C151" s="25" t="s">
        <v>319</v>
      </c>
      <c r="D151" s="24" t="s">
        <v>317</v>
      </c>
      <c r="E151" s="24" t="s">
        <v>33</v>
      </c>
      <c r="F151" s="26" t="s">
        <v>34</v>
      </c>
      <c r="G151" s="55">
        <f t="shared" si="3"/>
        <v>3.7171493212669682</v>
      </c>
      <c r="H151" s="24">
        <v>6</v>
      </c>
      <c r="I151" s="34">
        <v>55</v>
      </c>
      <c r="J151" s="56"/>
      <c r="K151" s="57"/>
      <c r="M151" s="14"/>
      <c r="N151" s="14"/>
      <c r="O151" s="14"/>
      <c r="P151" s="14"/>
      <c r="Q151" s="14"/>
      <c r="R151" s="14"/>
      <c r="S151" s="14"/>
      <c r="T151" s="70"/>
      <c r="U151" s="76">
        <v>3.69</v>
      </c>
      <c r="V151" s="76">
        <v>2.7149321266968326E-2</v>
      </c>
      <c r="W151" s="76">
        <v>3.69</v>
      </c>
      <c r="X151" s="76">
        <v>2.7149321266968326E-2</v>
      </c>
      <c r="Y151" s="77" t="s">
        <v>35</v>
      </c>
      <c r="Z151" s="99"/>
      <c r="AA151" s="100" t="s">
        <v>234</v>
      </c>
      <c r="AB151" s="96" t="s">
        <v>35</v>
      </c>
      <c r="AC151" s="79" t="s">
        <v>37</v>
      </c>
      <c r="AD151" s="96" t="s">
        <v>38</v>
      </c>
      <c r="AE151" s="79" t="s">
        <v>39</v>
      </c>
      <c r="AF151" s="79" t="s">
        <v>40</v>
      </c>
      <c r="AG151" s="79" t="s">
        <v>41</v>
      </c>
      <c r="AH151" s="79"/>
      <c r="AI151" s="53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</row>
    <row r="152" spans="1:110" ht="13.8" x14ac:dyDescent="0.25">
      <c r="A152" s="24">
        <v>1105004</v>
      </c>
      <c r="B152" s="11" t="s">
        <v>30</v>
      </c>
      <c r="C152" s="25" t="s">
        <v>320</v>
      </c>
      <c r="D152" s="24" t="s">
        <v>317</v>
      </c>
      <c r="E152" s="24" t="s">
        <v>33</v>
      </c>
      <c r="F152" s="26" t="s">
        <v>34</v>
      </c>
      <c r="G152" s="55">
        <f t="shared" si="3"/>
        <v>22.15</v>
      </c>
      <c r="H152" s="24">
        <v>6</v>
      </c>
      <c r="I152" s="34">
        <v>55</v>
      </c>
      <c r="J152" s="56"/>
      <c r="K152" s="57"/>
      <c r="M152" s="14">
        <v>22.15</v>
      </c>
      <c r="N152" s="14"/>
      <c r="O152" s="14"/>
      <c r="P152" s="14"/>
      <c r="Q152" s="14"/>
      <c r="R152" s="14"/>
      <c r="S152" s="14"/>
      <c r="T152" s="70"/>
      <c r="U152" s="76">
        <v>22.15</v>
      </c>
      <c r="V152" s="76">
        <v>0</v>
      </c>
      <c r="W152" s="76">
        <v>22.15</v>
      </c>
      <c r="X152" s="76">
        <v>0</v>
      </c>
      <c r="Y152" s="77" t="s">
        <v>35</v>
      </c>
      <c r="Z152" s="99">
        <v>55</v>
      </c>
      <c r="AA152" s="100" t="s">
        <v>102</v>
      </c>
      <c r="AB152" s="96" t="s">
        <v>35</v>
      </c>
      <c r="AC152" s="79" t="s">
        <v>35</v>
      </c>
      <c r="AD152" s="96"/>
      <c r="AE152" s="79" t="s">
        <v>39</v>
      </c>
      <c r="AF152" s="79" t="s">
        <v>40</v>
      </c>
      <c r="AG152" s="79" t="s">
        <v>41</v>
      </c>
      <c r="AH152" s="79"/>
      <c r="AI152" s="53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</row>
    <row r="153" spans="1:110" ht="13.8" x14ac:dyDescent="0.25">
      <c r="A153" s="24">
        <v>1105005</v>
      </c>
      <c r="B153" s="11" t="s">
        <v>30</v>
      </c>
      <c r="C153" s="25" t="s">
        <v>321</v>
      </c>
      <c r="D153" s="24" t="s">
        <v>317</v>
      </c>
      <c r="E153" s="24" t="s">
        <v>276</v>
      </c>
      <c r="F153" s="26" t="s">
        <v>34</v>
      </c>
      <c r="G153" s="55" t="str">
        <f t="shared" si="3"/>
        <v>Obsolete</v>
      </c>
      <c r="H153" s="24">
        <v>8</v>
      </c>
      <c r="I153" s="34"/>
      <c r="J153" s="56"/>
      <c r="K153" s="57"/>
      <c r="M153" s="14"/>
      <c r="N153" s="14"/>
      <c r="O153" s="14"/>
      <c r="P153" s="14"/>
      <c r="Q153" s="14"/>
      <c r="R153" s="14"/>
      <c r="S153" s="14"/>
      <c r="T153" s="70"/>
      <c r="U153" s="76" t="s">
        <v>54</v>
      </c>
      <c r="V153" s="76">
        <v>0</v>
      </c>
      <c r="W153" s="76" t="s">
        <v>54</v>
      </c>
      <c r="X153" s="76">
        <v>0</v>
      </c>
      <c r="Y153" s="77" t="s">
        <v>37</v>
      </c>
      <c r="Z153" s="99">
        <v>55</v>
      </c>
      <c r="AA153" s="100" t="s">
        <v>102</v>
      </c>
      <c r="AB153" s="79" t="s">
        <v>37</v>
      </c>
      <c r="AC153" s="79" t="s">
        <v>35</v>
      </c>
      <c r="AD153" s="91" t="s">
        <v>57</v>
      </c>
      <c r="AE153" s="79" t="s">
        <v>278</v>
      </c>
      <c r="AF153" s="83" t="s">
        <v>279</v>
      </c>
      <c r="AG153" s="79" t="s">
        <v>280</v>
      </c>
      <c r="AH153" s="79"/>
      <c r="AI153" s="53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</row>
    <row r="154" spans="1:110" ht="13.8" x14ac:dyDescent="0.25">
      <c r="A154" s="24">
        <v>1105006</v>
      </c>
      <c r="B154" s="11" t="s">
        <v>30</v>
      </c>
      <c r="C154" s="25" t="s">
        <v>322</v>
      </c>
      <c r="D154" s="24" t="s">
        <v>317</v>
      </c>
      <c r="E154" s="24" t="s">
        <v>323</v>
      </c>
      <c r="F154" s="26" t="s">
        <v>34</v>
      </c>
      <c r="G154" s="55">
        <f t="shared" si="3"/>
        <v>3.84</v>
      </c>
      <c r="H154" s="24"/>
      <c r="I154" s="34">
        <v>55</v>
      </c>
      <c r="J154" s="56"/>
      <c r="K154" s="57"/>
      <c r="M154" s="14">
        <v>3.84</v>
      </c>
      <c r="N154" s="14"/>
      <c r="O154" s="14">
        <v>3.13</v>
      </c>
      <c r="P154" s="14">
        <v>3.07</v>
      </c>
      <c r="Q154" s="14"/>
      <c r="R154" s="14"/>
      <c r="S154" s="14"/>
      <c r="T154" s="70"/>
      <c r="U154" s="76">
        <v>3.84</v>
      </c>
      <c r="V154" s="76">
        <v>0</v>
      </c>
      <c r="W154" s="76">
        <v>3.84</v>
      </c>
      <c r="X154" s="76">
        <v>0</v>
      </c>
      <c r="Y154" s="77" t="s">
        <v>37</v>
      </c>
      <c r="Z154" s="99">
        <v>55</v>
      </c>
      <c r="AA154" s="100" t="s">
        <v>102</v>
      </c>
      <c r="AB154" s="79" t="s">
        <v>35</v>
      </c>
      <c r="AC154" s="79" t="s">
        <v>35</v>
      </c>
      <c r="AD154" s="79"/>
      <c r="AE154" s="79" t="s">
        <v>324</v>
      </c>
      <c r="AF154" s="83" t="s">
        <v>325</v>
      </c>
      <c r="AG154" s="79" t="s">
        <v>326</v>
      </c>
      <c r="AH154" s="79"/>
      <c r="AI154" s="53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</row>
    <row r="155" spans="1:110" ht="20.399999999999999" x14ac:dyDescent="0.25">
      <c r="A155" s="24">
        <v>1105007</v>
      </c>
      <c r="B155" s="11" t="s">
        <v>30</v>
      </c>
      <c r="C155" s="25" t="s">
        <v>327</v>
      </c>
      <c r="D155" s="24" t="s">
        <v>328</v>
      </c>
      <c r="E155" s="24" t="s">
        <v>329</v>
      </c>
      <c r="F155" s="26" t="s">
        <v>34</v>
      </c>
      <c r="G155" s="55">
        <f t="shared" si="3"/>
        <v>0.01</v>
      </c>
      <c r="H155" s="24"/>
      <c r="I155" s="34"/>
      <c r="J155" s="56"/>
      <c r="K155" s="57"/>
      <c r="M155" s="14"/>
      <c r="N155" s="14"/>
      <c r="O155" s="14"/>
      <c r="P155" s="14"/>
      <c r="Q155" s="14"/>
      <c r="R155" s="14"/>
      <c r="S155" s="14"/>
      <c r="T155" s="70"/>
      <c r="U155" s="76">
        <v>0</v>
      </c>
      <c r="V155" s="76">
        <v>0.01</v>
      </c>
      <c r="W155" s="76">
        <v>0</v>
      </c>
      <c r="X155" s="76">
        <v>0.01</v>
      </c>
      <c r="Y155" s="77" t="s">
        <v>37</v>
      </c>
      <c r="Z155" s="99"/>
      <c r="AA155" s="100" t="s">
        <v>329</v>
      </c>
      <c r="AB155" s="79" t="s">
        <v>35</v>
      </c>
      <c r="AC155" s="79"/>
      <c r="AD155" s="79"/>
      <c r="AE155" s="79" t="s">
        <v>330</v>
      </c>
      <c r="AF155" s="83"/>
      <c r="AG155" s="79" t="s">
        <v>331</v>
      </c>
      <c r="AH155" s="79" t="s">
        <v>1607</v>
      </c>
      <c r="AI155" s="53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</row>
    <row r="156" spans="1:110" ht="20.399999999999999" x14ac:dyDescent="0.25">
      <c r="A156" s="24">
        <v>1105008</v>
      </c>
      <c r="B156" s="11" t="s">
        <v>30</v>
      </c>
      <c r="C156" s="25" t="s">
        <v>332</v>
      </c>
      <c r="D156" s="24" t="s">
        <v>317</v>
      </c>
      <c r="E156" s="24" t="s">
        <v>276</v>
      </c>
      <c r="F156" s="26" t="s">
        <v>34</v>
      </c>
      <c r="G156" s="55">
        <f t="shared" si="3"/>
        <v>4.2149999999999999</v>
      </c>
      <c r="H156" s="24"/>
      <c r="I156" s="34">
        <v>1323</v>
      </c>
      <c r="J156" s="56"/>
      <c r="K156" s="57"/>
      <c r="M156" s="14"/>
      <c r="N156" s="14"/>
      <c r="O156" s="14"/>
      <c r="P156" s="14"/>
      <c r="Q156" s="14"/>
      <c r="R156" s="14"/>
      <c r="S156" s="14"/>
      <c r="T156" s="70"/>
      <c r="U156" s="76">
        <v>4.17</v>
      </c>
      <c r="V156" s="76">
        <v>4.4999999999999998E-2</v>
      </c>
      <c r="W156" s="76">
        <v>4.17</v>
      </c>
      <c r="X156" s="76">
        <v>4.4999999999999998E-2</v>
      </c>
      <c r="Y156" s="77"/>
      <c r="Z156" s="99"/>
      <c r="AA156" s="100"/>
      <c r="AB156" s="79"/>
      <c r="AC156" s="79"/>
      <c r="AD156" s="79"/>
      <c r="AE156" s="79"/>
      <c r="AF156" s="83"/>
      <c r="AG156" s="79"/>
      <c r="AH156" s="79"/>
      <c r="AI156" s="53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</row>
    <row r="157" spans="1:110" ht="13.8" x14ac:dyDescent="0.25">
      <c r="A157" s="24">
        <v>1105009</v>
      </c>
      <c r="B157" s="11" t="s">
        <v>30</v>
      </c>
      <c r="C157" s="25" t="s">
        <v>333</v>
      </c>
      <c r="D157" s="24" t="s">
        <v>317</v>
      </c>
      <c r="E157" s="24" t="s">
        <v>33</v>
      </c>
      <c r="F157" s="26" t="s">
        <v>34</v>
      </c>
      <c r="G157" s="55">
        <f t="shared" si="3"/>
        <v>3.25</v>
      </c>
      <c r="H157" s="24">
        <v>10</v>
      </c>
      <c r="I157" s="34">
        <v>55</v>
      </c>
      <c r="J157" s="56"/>
      <c r="K157" s="57"/>
      <c r="M157" s="14">
        <v>3.25</v>
      </c>
      <c r="N157" s="14"/>
      <c r="O157" s="14"/>
      <c r="P157" s="14"/>
      <c r="Q157" s="14"/>
      <c r="R157" s="14"/>
      <c r="S157" s="14"/>
      <c r="T157" s="70"/>
      <c r="U157" s="76">
        <v>3.25</v>
      </c>
      <c r="V157" s="76">
        <v>0</v>
      </c>
      <c r="W157" s="76">
        <v>3.25</v>
      </c>
      <c r="X157" s="76">
        <v>0</v>
      </c>
      <c r="Y157" s="77" t="s">
        <v>37</v>
      </c>
      <c r="Z157" s="99">
        <v>55</v>
      </c>
      <c r="AA157" s="100" t="s">
        <v>44</v>
      </c>
      <c r="AB157" s="79" t="s">
        <v>37</v>
      </c>
      <c r="AC157" s="79" t="s">
        <v>37</v>
      </c>
      <c r="AD157" s="79" t="s">
        <v>38</v>
      </c>
      <c r="AE157" s="79" t="s">
        <v>39</v>
      </c>
      <c r="AF157" s="79" t="s">
        <v>40</v>
      </c>
      <c r="AG157" s="79" t="s">
        <v>41</v>
      </c>
      <c r="AH157" s="79"/>
      <c r="AI157" s="53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</row>
    <row r="158" spans="1:110" ht="13.8" x14ac:dyDescent="0.25">
      <c r="A158" s="24">
        <v>1105010</v>
      </c>
      <c r="B158" s="11" t="s">
        <v>30</v>
      </c>
      <c r="C158" s="25" t="s">
        <v>334</v>
      </c>
      <c r="D158" s="24" t="s">
        <v>317</v>
      </c>
      <c r="E158" s="24" t="s">
        <v>33</v>
      </c>
      <c r="F158" s="26" t="s">
        <v>34</v>
      </c>
      <c r="G158" s="55">
        <f t="shared" si="3"/>
        <v>3.75</v>
      </c>
      <c r="H158" s="24">
        <v>10</v>
      </c>
      <c r="I158" s="34">
        <v>55</v>
      </c>
      <c r="J158" s="56"/>
      <c r="K158" s="57"/>
      <c r="M158" s="14">
        <v>3.75</v>
      </c>
      <c r="N158" s="14"/>
      <c r="O158" s="14"/>
      <c r="P158" s="14"/>
      <c r="Q158" s="14"/>
      <c r="R158" s="14"/>
      <c r="S158" s="14"/>
      <c r="T158" s="70"/>
      <c r="U158" s="76">
        <v>3.75</v>
      </c>
      <c r="V158" s="76">
        <v>0</v>
      </c>
      <c r="W158" s="76">
        <v>3.75</v>
      </c>
      <c r="X158" s="76">
        <v>0</v>
      </c>
      <c r="Y158" s="77" t="s">
        <v>37</v>
      </c>
      <c r="Z158" s="99">
        <v>55</v>
      </c>
      <c r="AA158" s="100" t="s">
        <v>44</v>
      </c>
      <c r="AB158" s="79" t="s">
        <v>37</v>
      </c>
      <c r="AC158" s="79" t="s">
        <v>37</v>
      </c>
      <c r="AD158" s="79" t="s">
        <v>38</v>
      </c>
      <c r="AE158" s="79" t="s">
        <v>39</v>
      </c>
      <c r="AF158" s="79" t="s">
        <v>40</v>
      </c>
      <c r="AG158" s="79" t="s">
        <v>41</v>
      </c>
      <c r="AH158" s="79"/>
      <c r="AI158" s="53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</row>
    <row r="159" spans="1:110" ht="13.8" x14ac:dyDescent="0.25">
      <c r="A159" s="24">
        <v>1105011</v>
      </c>
      <c r="B159" s="11" t="s">
        <v>30</v>
      </c>
      <c r="C159" s="25" t="s">
        <v>1597</v>
      </c>
      <c r="D159" s="24" t="s">
        <v>317</v>
      </c>
      <c r="E159" s="24" t="s">
        <v>329</v>
      </c>
      <c r="F159" s="26" t="s">
        <v>34</v>
      </c>
      <c r="G159" s="55">
        <v>0</v>
      </c>
      <c r="H159" s="24"/>
      <c r="I159" s="34"/>
      <c r="J159" s="56"/>
      <c r="K159" s="57"/>
      <c r="M159" s="14"/>
      <c r="N159" s="14"/>
      <c r="O159" s="14"/>
      <c r="P159" s="14"/>
      <c r="Q159" s="14"/>
      <c r="R159" s="14"/>
      <c r="S159" s="14"/>
      <c r="T159" s="70"/>
      <c r="U159" s="76"/>
      <c r="V159" s="76"/>
      <c r="W159" s="76"/>
      <c r="X159" s="76"/>
      <c r="Y159" s="77"/>
      <c r="Z159" s="99"/>
      <c r="AA159" s="100"/>
      <c r="AB159" s="79"/>
      <c r="AC159" s="79"/>
      <c r="AD159" s="79"/>
      <c r="AE159" s="79"/>
      <c r="AF159" s="79"/>
      <c r="AG159" s="79"/>
      <c r="AH159" s="79"/>
      <c r="AI159" s="53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</row>
    <row r="160" spans="1:110" ht="13.8" x14ac:dyDescent="0.25">
      <c r="A160" s="24">
        <v>1106001</v>
      </c>
      <c r="B160" s="11" t="s">
        <v>30</v>
      </c>
      <c r="C160" s="25" t="s">
        <v>335</v>
      </c>
      <c r="D160" s="26" t="s">
        <v>146</v>
      </c>
      <c r="E160" s="10" t="s">
        <v>336</v>
      </c>
      <c r="F160" s="10" t="s">
        <v>34</v>
      </c>
      <c r="G160" s="55" t="str">
        <f t="shared" ref="G160:G177" si="4">IF(U160="Obsolete",U160,U160+V160)</f>
        <v>Obsolete</v>
      </c>
      <c r="H160" s="10">
        <v>2</v>
      </c>
      <c r="I160" s="13">
        <v>1100</v>
      </c>
      <c r="J160" s="56"/>
      <c r="K160" s="57"/>
      <c r="M160" s="14"/>
      <c r="N160" s="14"/>
      <c r="O160" s="14">
        <v>1.28</v>
      </c>
      <c r="P160" s="14">
        <v>1.3</v>
      </c>
      <c r="Q160" s="14"/>
      <c r="R160" s="14"/>
      <c r="S160" s="14"/>
      <c r="T160" s="70"/>
      <c r="U160" s="76" t="s">
        <v>54</v>
      </c>
      <c r="V160" s="76"/>
      <c r="W160" s="76" t="s">
        <v>54</v>
      </c>
      <c r="X160" s="76"/>
      <c r="Y160" s="97"/>
      <c r="Z160" s="87" t="s">
        <v>337</v>
      </c>
      <c r="AA160" s="79" t="s">
        <v>189</v>
      </c>
      <c r="AB160" s="79" t="s">
        <v>37</v>
      </c>
      <c r="AC160" s="79" t="s">
        <v>37</v>
      </c>
      <c r="AD160" s="79"/>
      <c r="AE160" s="79" t="s">
        <v>338</v>
      </c>
      <c r="AF160" s="79" t="s">
        <v>339</v>
      </c>
      <c r="AG160" s="79" t="s">
        <v>340</v>
      </c>
      <c r="AH160" s="79"/>
      <c r="AI160" s="53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</row>
    <row r="161" spans="1:110" ht="13.8" x14ac:dyDescent="0.25">
      <c r="A161" s="24">
        <v>1106002</v>
      </c>
      <c r="B161" s="11" t="s">
        <v>30</v>
      </c>
      <c r="C161" s="12" t="s">
        <v>341</v>
      </c>
      <c r="D161" s="11" t="s">
        <v>146</v>
      </c>
      <c r="E161" s="10" t="s">
        <v>342</v>
      </c>
      <c r="F161" s="10" t="s">
        <v>34</v>
      </c>
      <c r="G161" s="55" t="str">
        <f t="shared" si="4"/>
        <v>Obsolete</v>
      </c>
      <c r="H161" s="10">
        <v>4</v>
      </c>
      <c r="I161" s="13">
        <v>1500</v>
      </c>
      <c r="J161" s="56"/>
      <c r="K161" s="57"/>
      <c r="M161" s="14"/>
      <c r="N161" s="14"/>
      <c r="O161" s="14">
        <v>2</v>
      </c>
      <c r="P161" s="14"/>
      <c r="Q161" s="14"/>
      <c r="R161" s="14"/>
      <c r="S161" s="14"/>
      <c r="T161" s="70"/>
      <c r="U161" s="76" t="s">
        <v>54</v>
      </c>
      <c r="V161" s="76"/>
      <c r="W161" s="76" t="s">
        <v>54</v>
      </c>
      <c r="X161" s="76"/>
      <c r="Y161" s="97"/>
      <c r="Z161" s="78">
        <v>1500</v>
      </c>
      <c r="AA161" s="79" t="s">
        <v>189</v>
      </c>
      <c r="AB161" s="79" t="s">
        <v>37</v>
      </c>
      <c r="AC161" s="79" t="s">
        <v>37</v>
      </c>
      <c r="AD161" s="79"/>
      <c r="AE161" s="79" t="s">
        <v>343</v>
      </c>
      <c r="AF161" s="79" t="s">
        <v>344</v>
      </c>
      <c r="AG161" s="79" t="s">
        <v>345</v>
      </c>
      <c r="AH161" s="79"/>
      <c r="AI161" s="53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</row>
    <row r="162" spans="1:110" ht="13.8" x14ac:dyDescent="0.25">
      <c r="A162" s="24">
        <v>1106003</v>
      </c>
      <c r="B162" s="11" t="s">
        <v>30</v>
      </c>
      <c r="C162" s="25" t="s">
        <v>346</v>
      </c>
      <c r="D162" s="26" t="s">
        <v>146</v>
      </c>
      <c r="E162" s="10" t="s">
        <v>194</v>
      </c>
      <c r="F162" s="10" t="s">
        <v>34</v>
      </c>
      <c r="G162" s="55" t="str">
        <f t="shared" si="4"/>
        <v>Obsolete</v>
      </c>
      <c r="H162" s="10">
        <v>2</v>
      </c>
      <c r="I162" s="13">
        <v>1499</v>
      </c>
      <c r="J162" s="56"/>
      <c r="K162" s="57"/>
      <c r="M162" s="14"/>
      <c r="N162" s="14"/>
      <c r="O162" s="14">
        <v>1.3340000000000001</v>
      </c>
      <c r="P162" s="14">
        <v>1.28</v>
      </c>
      <c r="Q162" s="14"/>
      <c r="R162" s="14"/>
      <c r="S162" s="14"/>
      <c r="T162" s="70"/>
      <c r="U162" s="76" t="s">
        <v>54</v>
      </c>
      <c r="V162" s="76">
        <v>0</v>
      </c>
      <c r="W162" s="76" t="s">
        <v>54</v>
      </c>
      <c r="X162" s="76">
        <v>0</v>
      </c>
      <c r="Y162" s="77" t="s">
        <v>37</v>
      </c>
      <c r="Z162" s="78">
        <v>1499</v>
      </c>
      <c r="AA162" s="79" t="s">
        <v>36</v>
      </c>
      <c r="AB162" s="79" t="s">
        <v>37</v>
      </c>
      <c r="AC162" s="79" t="s">
        <v>37</v>
      </c>
      <c r="AD162" s="79" t="s">
        <v>38</v>
      </c>
      <c r="AE162" s="79" t="s">
        <v>347</v>
      </c>
      <c r="AF162" s="79" t="s">
        <v>348</v>
      </c>
      <c r="AG162" s="79" t="s">
        <v>349</v>
      </c>
      <c r="AH162" s="79"/>
      <c r="AI162" s="53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</row>
    <row r="163" spans="1:110" ht="13.8" x14ac:dyDescent="0.25">
      <c r="A163" s="24">
        <v>1106004</v>
      </c>
      <c r="B163" s="11" t="s">
        <v>30</v>
      </c>
      <c r="C163" s="25" t="s">
        <v>350</v>
      </c>
      <c r="D163" s="26" t="s">
        <v>146</v>
      </c>
      <c r="E163" s="10" t="s">
        <v>336</v>
      </c>
      <c r="F163" s="10" t="s">
        <v>34</v>
      </c>
      <c r="G163" s="55" t="str">
        <f t="shared" si="4"/>
        <v>Obsolete</v>
      </c>
      <c r="H163" s="10">
        <v>3</v>
      </c>
      <c r="I163" s="13">
        <v>1100</v>
      </c>
      <c r="J163" s="56"/>
      <c r="K163" s="57"/>
      <c r="M163" s="14"/>
      <c r="N163" s="14"/>
      <c r="O163" s="14">
        <v>1.49</v>
      </c>
      <c r="P163" s="14"/>
      <c r="Q163" s="14"/>
      <c r="R163" s="14"/>
      <c r="S163" s="14"/>
      <c r="T163" s="70"/>
      <c r="U163" s="76" t="s">
        <v>54</v>
      </c>
      <c r="V163" s="76"/>
      <c r="W163" s="76" t="s">
        <v>54</v>
      </c>
      <c r="X163" s="76"/>
      <c r="Y163" s="97"/>
      <c r="Z163" s="78">
        <v>1100</v>
      </c>
      <c r="AA163" s="79" t="s">
        <v>189</v>
      </c>
      <c r="AB163" s="79" t="s">
        <v>37</v>
      </c>
      <c r="AC163" s="79" t="s">
        <v>37</v>
      </c>
      <c r="AD163" s="79"/>
      <c r="AE163" s="79" t="s">
        <v>338</v>
      </c>
      <c r="AF163" s="79" t="s">
        <v>339</v>
      </c>
      <c r="AG163" s="79" t="s">
        <v>340</v>
      </c>
      <c r="AH163" s="79"/>
      <c r="AI163" s="53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</row>
    <row r="164" spans="1:110" ht="13.8" x14ac:dyDescent="0.25">
      <c r="A164" s="24">
        <v>1106005</v>
      </c>
      <c r="B164" s="11" t="s">
        <v>30</v>
      </c>
      <c r="C164" s="25" t="s">
        <v>351</v>
      </c>
      <c r="D164" s="26" t="s">
        <v>146</v>
      </c>
      <c r="E164" s="10" t="s">
        <v>1611</v>
      </c>
      <c r="F164" s="10" t="s">
        <v>34</v>
      </c>
      <c r="G164" s="55">
        <f t="shared" si="4"/>
        <v>2.1879999999999997</v>
      </c>
      <c r="H164" s="10">
        <v>7</v>
      </c>
      <c r="I164" s="13">
        <v>1400</v>
      </c>
      <c r="J164" s="56">
        <v>44616</v>
      </c>
      <c r="K164" s="57">
        <v>2.379</v>
      </c>
      <c r="M164" s="14"/>
      <c r="N164" s="14"/>
      <c r="O164" s="14">
        <v>2.1429999999999998</v>
      </c>
      <c r="P164" s="14"/>
      <c r="Q164" s="14">
        <v>2.1429999999999998</v>
      </c>
      <c r="R164" s="14"/>
      <c r="S164" s="14">
        <v>2.113</v>
      </c>
      <c r="T164" s="70">
        <v>2.093</v>
      </c>
      <c r="U164" s="14">
        <v>2.1429999999999998</v>
      </c>
      <c r="V164" s="76">
        <v>4.4999999999999998E-2</v>
      </c>
      <c r="W164" s="14">
        <v>2.1429999999999998</v>
      </c>
      <c r="X164" s="76">
        <v>4.4999999999999998E-2</v>
      </c>
      <c r="Y164" s="77" t="s">
        <v>35</v>
      </c>
      <c r="Z164" s="78">
        <v>1200</v>
      </c>
      <c r="AA164" s="79" t="s">
        <v>36</v>
      </c>
      <c r="AB164" s="79" t="s">
        <v>35</v>
      </c>
      <c r="AC164" s="79" t="s">
        <v>37</v>
      </c>
      <c r="AD164" s="79" t="s">
        <v>38</v>
      </c>
      <c r="AE164" s="79" t="s">
        <v>1517</v>
      </c>
      <c r="AF164" s="83" t="s">
        <v>1518</v>
      </c>
      <c r="AG164" s="79" t="s">
        <v>1519</v>
      </c>
      <c r="AH164" s="79"/>
      <c r="AI164" s="53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</row>
    <row r="165" spans="1:110" ht="13.8" x14ac:dyDescent="0.25">
      <c r="A165" s="24">
        <v>1106006</v>
      </c>
      <c r="B165" s="11" t="s">
        <v>30</v>
      </c>
      <c r="C165" s="25" t="s">
        <v>352</v>
      </c>
      <c r="D165" s="26" t="s">
        <v>146</v>
      </c>
      <c r="E165" s="10" t="s">
        <v>307</v>
      </c>
      <c r="F165" s="10" t="s">
        <v>34</v>
      </c>
      <c r="G165" s="55">
        <f t="shared" si="4"/>
        <v>5.25</v>
      </c>
      <c r="H165" s="10">
        <v>4</v>
      </c>
      <c r="I165" s="13">
        <v>50</v>
      </c>
      <c r="J165" s="56"/>
      <c r="K165" s="57"/>
      <c r="M165" s="14">
        <v>4.25</v>
      </c>
      <c r="N165" s="14"/>
      <c r="O165" s="14">
        <v>1.3</v>
      </c>
      <c r="P165" s="14"/>
      <c r="Q165" s="14"/>
      <c r="R165" s="14"/>
      <c r="S165" s="14"/>
      <c r="T165" s="70">
        <v>1.23</v>
      </c>
      <c r="U165" s="76">
        <v>4.25</v>
      </c>
      <c r="V165" s="76">
        <v>1</v>
      </c>
      <c r="W165" s="76">
        <v>4.25</v>
      </c>
      <c r="X165" s="76">
        <v>1</v>
      </c>
      <c r="Y165" s="77" t="s">
        <v>37</v>
      </c>
      <c r="Z165" s="78">
        <v>55</v>
      </c>
      <c r="AA165" s="79" t="s">
        <v>36</v>
      </c>
      <c r="AB165" s="79" t="s">
        <v>35</v>
      </c>
      <c r="AC165" s="79" t="s">
        <v>37</v>
      </c>
      <c r="AD165" s="79" t="s">
        <v>38</v>
      </c>
      <c r="AE165" s="79" t="s">
        <v>308</v>
      </c>
      <c r="AF165" s="79" t="s">
        <v>309</v>
      </c>
      <c r="AG165" s="79" t="s">
        <v>310</v>
      </c>
      <c r="AH165" s="79"/>
      <c r="AI165" s="53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</row>
    <row r="166" spans="1:110" ht="13.8" x14ac:dyDescent="0.25">
      <c r="A166" s="24">
        <v>1106007</v>
      </c>
      <c r="B166" s="11" t="s">
        <v>30</v>
      </c>
      <c r="C166" s="25" t="s">
        <v>353</v>
      </c>
      <c r="D166" s="26" t="s">
        <v>146</v>
      </c>
      <c r="E166" s="10" t="s">
        <v>33</v>
      </c>
      <c r="F166" s="10" t="s">
        <v>34</v>
      </c>
      <c r="G166" s="55">
        <f t="shared" si="4"/>
        <v>1.18</v>
      </c>
      <c r="H166" s="10">
        <v>6</v>
      </c>
      <c r="I166" s="13">
        <v>8800</v>
      </c>
      <c r="J166" s="56"/>
      <c r="K166" s="57"/>
      <c r="M166" s="14"/>
      <c r="N166" s="14"/>
      <c r="O166" s="14"/>
      <c r="P166" s="14"/>
      <c r="Q166" s="14"/>
      <c r="R166" s="14"/>
      <c r="S166" s="14"/>
      <c r="T166" s="70">
        <v>1.18</v>
      </c>
      <c r="U166" s="76">
        <v>1.18</v>
      </c>
      <c r="V166" s="76">
        <v>0</v>
      </c>
      <c r="W166" s="76">
        <v>1.18</v>
      </c>
      <c r="X166" s="76">
        <v>0</v>
      </c>
      <c r="Y166" s="77" t="s">
        <v>35</v>
      </c>
      <c r="Z166" s="78"/>
      <c r="AA166" s="79" t="s">
        <v>116</v>
      </c>
      <c r="AB166" s="79" t="s">
        <v>35</v>
      </c>
      <c r="AC166" s="79" t="s">
        <v>35</v>
      </c>
      <c r="AD166" s="79"/>
      <c r="AE166" s="79" t="s">
        <v>39</v>
      </c>
      <c r="AF166" s="79" t="s">
        <v>40</v>
      </c>
      <c r="AG166" s="79" t="s">
        <v>41</v>
      </c>
      <c r="AH166" s="79"/>
      <c r="AI166" s="53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</row>
    <row r="167" spans="1:110" ht="13.8" x14ac:dyDescent="0.25">
      <c r="A167" s="24">
        <v>1106008</v>
      </c>
      <c r="B167" s="11" t="s">
        <v>30</v>
      </c>
      <c r="C167" s="25" t="s">
        <v>354</v>
      </c>
      <c r="D167" s="26" t="s">
        <v>146</v>
      </c>
      <c r="E167" s="10" t="s">
        <v>1611</v>
      </c>
      <c r="F167" s="10" t="s">
        <v>34</v>
      </c>
      <c r="G167" s="55">
        <f t="shared" si="4"/>
        <v>2.0409999999999999</v>
      </c>
      <c r="H167" s="10">
        <v>7</v>
      </c>
      <c r="I167" s="13">
        <v>1300</v>
      </c>
      <c r="J167" s="56">
        <v>44616</v>
      </c>
      <c r="K167" s="57">
        <v>2.21</v>
      </c>
      <c r="M167" s="14"/>
      <c r="N167" s="14"/>
      <c r="O167" s="76">
        <v>1.996</v>
      </c>
      <c r="P167" s="14"/>
      <c r="Q167" s="14"/>
      <c r="R167" s="14"/>
      <c r="S167" s="14">
        <v>1.966</v>
      </c>
      <c r="T167" s="70">
        <v>1.946</v>
      </c>
      <c r="U167" s="76">
        <v>1.996</v>
      </c>
      <c r="V167" s="76">
        <v>4.4999999999999998E-2</v>
      </c>
      <c r="W167" s="76">
        <v>1.996</v>
      </c>
      <c r="X167" s="76">
        <v>4.4999999999999998E-2</v>
      </c>
      <c r="Y167" s="77" t="s">
        <v>35</v>
      </c>
      <c r="Z167" s="78">
        <v>1300</v>
      </c>
      <c r="AA167" s="79" t="s">
        <v>36</v>
      </c>
      <c r="AB167" s="79" t="s">
        <v>35</v>
      </c>
      <c r="AC167" s="79" t="s">
        <v>37</v>
      </c>
      <c r="AD167" s="79" t="s">
        <v>38</v>
      </c>
      <c r="AE167" s="79" t="s">
        <v>1517</v>
      </c>
      <c r="AF167" s="83" t="s">
        <v>1518</v>
      </c>
      <c r="AG167" s="79" t="s">
        <v>1519</v>
      </c>
      <c r="AH167" s="79"/>
      <c r="AI167" s="53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</row>
    <row r="168" spans="1:110" ht="13.8" x14ac:dyDescent="0.25">
      <c r="A168" s="24">
        <v>1106009</v>
      </c>
      <c r="B168" s="11" t="s">
        <v>30</v>
      </c>
      <c r="C168" s="25" t="s">
        <v>355</v>
      </c>
      <c r="D168" s="26" t="s">
        <v>146</v>
      </c>
      <c r="E168" s="10" t="s">
        <v>1611</v>
      </c>
      <c r="F168" s="10" t="s">
        <v>34</v>
      </c>
      <c r="G168" s="55" t="str">
        <f t="shared" si="4"/>
        <v>Obsolete</v>
      </c>
      <c r="H168" s="10">
        <v>7</v>
      </c>
      <c r="I168" s="13">
        <v>1300</v>
      </c>
      <c r="J168" s="56"/>
      <c r="K168" s="57"/>
      <c r="M168" s="14"/>
      <c r="N168" s="14"/>
      <c r="O168" s="14"/>
      <c r="P168" s="14"/>
      <c r="Q168" s="14"/>
      <c r="R168" s="14"/>
      <c r="S168" s="14"/>
      <c r="T168" s="70"/>
      <c r="U168" s="76" t="s">
        <v>54</v>
      </c>
      <c r="V168" s="76">
        <v>0</v>
      </c>
      <c r="W168" s="76" t="s">
        <v>54</v>
      </c>
      <c r="X168" s="76">
        <v>0</v>
      </c>
      <c r="Y168" s="77" t="s">
        <v>35</v>
      </c>
      <c r="Z168" s="78">
        <v>1300</v>
      </c>
      <c r="AA168" s="79" t="s">
        <v>36</v>
      </c>
      <c r="AB168" s="79" t="s">
        <v>37</v>
      </c>
      <c r="AC168" s="79" t="s">
        <v>37</v>
      </c>
      <c r="AD168" s="79" t="s">
        <v>38</v>
      </c>
      <c r="AE168" s="79" t="s">
        <v>1517</v>
      </c>
      <c r="AF168" s="83" t="s">
        <v>1518</v>
      </c>
      <c r="AG168" s="79" t="s">
        <v>1519</v>
      </c>
      <c r="AH168" s="79"/>
      <c r="AI168" s="53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</row>
    <row r="169" spans="1:110" ht="13.8" x14ac:dyDescent="0.25">
      <c r="A169" s="24">
        <v>1106010</v>
      </c>
      <c r="B169" s="11" t="s">
        <v>30</v>
      </c>
      <c r="C169" s="25" t="s">
        <v>356</v>
      </c>
      <c r="D169" s="26" t="s">
        <v>146</v>
      </c>
      <c r="E169" s="10" t="s">
        <v>357</v>
      </c>
      <c r="F169" s="10" t="s">
        <v>34</v>
      </c>
      <c r="G169" s="55">
        <f t="shared" si="4"/>
        <v>1.01</v>
      </c>
      <c r="H169" s="10">
        <v>4</v>
      </c>
      <c r="I169" s="13">
        <v>30300</v>
      </c>
      <c r="J169" s="56"/>
      <c r="K169" s="57"/>
      <c r="M169" s="14"/>
      <c r="N169" s="14"/>
      <c r="O169" s="14"/>
      <c r="P169" s="14"/>
      <c r="Q169" s="14"/>
      <c r="R169" s="14"/>
      <c r="S169" s="14">
        <v>1.01</v>
      </c>
      <c r="T169" s="70">
        <v>0.91</v>
      </c>
      <c r="U169" s="76">
        <v>1.01</v>
      </c>
      <c r="V169" s="76">
        <v>0</v>
      </c>
      <c r="W169" s="76">
        <v>1.01</v>
      </c>
      <c r="X169" s="76">
        <v>0</v>
      </c>
      <c r="Y169" s="77" t="s">
        <v>35</v>
      </c>
      <c r="Z169" s="78">
        <v>25</v>
      </c>
      <c r="AA169" s="79" t="s">
        <v>358</v>
      </c>
      <c r="AB169" s="79" t="s">
        <v>35</v>
      </c>
      <c r="AC169" s="79" t="s">
        <v>37</v>
      </c>
      <c r="AD169" s="79" t="s">
        <v>38</v>
      </c>
      <c r="AE169" s="79" t="s">
        <v>359</v>
      </c>
      <c r="AF169" s="79" t="s">
        <v>360</v>
      </c>
      <c r="AG169" s="79" t="s">
        <v>361</v>
      </c>
      <c r="AH169" s="79"/>
      <c r="AI169" s="53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</row>
    <row r="170" spans="1:110" ht="15.75" customHeight="1" x14ac:dyDescent="0.25">
      <c r="A170" s="24">
        <v>1106011</v>
      </c>
      <c r="B170" s="11" t="s">
        <v>30</v>
      </c>
      <c r="C170" s="25" t="s">
        <v>362</v>
      </c>
      <c r="D170" s="26" t="s">
        <v>146</v>
      </c>
      <c r="E170" s="10" t="s">
        <v>363</v>
      </c>
      <c r="F170" s="10" t="s">
        <v>34</v>
      </c>
      <c r="G170" s="55" t="str">
        <f t="shared" si="4"/>
        <v>Obsolete</v>
      </c>
      <c r="H170" s="10"/>
      <c r="I170" s="13"/>
      <c r="J170" s="56"/>
      <c r="K170" s="57"/>
      <c r="M170" s="14"/>
      <c r="N170" s="14"/>
      <c r="O170" s="14"/>
      <c r="P170" s="14"/>
      <c r="Q170" s="14"/>
      <c r="R170" s="14"/>
      <c r="S170" s="14"/>
      <c r="T170" s="70"/>
      <c r="U170" s="76" t="s">
        <v>54</v>
      </c>
      <c r="V170" s="76"/>
      <c r="W170" s="76" t="s">
        <v>54</v>
      </c>
      <c r="X170" s="76"/>
      <c r="Y170" s="77"/>
      <c r="Z170" s="78"/>
      <c r="AA170" s="79"/>
      <c r="AB170" s="79" t="s">
        <v>37</v>
      </c>
      <c r="AC170" s="79"/>
      <c r="AD170" s="79"/>
      <c r="AE170" s="79"/>
      <c r="AF170" s="79"/>
      <c r="AG170" s="79"/>
      <c r="AH170" s="79"/>
      <c r="AI170" s="53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</row>
    <row r="171" spans="1:110" ht="20.399999999999999" x14ac:dyDescent="0.25">
      <c r="A171" s="24">
        <v>1106012</v>
      </c>
      <c r="B171" s="11" t="s">
        <v>30</v>
      </c>
      <c r="C171" s="25" t="s">
        <v>364</v>
      </c>
      <c r="D171" s="26" t="s">
        <v>146</v>
      </c>
      <c r="E171" s="10" t="s">
        <v>194</v>
      </c>
      <c r="F171" s="10" t="s">
        <v>34</v>
      </c>
      <c r="G171" s="55" t="str">
        <f t="shared" si="4"/>
        <v>Obsolete</v>
      </c>
      <c r="H171" s="10">
        <v>7</v>
      </c>
      <c r="I171" s="13">
        <v>2200</v>
      </c>
      <c r="J171" s="56"/>
      <c r="K171" s="57"/>
      <c r="M171" s="14"/>
      <c r="N171" s="14"/>
      <c r="O171" s="14">
        <v>2.8650000000000002</v>
      </c>
      <c r="P171" s="14"/>
      <c r="Q171" s="14"/>
      <c r="R171" s="14"/>
      <c r="S171" s="14"/>
      <c r="T171" s="70"/>
      <c r="U171" s="76" t="s">
        <v>54</v>
      </c>
      <c r="V171" s="76">
        <v>0</v>
      </c>
      <c r="W171" s="76" t="s">
        <v>54</v>
      </c>
      <c r="X171" s="76">
        <v>0</v>
      </c>
      <c r="Y171" s="77" t="s">
        <v>37</v>
      </c>
      <c r="Z171" s="78">
        <v>1500</v>
      </c>
      <c r="AA171" s="79" t="s">
        <v>365</v>
      </c>
      <c r="AB171" s="79" t="s">
        <v>37</v>
      </c>
      <c r="AC171" s="79" t="s">
        <v>35</v>
      </c>
      <c r="AD171" s="79"/>
      <c r="AE171" s="79" t="s">
        <v>347</v>
      </c>
      <c r="AF171" s="79" t="s">
        <v>348</v>
      </c>
      <c r="AG171" s="79" t="s">
        <v>349</v>
      </c>
      <c r="AH171" s="79"/>
      <c r="AI171" s="53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</row>
    <row r="172" spans="1:110" ht="13.8" x14ac:dyDescent="0.25">
      <c r="A172" s="24">
        <v>1106013</v>
      </c>
      <c r="B172" s="11" t="s">
        <v>30</v>
      </c>
      <c r="C172" s="16" t="s">
        <v>366</v>
      </c>
      <c r="D172" s="11" t="s">
        <v>146</v>
      </c>
      <c r="E172" s="10" t="s">
        <v>101</v>
      </c>
      <c r="F172" s="10" t="s">
        <v>34</v>
      </c>
      <c r="G172" s="55">
        <f t="shared" si="4"/>
        <v>2.3245</v>
      </c>
      <c r="H172" s="10">
        <v>5</v>
      </c>
      <c r="I172" s="13"/>
      <c r="J172" s="56">
        <v>44273</v>
      </c>
      <c r="K172" s="57">
        <v>1.6844999999999999</v>
      </c>
      <c r="M172" s="14"/>
      <c r="N172" s="14"/>
      <c r="O172" s="14"/>
      <c r="P172" s="14"/>
      <c r="Q172" s="14"/>
      <c r="R172" s="14">
        <v>2.27</v>
      </c>
      <c r="S172" s="14"/>
      <c r="T172" s="70">
        <v>2.21</v>
      </c>
      <c r="U172" s="76">
        <v>2.27</v>
      </c>
      <c r="V172" s="76">
        <v>5.45E-2</v>
      </c>
      <c r="W172" s="76">
        <v>2.27</v>
      </c>
      <c r="X172" s="76">
        <v>5.45E-2</v>
      </c>
      <c r="Y172" s="77"/>
      <c r="Z172" s="78"/>
      <c r="AA172" s="79" t="s">
        <v>365</v>
      </c>
      <c r="AB172" s="79" t="s">
        <v>35</v>
      </c>
      <c r="AC172" s="79" t="s">
        <v>35</v>
      </c>
      <c r="AD172" s="79" t="s">
        <v>35</v>
      </c>
      <c r="AE172" s="79" t="s">
        <v>103</v>
      </c>
      <c r="AF172" s="79" t="s">
        <v>104</v>
      </c>
      <c r="AG172" s="79" t="s">
        <v>105</v>
      </c>
      <c r="AH172" s="79"/>
      <c r="AI172" s="53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</row>
    <row r="173" spans="1:110" ht="13.8" x14ac:dyDescent="0.25">
      <c r="A173" s="122">
        <v>1106014</v>
      </c>
      <c r="B173" s="11" t="s">
        <v>30</v>
      </c>
      <c r="C173" s="16" t="s">
        <v>367</v>
      </c>
      <c r="D173" s="10" t="s">
        <v>146</v>
      </c>
      <c r="E173" s="10" t="s">
        <v>1611</v>
      </c>
      <c r="F173" s="10" t="s">
        <v>34</v>
      </c>
      <c r="G173" s="55">
        <f t="shared" si="4"/>
        <v>2.3759999999999999</v>
      </c>
      <c r="H173" s="10">
        <v>7</v>
      </c>
      <c r="I173" s="13">
        <v>5600</v>
      </c>
      <c r="J173" s="56">
        <v>44616</v>
      </c>
      <c r="K173" s="57">
        <v>2.3119999999999998</v>
      </c>
      <c r="M173" s="14"/>
      <c r="N173" s="14"/>
      <c r="O173" s="14">
        <v>2.6379999999999999</v>
      </c>
      <c r="P173" s="14"/>
      <c r="Q173" s="14"/>
      <c r="R173" s="14">
        <v>2.331</v>
      </c>
      <c r="S173" s="14"/>
      <c r="T173" s="70">
        <v>2.181</v>
      </c>
      <c r="U173" s="14">
        <v>2.331</v>
      </c>
      <c r="V173" s="76">
        <v>4.4999999999999998E-2</v>
      </c>
      <c r="W173" s="14">
        <v>2.331</v>
      </c>
      <c r="X173" s="76">
        <v>4.4999999999999998E-2</v>
      </c>
      <c r="Y173" s="77" t="s">
        <v>35</v>
      </c>
      <c r="Z173" s="78">
        <v>1400</v>
      </c>
      <c r="AA173" s="79" t="s">
        <v>36</v>
      </c>
      <c r="AB173" s="79" t="s">
        <v>35</v>
      </c>
      <c r="AC173" s="79" t="s">
        <v>37</v>
      </c>
      <c r="AD173" s="79" t="s">
        <v>38</v>
      </c>
      <c r="AE173" s="79" t="s">
        <v>1517</v>
      </c>
      <c r="AF173" s="83" t="s">
        <v>1518</v>
      </c>
      <c r="AG173" s="79" t="s">
        <v>1519</v>
      </c>
      <c r="AH173" s="79"/>
      <c r="AI173" s="53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</row>
    <row r="174" spans="1:110" ht="13.8" x14ac:dyDescent="0.25">
      <c r="A174" s="24">
        <v>1106015</v>
      </c>
      <c r="B174" s="11" t="s">
        <v>30</v>
      </c>
      <c r="C174" s="16" t="s">
        <v>368</v>
      </c>
      <c r="D174" s="10" t="s">
        <v>146</v>
      </c>
      <c r="E174" s="10" t="s">
        <v>1619</v>
      </c>
      <c r="F174" s="10" t="s">
        <v>34</v>
      </c>
      <c r="G174" s="55">
        <f t="shared" si="4"/>
        <v>2.4499999999999997</v>
      </c>
      <c r="H174" s="10">
        <v>9</v>
      </c>
      <c r="I174" s="13">
        <v>4200</v>
      </c>
      <c r="J174" s="56">
        <v>44446</v>
      </c>
      <c r="K174" s="57">
        <v>2.34</v>
      </c>
      <c r="M174" s="14"/>
      <c r="N174" s="14"/>
      <c r="O174" s="14"/>
      <c r="P174" s="14"/>
      <c r="Q174" s="14"/>
      <c r="R174" s="14">
        <v>2.42</v>
      </c>
      <c r="S174" s="14"/>
      <c r="T174" s="70"/>
      <c r="U174" s="76">
        <v>2.42</v>
      </c>
      <c r="V174" s="76">
        <v>0.03</v>
      </c>
      <c r="W174" s="76">
        <v>2.42</v>
      </c>
      <c r="X174" s="76">
        <v>0.03</v>
      </c>
      <c r="Y174" s="77" t="s">
        <v>37</v>
      </c>
      <c r="Z174" s="78">
        <v>1400</v>
      </c>
      <c r="AA174" s="79" t="s">
        <v>358</v>
      </c>
      <c r="AB174" s="79" t="s">
        <v>35</v>
      </c>
      <c r="AC174" s="79" t="s">
        <v>37</v>
      </c>
      <c r="AD174" s="79" t="s">
        <v>38</v>
      </c>
      <c r="AE174" s="79" t="s">
        <v>50</v>
      </c>
      <c r="AF174" s="79" t="s">
        <v>51</v>
      </c>
      <c r="AG174" s="79" t="s">
        <v>52</v>
      </c>
      <c r="AH174" s="79"/>
      <c r="AI174" s="53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</row>
    <row r="175" spans="1:110" ht="13.8" x14ac:dyDescent="0.25">
      <c r="A175" s="24">
        <v>1106016</v>
      </c>
      <c r="B175" s="11" t="s">
        <v>30</v>
      </c>
      <c r="C175" s="16" t="s">
        <v>369</v>
      </c>
      <c r="D175" s="10" t="s">
        <v>146</v>
      </c>
      <c r="E175" s="10" t="s">
        <v>101</v>
      </c>
      <c r="F175" s="10" t="s">
        <v>34</v>
      </c>
      <c r="G175" s="55">
        <f t="shared" si="4"/>
        <v>0</v>
      </c>
      <c r="H175" s="10">
        <v>6</v>
      </c>
      <c r="I175" s="13"/>
      <c r="J175" s="56"/>
      <c r="K175" s="57"/>
      <c r="M175" s="14"/>
      <c r="N175" s="14"/>
      <c r="O175" s="14"/>
      <c r="P175" s="14"/>
      <c r="Q175" s="14"/>
      <c r="R175" s="14"/>
      <c r="S175" s="14"/>
      <c r="T175" s="70"/>
      <c r="U175" s="93">
        <v>0</v>
      </c>
      <c r="V175" s="76">
        <v>0</v>
      </c>
      <c r="W175" s="93">
        <v>0</v>
      </c>
      <c r="X175" s="93">
        <v>0</v>
      </c>
      <c r="Y175" s="77" t="s">
        <v>37</v>
      </c>
      <c r="Z175" s="78">
        <v>55</v>
      </c>
      <c r="AA175" s="79" t="s">
        <v>370</v>
      </c>
      <c r="AB175" s="79" t="s">
        <v>35</v>
      </c>
      <c r="AC175" s="79" t="s">
        <v>37</v>
      </c>
      <c r="AD175" s="79" t="s">
        <v>38</v>
      </c>
      <c r="AE175" s="79" t="s">
        <v>103</v>
      </c>
      <c r="AF175" s="79" t="s">
        <v>104</v>
      </c>
      <c r="AG175" s="79" t="s">
        <v>105</v>
      </c>
      <c r="AH175" s="79"/>
      <c r="AI175" s="53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</row>
    <row r="176" spans="1:110" ht="13.8" x14ac:dyDescent="0.25">
      <c r="A176" s="24">
        <v>1106017</v>
      </c>
      <c r="B176" s="11" t="s">
        <v>30</v>
      </c>
      <c r="C176" s="16" t="s">
        <v>371</v>
      </c>
      <c r="D176" s="10" t="s">
        <v>372</v>
      </c>
      <c r="E176" s="10" t="s">
        <v>329</v>
      </c>
      <c r="F176" s="10" t="s">
        <v>34</v>
      </c>
      <c r="G176" s="55">
        <f t="shared" si="4"/>
        <v>0.01</v>
      </c>
      <c r="H176" s="10"/>
      <c r="I176" s="13"/>
      <c r="J176" s="56"/>
      <c r="K176" s="57"/>
      <c r="M176" s="14"/>
      <c r="N176" s="14"/>
      <c r="O176" s="14"/>
      <c r="P176" s="14"/>
      <c r="Q176" s="14"/>
      <c r="R176" s="14"/>
      <c r="S176" s="14"/>
      <c r="T176" s="70"/>
      <c r="U176" s="76">
        <v>0</v>
      </c>
      <c r="V176" s="76">
        <v>0.01</v>
      </c>
      <c r="W176" s="76">
        <v>0</v>
      </c>
      <c r="X176" s="76">
        <v>0.01</v>
      </c>
      <c r="Y176" s="77" t="s">
        <v>37</v>
      </c>
      <c r="Z176" s="99"/>
      <c r="AA176" s="100" t="s">
        <v>329</v>
      </c>
      <c r="AB176" s="79" t="s">
        <v>35</v>
      </c>
      <c r="AC176" s="79"/>
      <c r="AD176" s="79"/>
      <c r="AE176" s="79" t="s">
        <v>330</v>
      </c>
      <c r="AF176" s="83"/>
      <c r="AG176" s="79" t="s">
        <v>331</v>
      </c>
      <c r="AH176" s="79" t="s">
        <v>1605</v>
      </c>
      <c r="AI176" s="53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</row>
    <row r="177" spans="1:110" ht="13.8" x14ac:dyDescent="0.25">
      <c r="A177" s="122">
        <v>1106018</v>
      </c>
      <c r="B177" s="11" t="s">
        <v>30</v>
      </c>
      <c r="C177" s="16" t="s">
        <v>373</v>
      </c>
      <c r="D177" s="10" t="s">
        <v>146</v>
      </c>
      <c r="E177" s="10" t="s">
        <v>194</v>
      </c>
      <c r="F177" s="10" t="s">
        <v>34</v>
      </c>
      <c r="G177" s="55">
        <f t="shared" si="4"/>
        <v>2.891</v>
      </c>
      <c r="H177" s="10">
        <v>10</v>
      </c>
      <c r="I177" s="13">
        <v>2205</v>
      </c>
      <c r="J177" s="56">
        <v>44616</v>
      </c>
      <c r="K177" s="57">
        <v>2.7509999999999999</v>
      </c>
      <c r="M177" s="14"/>
      <c r="N177" s="14"/>
      <c r="O177" s="14"/>
      <c r="P177" s="14"/>
      <c r="Q177" s="14"/>
      <c r="R177" s="14">
        <v>2.83</v>
      </c>
      <c r="S177" s="14"/>
      <c r="T177" s="70"/>
      <c r="U177" s="14">
        <v>2.83</v>
      </c>
      <c r="V177" s="76">
        <v>6.0999999999999999E-2</v>
      </c>
      <c r="W177" s="14">
        <v>2.83</v>
      </c>
      <c r="X177" s="76">
        <v>6.164E-2</v>
      </c>
      <c r="Y177" s="77" t="s">
        <v>37</v>
      </c>
      <c r="Z177" s="99">
        <v>2205</v>
      </c>
      <c r="AA177" s="100" t="s">
        <v>36</v>
      </c>
      <c r="AB177" s="79" t="s">
        <v>35</v>
      </c>
      <c r="AC177" s="79" t="s">
        <v>37</v>
      </c>
      <c r="AD177" s="79" t="s">
        <v>38</v>
      </c>
      <c r="AE177" s="79" t="s">
        <v>374</v>
      </c>
      <c r="AF177" s="83" t="s">
        <v>375</v>
      </c>
      <c r="AG177" s="79" t="s">
        <v>376</v>
      </c>
      <c r="AH177" s="79"/>
      <c r="AI177" s="53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</row>
    <row r="178" spans="1:110" ht="13.8" x14ac:dyDescent="0.25">
      <c r="A178" s="24">
        <v>1106019</v>
      </c>
      <c r="B178" s="11" t="s">
        <v>30</v>
      </c>
      <c r="C178" s="16" t="s">
        <v>1598</v>
      </c>
      <c r="D178" s="10" t="s">
        <v>146</v>
      </c>
      <c r="E178" s="10" t="s">
        <v>329</v>
      </c>
      <c r="F178" s="10" t="s">
        <v>34</v>
      </c>
      <c r="G178" s="55">
        <v>0</v>
      </c>
      <c r="H178" s="10"/>
      <c r="I178" s="13"/>
      <c r="J178" s="56"/>
      <c r="K178" s="57"/>
      <c r="M178" s="14"/>
      <c r="N178" s="14"/>
      <c r="O178" s="14"/>
      <c r="P178" s="14"/>
      <c r="Q178" s="14"/>
      <c r="R178" s="14"/>
      <c r="S178" s="14"/>
      <c r="T178" s="70"/>
      <c r="U178" s="76"/>
      <c r="V178" s="76"/>
      <c r="W178" s="76"/>
      <c r="X178" s="76"/>
      <c r="Y178" s="77"/>
      <c r="Z178" s="99"/>
      <c r="AA178" s="100"/>
      <c r="AB178" s="79"/>
      <c r="AC178" s="79"/>
      <c r="AD178" s="79"/>
      <c r="AE178" s="79"/>
      <c r="AF178" s="83"/>
      <c r="AG178" s="79"/>
      <c r="AH178" s="79"/>
      <c r="AI178" s="53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</row>
    <row r="179" spans="1:110" ht="13.8" x14ac:dyDescent="0.25">
      <c r="A179" s="24">
        <v>1107001</v>
      </c>
      <c r="B179" s="11" t="s">
        <v>30</v>
      </c>
      <c r="C179" s="12" t="s">
        <v>377</v>
      </c>
      <c r="D179" s="11" t="s">
        <v>378</v>
      </c>
      <c r="E179" s="10" t="s">
        <v>1619</v>
      </c>
      <c r="F179" s="10" t="s">
        <v>34</v>
      </c>
      <c r="G179" s="55">
        <f t="shared" ref="G179:G215" si="5">IF(U179="Obsolete",U179,U179+V179)</f>
        <v>1.72</v>
      </c>
      <c r="H179" s="10">
        <v>4</v>
      </c>
      <c r="I179" s="13"/>
      <c r="J179" s="56"/>
      <c r="K179" s="57"/>
      <c r="M179" s="14"/>
      <c r="N179" s="14"/>
      <c r="O179" s="14"/>
      <c r="P179" s="14">
        <v>1.83</v>
      </c>
      <c r="Q179" s="14"/>
      <c r="R179" s="14"/>
      <c r="S179" s="14">
        <v>1.72</v>
      </c>
      <c r="T179" s="70"/>
      <c r="U179" s="76">
        <v>1.72</v>
      </c>
      <c r="V179" s="76">
        <v>0</v>
      </c>
      <c r="W179" s="76">
        <v>1.72</v>
      </c>
      <c r="X179" s="76">
        <v>0</v>
      </c>
      <c r="Y179" s="77" t="s">
        <v>35</v>
      </c>
      <c r="Z179" s="78">
        <v>55</v>
      </c>
      <c r="AA179" s="79" t="s">
        <v>36</v>
      </c>
      <c r="AB179" s="79" t="s">
        <v>35</v>
      </c>
      <c r="AC179" s="79" t="s">
        <v>37</v>
      </c>
      <c r="AD179" s="79" t="s">
        <v>38</v>
      </c>
      <c r="AE179" s="79" t="s">
        <v>50</v>
      </c>
      <c r="AF179" s="79" t="s">
        <v>51</v>
      </c>
      <c r="AG179" s="79" t="s">
        <v>52</v>
      </c>
      <c r="AH179" s="79"/>
      <c r="AI179" s="53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</row>
    <row r="180" spans="1:110" ht="13.8" x14ac:dyDescent="0.25">
      <c r="A180" s="24">
        <v>1107002</v>
      </c>
      <c r="B180" s="11" t="s">
        <v>30</v>
      </c>
      <c r="C180" s="12" t="s">
        <v>379</v>
      </c>
      <c r="D180" s="11" t="s">
        <v>380</v>
      </c>
      <c r="E180" s="10" t="s">
        <v>307</v>
      </c>
      <c r="F180" s="10" t="s">
        <v>34</v>
      </c>
      <c r="G180" s="55" t="str">
        <f t="shared" si="5"/>
        <v>Obsolete</v>
      </c>
      <c r="H180" s="10">
        <v>4</v>
      </c>
      <c r="I180" s="13">
        <v>55</v>
      </c>
      <c r="J180" s="56"/>
      <c r="K180" s="57"/>
      <c r="M180" s="14">
        <v>4.55</v>
      </c>
      <c r="N180" s="14">
        <v>4.05</v>
      </c>
      <c r="O180" s="14">
        <v>3.5</v>
      </c>
      <c r="P180" s="14"/>
      <c r="Q180" s="14"/>
      <c r="R180" s="14"/>
      <c r="S180" s="14"/>
      <c r="T180" s="70"/>
      <c r="U180" s="76" t="s">
        <v>54</v>
      </c>
      <c r="V180" s="76">
        <v>0.90900000000000003</v>
      </c>
      <c r="W180" s="76" t="s">
        <v>54</v>
      </c>
      <c r="X180" s="76">
        <v>0.90900000000000003</v>
      </c>
      <c r="Y180" s="77" t="s">
        <v>37</v>
      </c>
      <c r="Z180" s="78">
        <v>55</v>
      </c>
      <c r="AA180" s="79" t="s">
        <v>36</v>
      </c>
      <c r="AB180" s="79" t="s">
        <v>37</v>
      </c>
      <c r="AC180" s="79" t="s">
        <v>37</v>
      </c>
      <c r="AD180" s="79" t="s">
        <v>38</v>
      </c>
      <c r="AE180" s="79" t="s">
        <v>308</v>
      </c>
      <c r="AF180" s="79" t="s">
        <v>309</v>
      </c>
      <c r="AG180" s="79" t="s">
        <v>310</v>
      </c>
      <c r="AH180" s="79"/>
      <c r="AI180" s="53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</row>
    <row r="181" spans="1:110" ht="13.8" x14ac:dyDescent="0.25">
      <c r="A181" s="24">
        <v>1107004</v>
      </c>
      <c r="B181" s="11" t="s">
        <v>30</v>
      </c>
      <c r="C181" s="12" t="s">
        <v>381</v>
      </c>
      <c r="D181" s="11" t="s">
        <v>138</v>
      </c>
      <c r="E181" s="10" t="s">
        <v>382</v>
      </c>
      <c r="F181" s="10" t="s">
        <v>34</v>
      </c>
      <c r="G181" s="55" t="str">
        <f t="shared" si="5"/>
        <v>Obsolete</v>
      </c>
      <c r="H181" s="10">
        <v>4</v>
      </c>
      <c r="I181" s="13"/>
      <c r="J181" s="56"/>
      <c r="K181" s="57"/>
      <c r="M181" s="14"/>
      <c r="N181" s="14"/>
      <c r="O181" s="14"/>
      <c r="P181" s="14"/>
      <c r="Q181" s="14"/>
      <c r="R181" s="14"/>
      <c r="S181" s="14"/>
      <c r="T181" s="70"/>
      <c r="U181" s="76" t="s">
        <v>54</v>
      </c>
      <c r="V181" s="76"/>
      <c r="W181" s="76" t="s">
        <v>54</v>
      </c>
      <c r="X181" s="76"/>
      <c r="Y181" s="97"/>
      <c r="Z181" s="78"/>
      <c r="AA181" s="79" t="s">
        <v>382</v>
      </c>
      <c r="AB181" s="79" t="s">
        <v>37</v>
      </c>
      <c r="AC181" s="79" t="s">
        <v>37</v>
      </c>
      <c r="AD181" s="91" t="s">
        <v>57</v>
      </c>
      <c r="AE181" s="91" t="s">
        <v>57</v>
      </c>
      <c r="AF181" s="91" t="s">
        <v>57</v>
      </c>
      <c r="AG181" s="79" t="s">
        <v>57</v>
      </c>
      <c r="AH181" s="79"/>
      <c r="AI181" s="53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</row>
    <row r="182" spans="1:110" ht="13.8" x14ac:dyDescent="0.25">
      <c r="A182" s="24">
        <v>1107005</v>
      </c>
      <c r="B182" s="11" t="s">
        <v>30</v>
      </c>
      <c r="C182" s="25" t="s">
        <v>383</v>
      </c>
      <c r="D182" s="26" t="s">
        <v>380</v>
      </c>
      <c r="E182" s="10" t="s">
        <v>384</v>
      </c>
      <c r="F182" s="10" t="s">
        <v>34</v>
      </c>
      <c r="G182" s="55" t="str">
        <f t="shared" si="5"/>
        <v>Obsolete</v>
      </c>
      <c r="H182" s="10">
        <v>1</v>
      </c>
      <c r="I182" s="13"/>
      <c r="J182" s="56"/>
      <c r="K182" s="57"/>
      <c r="M182" s="14"/>
      <c r="N182" s="14"/>
      <c r="O182" s="14"/>
      <c r="P182" s="14"/>
      <c r="Q182" s="14"/>
      <c r="R182" s="14"/>
      <c r="S182" s="14"/>
      <c r="T182" s="70"/>
      <c r="U182" s="76" t="s">
        <v>54</v>
      </c>
      <c r="V182" s="76"/>
      <c r="W182" s="76" t="s">
        <v>54</v>
      </c>
      <c r="X182" s="76"/>
      <c r="Y182" s="97"/>
      <c r="Z182" s="87">
        <v>55</v>
      </c>
      <c r="AA182" s="79" t="s">
        <v>64</v>
      </c>
      <c r="AB182" s="79" t="s">
        <v>37</v>
      </c>
      <c r="AC182" s="79" t="s">
        <v>37</v>
      </c>
      <c r="AD182" s="91" t="s">
        <v>57</v>
      </c>
      <c r="AE182" s="91" t="s">
        <v>57</v>
      </c>
      <c r="AF182" s="91" t="s">
        <v>57</v>
      </c>
      <c r="AG182" s="79" t="s">
        <v>57</v>
      </c>
      <c r="AH182" s="79"/>
      <c r="AI182" s="53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</row>
    <row r="183" spans="1:110" ht="13.8" x14ac:dyDescent="0.25">
      <c r="A183" s="24">
        <v>1107006</v>
      </c>
      <c r="B183" s="11" t="s">
        <v>30</v>
      </c>
      <c r="C183" s="25" t="s">
        <v>385</v>
      </c>
      <c r="D183" s="26" t="s">
        <v>138</v>
      </c>
      <c r="E183" s="10" t="s">
        <v>384</v>
      </c>
      <c r="F183" s="10" t="s">
        <v>34</v>
      </c>
      <c r="G183" s="55" t="str">
        <f t="shared" si="5"/>
        <v>Obsolete</v>
      </c>
      <c r="H183" s="10">
        <v>1</v>
      </c>
      <c r="I183" s="13">
        <v>55</v>
      </c>
      <c r="J183" s="56"/>
      <c r="K183" s="57"/>
      <c r="M183" s="14">
        <v>3.98</v>
      </c>
      <c r="N183" s="14">
        <v>3.73</v>
      </c>
      <c r="O183" s="14">
        <v>3.48</v>
      </c>
      <c r="P183" s="14">
        <v>3.14</v>
      </c>
      <c r="Q183" s="14"/>
      <c r="R183" s="14"/>
      <c r="S183" s="14"/>
      <c r="T183" s="70"/>
      <c r="U183" s="76" t="s">
        <v>54</v>
      </c>
      <c r="V183" s="76"/>
      <c r="W183" s="76" t="s">
        <v>54</v>
      </c>
      <c r="X183" s="76"/>
      <c r="Y183" s="97"/>
      <c r="Z183" s="87">
        <v>55</v>
      </c>
      <c r="AA183" s="79" t="s">
        <v>169</v>
      </c>
      <c r="AB183" s="79" t="s">
        <v>37</v>
      </c>
      <c r="AC183" s="79" t="s">
        <v>37</v>
      </c>
      <c r="AD183" s="91" t="s">
        <v>57</v>
      </c>
      <c r="AE183" s="91" t="s">
        <v>57</v>
      </c>
      <c r="AF183" s="91" t="s">
        <v>57</v>
      </c>
      <c r="AG183" s="79" t="s">
        <v>57</v>
      </c>
      <c r="AH183" s="79"/>
      <c r="AI183" s="53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</row>
    <row r="184" spans="1:110" ht="13.8" x14ac:dyDescent="0.25">
      <c r="A184" s="24">
        <v>1107007</v>
      </c>
      <c r="B184" s="11" t="s">
        <v>30</v>
      </c>
      <c r="C184" s="25" t="s">
        <v>386</v>
      </c>
      <c r="D184" s="26" t="s">
        <v>259</v>
      </c>
      <c r="E184" s="10" t="s">
        <v>33</v>
      </c>
      <c r="F184" s="10" t="s">
        <v>34</v>
      </c>
      <c r="G184" s="55">
        <f t="shared" si="5"/>
        <v>2.87</v>
      </c>
      <c r="H184" s="10">
        <v>6</v>
      </c>
      <c r="I184" s="13">
        <v>8800</v>
      </c>
      <c r="J184" s="56"/>
      <c r="K184" s="57"/>
      <c r="M184" s="14"/>
      <c r="N184" s="14"/>
      <c r="O184" s="14"/>
      <c r="P184" s="14"/>
      <c r="Q184" s="14"/>
      <c r="R184" s="14"/>
      <c r="S184" s="14"/>
      <c r="T184" s="70">
        <v>2.87</v>
      </c>
      <c r="U184" s="76">
        <v>2.87</v>
      </c>
      <c r="V184" s="76">
        <v>0</v>
      </c>
      <c r="W184" s="76">
        <v>2.87</v>
      </c>
      <c r="X184" s="76">
        <v>0</v>
      </c>
      <c r="Y184" s="77" t="s">
        <v>35</v>
      </c>
      <c r="Z184" s="87"/>
      <c r="AA184" s="79" t="s">
        <v>234</v>
      </c>
      <c r="AB184" s="79" t="s">
        <v>35</v>
      </c>
      <c r="AC184" s="79" t="s">
        <v>37</v>
      </c>
      <c r="AD184" s="79" t="s">
        <v>38</v>
      </c>
      <c r="AE184" s="79" t="s">
        <v>39</v>
      </c>
      <c r="AF184" s="79" t="s">
        <v>40</v>
      </c>
      <c r="AG184" s="79" t="s">
        <v>41</v>
      </c>
      <c r="AH184" s="79"/>
      <c r="AI184" s="53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</row>
    <row r="185" spans="1:110" ht="13.8" x14ac:dyDescent="0.25">
      <c r="A185" s="24">
        <v>1107008</v>
      </c>
      <c r="B185" s="11" t="s">
        <v>30</v>
      </c>
      <c r="C185" s="25" t="s">
        <v>387</v>
      </c>
      <c r="D185" s="26" t="s">
        <v>138</v>
      </c>
      <c r="E185" s="10" t="s">
        <v>384</v>
      </c>
      <c r="F185" s="10" t="s">
        <v>34</v>
      </c>
      <c r="G185" s="55" t="str">
        <f t="shared" si="5"/>
        <v>Obsolete</v>
      </c>
      <c r="H185" s="10"/>
      <c r="I185" s="13"/>
      <c r="J185" s="56"/>
      <c r="K185" s="57"/>
      <c r="M185" s="14"/>
      <c r="N185" s="14"/>
      <c r="O185" s="14"/>
      <c r="P185" s="14">
        <v>2.81</v>
      </c>
      <c r="Q185" s="14"/>
      <c r="R185" s="14"/>
      <c r="S185" s="14"/>
      <c r="T185" s="70"/>
      <c r="U185" s="76" t="s">
        <v>54</v>
      </c>
      <c r="V185" s="76"/>
      <c r="W185" s="76" t="s">
        <v>54</v>
      </c>
      <c r="X185" s="76"/>
      <c r="Y185" s="97"/>
      <c r="Z185" s="87">
        <v>55</v>
      </c>
      <c r="AA185" s="79" t="s">
        <v>64</v>
      </c>
      <c r="AB185" s="79" t="s">
        <v>37</v>
      </c>
      <c r="AC185" s="79" t="s">
        <v>37</v>
      </c>
      <c r="AD185" s="91" t="s">
        <v>57</v>
      </c>
      <c r="AE185" s="91" t="s">
        <v>57</v>
      </c>
      <c r="AF185" s="91" t="s">
        <v>57</v>
      </c>
      <c r="AG185" s="79" t="s">
        <v>57</v>
      </c>
      <c r="AH185" s="79"/>
      <c r="AI185" s="53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</row>
    <row r="186" spans="1:110" ht="13.8" x14ac:dyDescent="0.25">
      <c r="A186" s="24">
        <v>1107009</v>
      </c>
      <c r="B186" s="11" t="s">
        <v>30</v>
      </c>
      <c r="C186" s="25" t="s">
        <v>388</v>
      </c>
      <c r="D186" s="26" t="s">
        <v>80</v>
      </c>
      <c r="E186" s="10" t="s">
        <v>389</v>
      </c>
      <c r="F186" s="10" t="s">
        <v>34</v>
      </c>
      <c r="G186" s="55">
        <f t="shared" si="5"/>
        <v>3.0500000000000003</v>
      </c>
      <c r="H186" s="10">
        <v>3</v>
      </c>
      <c r="I186" s="13">
        <v>3500</v>
      </c>
      <c r="J186" s="56">
        <v>44348</v>
      </c>
      <c r="K186" s="57">
        <v>2.71</v>
      </c>
      <c r="M186" s="14"/>
      <c r="N186" s="14"/>
      <c r="O186" s="14"/>
      <c r="P186" s="14"/>
      <c r="Q186" s="14">
        <v>2.7</v>
      </c>
      <c r="R186" s="14"/>
      <c r="S186" s="14"/>
      <c r="T186" s="70"/>
      <c r="U186" s="76">
        <v>2.7</v>
      </c>
      <c r="V186" s="76">
        <v>0.35</v>
      </c>
      <c r="W186" s="76">
        <v>2.7</v>
      </c>
      <c r="X186" s="76">
        <v>0.35</v>
      </c>
      <c r="Y186" s="77" t="s">
        <v>35</v>
      </c>
      <c r="Z186" s="87">
        <v>1500</v>
      </c>
      <c r="AA186" s="79" t="s">
        <v>36</v>
      </c>
      <c r="AB186" s="79" t="s">
        <v>35</v>
      </c>
      <c r="AC186" s="79" t="s">
        <v>37</v>
      </c>
      <c r="AD186" s="79" t="s">
        <v>38</v>
      </c>
      <c r="AE186" s="79" t="s">
        <v>390</v>
      </c>
      <c r="AF186" s="79" t="s">
        <v>391</v>
      </c>
      <c r="AG186" s="79" t="s">
        <v>392</v>
      </c>
      <c r="AH186" s="79"/>
      <c r="AI186" s="53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</row>
    <row r="187" spans="1:110" ht="13.8" x14ac:dyDescent="0.25">
      <c r="A187" s="24">
        <v>1107010</v>
      </c>
      <c r="B187" s="11" t="s">
        <v>30</v>
      </c>
      <c r="C187" s="25" t="s">
        <v>393</v>
      </c>
      <c r="D187" s="26" t="s">
        <v>80</v>
      </c>
      <c r="E187" s="10" t="s">
        <v>389</v>
      </c>
      <c r="F187" s="10" t="s">
        <v>34</v>
      </c>
      <c r="G187" s="55">
        <f t="shared" si="5"/>
        <v>2.9086000000000003</v>
      </c>
      <c r="H187" s="10">
        <v>3</v>
      </c>
      <c r="I187" s="13">
        <v>3500</v>
      </c>
      <c r="J187" s="56">
        <v>44348</v>
      </c>
      <c r="K187" s="57">
        <v>2.5686</v>
      </c>
      <c r="M187" s="14"/>
      <c r="N187" s="14"/>
      <c r="O187" s="14"/>
      <c r="P187" s="14"/>
      <c r="Q187" s="14">
        <v>2.74</v>
      </c>
      <c r="R187" s="14"/>
      <c r="S187" s="14"/>
      <c r="T187" s="70"/>
      <c r="U187" s="76">
        <v>2.74</v>
      </c>
      <c r="V187" s="76">
        <v>0.1686</v>
      </c>
      <c r="W187" s="76">
        <v>2.74</v>
      </c>
      <c r="X187" s="76">
        <v>0.1686</v>
      </c>
      <c r="Y187" s="77" t="s">
        <v>35</v>
      </c>
      <c r="Z187" s="87">
        <v>1500</v>
      </c>
      <c r="AA187" s="79" t="s">
        <v>36</v>
      </c>
      <c r="AB187" s="79" t="s">
        <v>35</v>
      </c>
      <c r="AC187" s="79" t="s">
        <v>37</v>
      </c>
      <c r="AD187" s="79" t="s">
        <v>38</v>
      </c>
      <c r="AE187" s="79" t="s">
        <v>390</v>
      </c>
      <c r="AF187" s="79" t="s">
        <v>391</v>
      </c>
      <c r="AG187" s="79" t="s">
        <v>392</v>
      </c>
      <c r="AH187" s="79"/>
      <c r="AI187" s="53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</row>
    <row r="188" spans="1:110" ht="20.399999999999999" x14ac:dyDescent="0.25">
      <c r="A188" s="24">
        <v>1107011</v>
      </c>
      <c r="B188" s="11" t="s">
        <v>30</v>
      </c>
      <c r="C188" s="25" t="s">
        <v>394</v>
      </c>
      <c r="D188" s="26" t="s">
        <v>380</v>
      </c>
      <c r="E188" s="10" t="s">
        <v>384</v>
      </c>
      <c r="F188" s="10" t="s">
        <v>34</v>
      </c>
      <c r="G188" s="55" t="str">
        <f t="shared" si="5"/>
        <v>Obsolete</v>
      </c>
      <c r="H188" s="10">
        <v>6</v>
      </c>
      <c r="I188" s="13">
        <v>1100</v>
      </c>
      <c r="J188" s="56"/>
      <c r="K188" s="57"/>
      <c r="M188" s="14"/>
      <c r="N188" s="14"/>
      <c r="O188" s="14"/>
      <c r="P188" s="14">
        <v>4.17</v>
      </c>
      <c r="Q188" s="14"/>
      <c r="R188" s="14"/>
      <c r="S188" s="14"/>
      <c r="T188" s="70"/>
      <c r="U188" s="76" t="s">
        <v>54</v>
      </c>
      <c r="V188" s="76"/>
      <c r="W188" s="76" t="s">
        <v>54</v>
      </c>
      <c r="X188" s="76"/>
      <c r="Y188" s="97"/>
      <c r="Z188" s="87">
        <v>1100</v>
      </c>
      <c r="AA188" s="79" t="s">
        <v>36</v>
      </c>
      <c r="AB188" s="79" t="s">
        <v>37</v>
      </c>
      <c r="AC188" s="79" t="s">
        <v>37</v>
      </c>
      <c r="AD188" s="91" t="s">
        <v>57</v>
      </c>
      <c r="AE188" s="91" t="s">
        <v>57</v>
      </c>
      <c r="AF188" s="91" t="s">
        <v>57</v>
      </c>
      <c r="AG188" s="79" t="s">
        <v>57</v>
      </c>
      <c r="AH188" s="79"/>
      <c r="AI188" s="53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</row>
    <row r="189" spans="1:110" ht="13.8" x14ac:dyDescent="0.25">
      <c r="A189" s="24">
        <v>1107012</v>
      </c>
      <c r="B189" s="11" t="s">
        <v>30</v>
      </c>
      <c r="C189" s="25" t="s">
        <v>395</v>
      </c>
      <c r="D189" s="26" t="s">
        <v>317</v>
      </c>
      <c r="E189" s="10" t="s">
        <v>101</v>
      </c>
      <c r="F189" s="10" t="s">
        <v>34</v>
      </c>
      <c r="G189" s="55" t="str">
        <f t="shared" si="5"/>
        <v>Obsolete</v>
      </c>
      <c r="H189" s="10">
        <v>6</v>
      </c>
      <c r="I189" s="13">
        <v>1100</v>
      </c>
      <c r="J189" s="56"/>
      <c r="K189" s="57"/>
      <c r="M189" s="14"/>
      <c r="N189" s="14"/>
      <c r="O189" s="14"/>
      <c r="P189" s="14">
        <v>3.28</v>
      </c>
      <c r="Q189" s="14"/>
      <c r="R189" s="14"/>
      <c r="S189" s="14"/>
      <c r="T189" s="70"/>
      <c r="U189" s="76" t="s">
        <v>54</v>
      </c>
      <c r="V189" s="76"/>
      <c r="W189" s="76" t="s">
        <v>54</v>
      </c>
      <c r="X189" s="76"/>
      <c r="Y189" s="97"/>
      <c r="Z189" s="87">
        <v>1100</v>
      </c>
      <c r="AA189" s="79" t="s">
        <v>36</v>
      </c>
      <c r="AB189" s="79" t="s">
        <v>37</v>
      </c>
      <c r="AC189" s="79" t="s">
        <v>37</v>
      </c>
      <c r="AD189" s="79"/>
      <c r="AE189" s="79" t="s">
        <v>103</v>
      </c>
      <c r="AF189" s="79" t="s">
        <v>104</v>
      </c>
      <c r="AG189" s="79" t="s">
        <v>105</v>
      </c>
      <c r="AH189" s="79"/>
      <c r="AI189" s="53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</row>
    <row r="190" spans="1:110" ht="13.8" x14ac:dyDescent="0.25">
      <c r="A190" s="24">
        <v>1107013</v>
      </c>
      <c r="B190" s="11" t="s">
        <v>30</v>
      </c>
      <c r="C190" s="25" t="s">
        <v>396</v>
      </c>
      <c r="D190" s="26" t="s">
        <v>380</v>
      </c>
      <c r="E190" s="10" t="s">
        <v>307</v>
      </c>
      <c r="F190" s="10" t="s">
        <v>34</v>
      </c>
      <c r="G190" s="55" t="str">
        <f t="shared" si="5"/>
        <v>Obsolete</v>
      </c>
      <c r="H190" s="10">
        <v>4</v>
      </c>
      <c r="I190" s="13">
        <v>44</v>
      </c>
      <c r="J190" s="56"/>
      <c r="K190" s="57"/>
      <c r="M190" s="14">
        <v>5.25</v>
      </c>
      <c r="N190" s="14">
        <v>4.5</v>
      </c>
      <c r="O190" s="14">
        <v>3.75</v>
      </c>
      <c r="P190" s="14">
        <v>3.41</v>
      </c>
      <c r="Q190" s="14"/>
      <c r="R190" s="14"/>
      <c r="S190" s="14"/>
      <c r="T190" s="70"/>
      <c r="U190" s="76" t="s">
        <v>54</v>
      </c>
      <c r="V190" s="76">
        <v>0.22700000000000001</v>
      </c>
      <c r="W190" s="76" t="s">
        <v>54</v>
      </c>
      <c r="X190" s="76">
        <v>0.22700000000000001</v>
      </c>
      <c r="Y190" s="77" t="s">
        <v>37</v>
      </c>
      <c r="Z190" s="87">
        <v>55</v>
      </c>
      <c r="AA190" s="79" t="s">
        <v>36</v>
      </c>
      <c r="AB190" s="79" t="s">
        <v>37</v>
      </c>
      <c r="AC190" s="79" t="s">
        <v>37</v>
      </c>
      <c r="AD190" s="79" t="s">
        <v>38</v>
      </c>
      <c r="AE190" s="79" t="s">
        <v>308</v>
      </c>
      <c r="AF190" s="79" t="s">
        <v>309</v>
      </c>
      <c r="AG190" s="79" t="s">
        <v>310</v>
      </c>
      <c r="AH190" s="79"/>
      <c r="AI190" s="53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</row>
    <row r="191" spans="1:110" ht="13.8" x14ac:dyDescent="0.25">
      <c r="A191" s="24">
        <v>1107014</v>
      </c>
      <c r="B191" s="11" t="s">
        <v>30</v>
      </c>
      <c r="C191" s="25" t="s">
        <v>397</v>
      </c>
      <c r="D191" s="26" t="s">
        <v>380</v>
      </c>
      <c r="E191" s="10" t="s">
        <v>101</v>
      </c>
      <c r="F191" s="10" t="s">
        <v>34</v>
      </c>
      <c r="G191" s="55">
        <f t="shared" si="5"/>
        <v>0</v>
      </c>
      <c r="H191" s="10">
        <v>6</v>
      </c>
      <c r="I191" s="13"/>
      <c r="J191" s="56"/>
      <c r="K191" s="57"/>
      <c r="M191" s="14"/>
      <c r="N191" s="14"/>
      <c r="O191" s="14"/>
      <c r="P191" s="14"/>
      <c r="Q191" s="14"/>
      <c r="R191" s="14"/>
      <c r="S191" s="14"/>
      <c r="T191" s="70"/>
      <c r="U191" s="76">
        <v>0</v>
      </c>
      <c r="V191" s="76">
        <v>0</v>
      </c>
      <c r="W191" s="76">
        <v>0</v>
      </c>
      <c r="X191" s="76">
        <v>0</v>
      </c>
      <c r="Y191" s="77" t="s">
        <v>37</v>
      </c>
      <c r="Z191" s="87"/>
      <c r="AA191" s="79" t="s">
        <v>370</v>
      </c>
      <c r="AB191" s="79"/>
      <c r="AC191" s="79"/>
      <c r="AD191" s="79"/>
      <c r="AE191" s="79" t="s">
        <v>103</v>
      </c>
      <c r="AF191" s="79" t="s">
        <v>104</v>
      </c>
      <c r="AG191" s="79" t="s">
        <v>105</v>
      </c>
      <c r="AH191" s="79"/>
      <c r="AI191" s="53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</row>
    <row r="192" spans="1:110" ht="13.8" x14ac:dyDescent="0.25">
      <c r="A192" s="122">
        <v>1107015</v>
      </c>
      <c r="B192" s="11" t="s">
        <v>30</v>
      </c>
      <c r="C192" s="25" t="s">
        <v>398</v>
      </c>
      <c r="D192" s="26" t="s">
        <v>380</v>
      </c>
      <c r="E192" s="10" t="s">
        <v>307</v>
      </c>
      <c r="F192" s="10" t="s">
        <v>34</v>
      </c>
      <c r="G192" s="55">
        <f t="shared" si="5"/>
        <v>3.62</v>
      </c>
      <c r="H192" s="10">
        <v>4</v>
      </c>
      <c r="I192" s="13">
        <v>2200</v>
      </c>
      <c r="J192" s="56">
        <v>44616</v>
      </c>
      <c r="K192" s="57">
        <v>3.57</v>
      </c>
      <c r="M192" s="14"/>
      <c r="N192" s="14"/>
      <c r="O192" s="14"/>
      <c r="P192" s="14">
        <v>3.37</v>
      </c>
      <c r="Q192" s="14"/>
      <c r="R192" s="14"/>
      <c r="S192" s="14"/>
      <c r="T192" s="70"/>
      <c r="U192" s="14">
        <v>3.37</v>
      </c>
      <c r="V192" s="76">
        <v>0.25</v>
      </c>
      <c r="W192" s="14">
        <v>3.37</v>
      </c>
      <c r="X192" s="76">
        <v>0.25</v>
      </c>
      <c r="Y192" s="77" t="s">
        <v>37</v>
      </c>
      <c r="Z192" s="87">
        <v>1200</v>
      </c>
      <c r="AA192" s="79" t="s">
        <v>36</v>
      </c>
      <c r="AB192" s="79" t="s">
        <v>35</v>
      </c>
      <c r="AC192" s="79" t="s">
        <v>37</v>
      </c>
      <c r="AD192" s="79" t="s">
        <v>38</v>
      </c>
      <c r="AE192" s="79" t="s">
        <v>308</v>
      </c>
      <c r="AF192" s="79" t="s">
        <v>309</v>
      </c>
      <c r="AG192" s="79" t="s">
        <v>310</v>
      </c>
      <c r="AH192" s="79"/>
      <c r="AI192" s="53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</row>
    <row r="193" spans="1:110" ht="13.8" x14ac:dyDescent="0.25">
      <c r="A193" s="24">
        <v>1107016</v>
      </c>
      <c r="B193" s="11" t="s">
        <v>30</v>
      </c>
      <c r="C193" s="25" t="s">
        <v>399</v>
      </c>
      <c r="D193" s="26" t="s">
        <v>138</v>
      </c>
      <c r="E193" s="10" t="s">
        <v>400</v>
      </c>
      <c r="F193" s="10" t="s">
        <v>34</v>
      </c>
      <c r="G193" s="55">
        <f t="shared" si="5"/>
        <v>4.21</v>
      </c>
      <c r="H193" s="10">
        <v>1</v>
      </c>
      <c r="I193" s="13"/>
      <c r="J193" s="56"/>
      <c r="K193" s="57"/>
      <c r="M193" s="14">
        <v>4.21</v>
      </c>
      <c r="N193" s="14"/>
      <c r="O193" s="14"/>
      <c r="P193" s="14"/>
      <c r="Q193" s="14"/>
      <c r="R193" s="14"/>
      <c r="S193" s="14"/>
      <c r="T193" s="70"/>
      <c r="U193" s="76">
        <v>4.21</v>
      </c>
      <c r="V193" s="76"/>
      <c r="W193" s="76">
        <v>4.21</v>
      </c>
      <c r="X193" s="76"/>
      <c r="Y193" s="77" t="s">
        <v>35</v>
      </c>
      <c r="Z193" s="87"/>
      <c r="AA193" s="79" t="s">
        <v>261</v>
      </c>
      <c r="AB193" s="79" t="s">
        <v>35</v>
      </c>
      <c r="AC193" s="79" t="s">
        <v>35</v>
      </c>
      <c r="AD193" s="79"/>
      <c r="AE193" s="79" t="s">
        <v>401</v>
      </c>
      <c r="AF193" s="79"/>
      <c r="AG193" s="79" t="s">
        <v>402</v>
      </c>
      <c r="AH193" s="79"/>
      <c r="AI193" s="53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</row>
    <row r="194" spans="1:110" ht="13.8" x14ac:dyDescent="0.25">
      <c r="A194" s="24">
        <v>1107017</v>
      </c>
      <c r="B194" s="11" t="s">
        <v>30</v>
      </c>
      <c r="C194" s="25" t="s">
        <v>403</v>
      </c>
      <c r="D194" s="26" t="s">
        <v>181</v>
      </c>
      <c r="E194" s="10" t="s">
        <v>1619</v>
      </c>
      <c r="F194" s="10" t="s">
        <v>34</v>
      </c>
      <c r="G194" s="55">
        <f t="shared" si="5"/>
        <v>4.76</v>
      </c>
      <c r="H194" s="10">
        <v>10</v>
      </c>
      <c r="I194" s="13">
        <v>500</v>
      </c>
      <c r="J194" s="56"/>
      <c r="K194" s="57"/>
      <c r="M194" s="14"/>
      <c r="N194" s="14">
        <v>4.66</v>
      </c>
      <c r="O194" s="14"/>
      <c r="P194" s="14"/>
      <c r="Q194" s="14"/>
      <c r="R194" s="14"/>
      <c r="S194" s="14"/>
      <c r="T194" s="70"/>
      <c r="U194" s="76">
        <v>4.66</v>
      </c>
      <c r="V194" s="76">
        <v>0.1</v>
      </c>
      <c r="W194" s="76">
        <v>3.9247999999999998</v>
      </c>
      <c r="X194" s="76">
        <v>0.1</v>
      </c>
      <c r="Y194" s="77"/>
      <c r="Z194" s="87"/>
      <c r="AA194" s="79"/>
      <c r="AB194" s="79"/>
      <c r="AC194" s="79"/>
      <c r="AD194" s="79"/>
      <c r="AE194" s="79" t="s">
        <v>50</v>
      </c>
      <c r="AF194" s="79" t="s">
        <v>51</v>
      </c>
      <c r="AG194" s="79" t="s">
        <v>52</v>
      </c>
      <c r="AH194" s="79"/>
      <c r="AI194" s="53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</row>
    <row r="195" spans="1:110" ht="13.8" x14ac:dyDescent="0.25">
      <c r="A195" s="24">
        <v>1107018</v>
      </c>
      <c r="B195" s="11" t="s">
        <v>30</v>
      </c>
      <c r="C195" s="25" t="s">
        <v>404</v>
      </c>
      <c r="D195" s="26" t="s">
        <v>138</v>
      </c>
      <c r="E195" s="10" t="s">
        <v>323</v>
      </c>
      <c r="F195" s="10" t="s">
        <v>34</v>
      </c>
      <c r="G195" s="55">
        <f t="shared" si="5"/>
        <v>13.225</v>
      </c>
      <c r="H195" s="10">
        <v>10</v>
      </c>
      <c r="I195" s="13">
        <v>550</v>
      </c>
      <c r="J195" s="56"/>
      <c r="K195" s="57"/>
      <c r="M195" s="14"/>
      <c r="N195" s="14"/>
      <c r="O195" s="14"/>
      <c r="P195" s="14"/>
      <c r="Q195" s="14"/>
      <c r="R195" s="14"/>
      <c r="S195" s="14"/>
      <c r="T195" s="70"/>
      <c r="U195" s="76">
        <v>13.18</v>
      </c>
      <c r="V195" s="76">
        <v>4.4999999999999998E-2</v>
      </c>
      <c r="W195" s="76">
        <v>13.18</v>
      </c>
      <c r="X195" s="76">
        <v>4.4999999999999998E-2</v>
      </c>
      <c r="Y195" s="77" t="s">
        <v>37</v>
      </c>
      <c r="Z195" s="87">
        <v>55</v>
      </c>
      <c r="AA195" s="79" t="s">
        <v>36</v>
      </c>
      <c r="AB195" s="79" t="s">
        <v>35</v>
      </c>
      <c r="AC195" s="79" t="s">
        <v>37</v>
      </c>
      <c r="AD195" s="79" t="s">
        <v>38</v>
      </c>
      <c r="AE195" s="79" t="s">
        <v>324</v>
      </c>
      <c r="AF195" s="79" t="s">
        <v>325</v>
      </c>
      <c r="AG195" s="79" t="s">
        <v>326</v>
      </c>
      <c r="AH195" s="79"/>
      <c r="AI195" s="53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</row>
    <row r="196" spans="1:110" ht="13.8" x14ac:dyDescent="0.25">
      <c r="A196" s="24">
        <v>1107019</v>
      </c>
      <c r="B196" s="11" t="s">
        <v>30</v>
      </c>
      <c r="C196" s="25" t="s">
        <v>405</v>
      </c>
      <c r="D196" s="26" t="s">
        <v>138</v>
      </c>
      <c r="E196" s="10" t="s">
        <v>307</v>
      </c>
      <c r="F196" s="10" t="s">
        <v>34</v>
      </c>
      <c r="G196" s="55">
        <f t="shared" si="5"/>
        <v>4.5049999999999999</v>
      </c>
      <c r="H196" s="10">
        <v>10</v>
      </c>
      <c r="I196" s="13">
        <v>55</v>
      </c>
      <c r="J196" s="56">
        <v>44616</v>
      </c>
      <c r="K196" s="57">
        <v>5.085</v>
      </c>
      <c r="M196" s="14"/>
      <c r="N196" s="14"/>
      <c r="O196" s="14"/>
      <c r="P196" s="14"/>
      <c r="Q196" s="14"/>
      <c r="R196" s="14"/>
      <c r="S196" s="14"/>
      <c r="T196" s="70"/>
      <c r="U196" s="76">
        <v>4.46</v>
      </c>
      <c r="V196" s="76">
        <v>4.4999999999999998E-2</v>
      </c>
      <c r="W196" s="76">
        <v>4.46</v>
      </c>
      <c r="X196" s="76">
        <v>4.4999999999999998E-2</v>
      </c>
      <c r="Y196" s="77" t="s">
        <v>37</v>
      </c>
      <c r="Z196" s="87">
        <v>55</v>
      </c>
      <c r="AA196" s="79" t="s">
        <v>468</v>
      </c>
      <c r="AB196" s="79" t="s">
        <v>35</v>
      </c>
      <c r="AC196" s="79" t="s">
        <v>37</v>
      </c>
      <c r="AD196" s="79" t="s">
        <v>38</v>
      </c>
      <c r="AE196" s="79"/>
      <c r="AF196" s="79"/>
      <c r="AG196" s="79"/>
      <c r="AH196" s="79"/>
      <c r="AI196" s="53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</row>
    <row r="197" spans="1:110" ht="13.8" x14ac:dyDescent="0.25">
      <c r="A197" s="122">
        <v>1108001</v>
      </c>
      <c r="B197" s="11" t="s">
        <v>30</v>
      </c>
      <c r="C197" s="12" t="s">
        <v>406</v>
      </c>
      <c r="D197" s="11" t="s">
        <v>46</v>
      </c>
      <c r="E197" s="10" t="s">
        <v>47</v>
      </c>
      <c r="F197" s="10" t="s">
        <v>34</v>
      </c>
      <c r="G197" s="55">
        <f t="shared" si="5"/>
        <v>2.48</v>
      </c>
      <c r="H197" s="10">
        <v>10</v>
      </c>
      <c r="I197" s="13">
        <v>6400</v>
      </c>
      <c r="J197" s="56">
        <v>44616</v>
      </c>
      <c r="K197" s="57">
        <v>2.23</v>
      </c>
      <c r="M197" s="14"/>
      <c r="N197" s="14"/>
      <c r="O197" s="14">
        <v>13.13</v>
      </c>
      <c r="P197" s="14"/>
      <c r="Q197" s="14"/>
      <c r="R197" s="14"/>
      <c r="S197" s="14">
        <v>2.48</v>
      </c>
      <c r="T197" s="70"/>
      <c r="U197" s="14">
        <v>2.48</v>
      </c>
      <c r="V197" s="76">
        <v>0</v>
      </c>
      <c r="W197" s="14">
        <v>2.48</v>
      </c>
      <c r="X197" s="76">
        <v>0</v>
      </c>
      <c r="Y197" s="77" t="s">
        <v>35</v>
      </c>
      <c r="Z197" s="78">
        <v>1600</v>
      </c>
      <c r="AA197" s="79" t="s">
        <v>36</v>
      </c>
      <c r="AB197" s="79" t="s">
        <v>35</v>
      </c>
      <c r="AC197" s="79" t="s">
        <v>37</v>
      </c>
      <c r="AD197" s="79" t="s">
        <v>38</v>
      </c>
      <c r="AE197" s="79" t="s">
        <v>1547</v>
      </c>
      <c r="AF197" s="79" t="s">
        <v>1548</v>
      </c>
      <c r="AG197" s="79" t="s">
        <v>1549</v>
      </c>
      <c r="AH197" s="79"/>
      <c r="AI197" s="53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</row>
    <row r="198" spans="1:110" ht="13.8" x14ac:dyDescent="0.25">
      <c r="A198" s="24">
        <v>1108002</v>
      </c>
      <c r="B198" s="11" t="s">
        <v>30</v>
      </c>
      <c r="C198" s="12" t="s">
        <v>407</v>
      </c>
      <c r="D198" s="11" t="s">
        <v>46</v>
      </c>
      <c r="E198" s="10" t="s">
        <v>169</v>
      </c>
      <c r="F198" s="10" t="s">
        <v>34</v>
      </c>
      <c r="G198" s="55" t="str">
        <f t="shared" si="5"/>
        <v>Obsolete</v>
      </c>
      <c r="H198" s="10"/>
      <c r="I198" s="13">
        <v>6000</v>
      </c>
      <c r="J198" s="56"/>
      <c r="K198" s="57"/>
      <c r="M198" s="14">
        <v>4.4000000000000004</v>
      </c>
      <c r="N198" s="14"/>
      <c r="O198" s="14"/>
      <c r="P198" s="14"/>
      <c r="Q198" s="14"/>
      <c r="R198" s="14"/>
      <c r="S198" s="14">
        <v>4.4000000000000004</v>
      </c>
      <c r="T198" s="70"/>
      <c r="U198" s="76" t="s">
        <v>54</v>
      </c>
      <c r="V198" s="76">
        <v>0</v>
      </c>
      <c r="W198" s="76" t="s">
        <v>54</v>
      </c>
      <c r="X198" s="76">
        <v>0</v>
      </c>
      <c r="Y198" s="97"/>
      <c r="Z198" s="78"/>
      <c r="AA198" s="79" t="s">
        <v>36</v>
      </c>
      <c r="AB198" s="79" t="s">
        <v>37</v>
      </c>
      <c r="AC198" s="79" t="s">
        <v>37</v>
      </c>
      <c r="AD198" s="79" t="s">
        <v>38</v>
      </c>
      <c r="AE198" s="91" t="s">
        <v>57</v>
      </c>
      <c r="AF198" s="91" t="s">
        <v>57</v>
      </c>
      <c r="AG198" s="79" t="s">
        <v>57</v>
      </c>
      <c r="AH198" s="79"/>
      <c r="AI198" s="53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</row>
    <row r="199" spans="1:110" ht="13.8" x14ac:dyDescent="0.25">
      <c r="A199" s="122">
        <v>1108003</v>
      </c>
      <c r="B199" s="11" t="s">
        <v>30</v>
      </c>
      <c r="C199" s="12" t="s">
        <v>408</v>
      </c>
      <c r="D199" s="11" t="s">
        <v>155</v>
      </c>
      <c r="E199" s="10" t="s">
        <v>194</v>
      </c>
      <c r="F199" s="10" t="s">
        <v>34</v>
      </c>
      <c r="G199" s="55">
        <f t="shared" si="5"/>
        <v>4.13</v>
      </c>
      <c r="H199" s="10">
        <v>4</v>
      </c>
      <c r="I199" s="13">
        <v>220</v>
      </c>
      <c r="J199" s="56">
        <v>44616</v>
      </c>
      <c r="K199" s="57">
        <v>3.42</v>
      </c>
      <c r="M199" s="14">
        <v>4.13</v>
      </c>
      <c r="N199" s="14"/>
      <c r="O199" s="14"/>
      <c r="P199" s="14"/>
      <c r="Q199" s="14"/>
      <c r="R199" s="14"/>
      <c r="S199" s="14"/>
      <c r="T199" s="70"/>
      <c r="U199" s="14">
        <v>4.13</v>
      </c>
      <c r="V199" s="76">
        <v>0</v>
      </c>
      <c r="W199" s="14">
        <v>4.13</v>
      </c>
      <c r="X199" s="76">
        <v>0</v>
      </c>
      <c r="Y199" s="77" t="s">
        <v>37</v>
      </c>
      <c r="Z199" s="78">
        <v>1650</v>
      </c>
      <c r="AA199" s="79" t="s">
        <v>36</v>
      </c>
      <c r="AB199" s="79" t="s">
        <v>35</v>
      </c>
      <c r="AC199" s="79" t="s">
        <v>37</v>
      </c>
      <c r="AD199" s="79" t="s">
        <v>38</v>
      </c>
      <c r="AE199" s="79" t="s">
        <v>308</v>
      </c>
      <c r="AF199" s="79" t="s">
        <v>309</v>
      </c>
      <c r="AG199" s="79" t="s">
        <v>310</v>
      </c>
      <c r="AH199" s="79"/>
      <c r="AI199" s="53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</row>
    <row r="200" spans="1:110" ht="13.8" x14ac:dyDescent="0.25">
      <c r="A200" s="24">
        <v>1108004</v>
      </c>
      <c r="B200" s="11" t="s">
        <v>30</v>
      </c>
      <c r="C200" s="12" t="s">
        <v>409</v>
      </c>
      <c r="D200" s="11" t="s">
        <v>46</v>
      </c>
      <c r="E200" s="10" t="s">
        <v>47</v>
      </c>
      <c r="F200" s="10" t="s">
        <v>34</v>
      </c>
      <c r="G200" s="55">
        <f t="shared" si="5"/>
        <v>4.57</v>
      </c>
      <c r="H200" s="10">
        <v>10</v>
      </c>
      <c r="I200" s="13">
        <v>6400</v>
      </c>
      <c r="J200" s="56"/>
      <c r="K200" s="57"/>
      <c r="M200" s="14"/>
      <c r="N200" s="14"/>
      <c r="O200" s="14"/>
      <c r="P200" s="14"/>
      <c r="Q200" s="14"/>
      <c r="R200" s="14"/>
      <c r="S200" s="14">
        <v>4.57</v>
      </c>
      <c r="T200" s="70"/>
      <c r="U200" s="76">
        <v>4.57</v>
      </c>
      <c r="V200" s="76">
        <v>0</v>
      </c>
      <c r="W200" s="76">
        <v>4.57</v>
      </c>
      <c r="X200" s="76">
        <v>0</v>
      </c>
      <c r="Y200" s="77" t="s">
        <v>35</v>
      </c>
      <c r="Z200" s="78">
        <v>55</v>
      </c>
      <c r="AA200" s="79" t="s">
        <v>36</v>
      </c>
      <c r="AB200" s="79" t="s">
        <v>35</v>
      </c>
      <c r="AC200" s="79" t="s">
        <v>37</v>
      </c>
      <c r="AD200" s="79" t="s">
        <v>38</v>
      </c>
      <c r="AE200" s="79" t="s">
        <v>1547</v>
      </c>
      <c r="AF200" s="79" t="s">
        <v>1548</v>
      </c>
      <c r="AG200" s="79" t="s">
        <v>1549</v>
      </c>
      <c r="AH200" s="79"/>
      <c r="AI200" s="53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</row>
    <row r="201" spans="1:110" ht="13.8" x14ac:dyDescent="0.25">
      <c r="A201" s="122">
        <v>1108005</v>
      </c>
      <c r="B201" s="11" t="s">
        <v>30</v>
      </c>
      <c r="C201" s="25" t="s">
        <v>410</v>
      </c>
      <c r="D201" s="26" t="s">
        <v>46</v>
      </c>
      <c r="E201" s="10" t="s">
        <v>1611</v>
      </c>
      <c r="F201" s="10" t="s">
        <v>34</v>
      </c>
      <c r="G201" s="55">
        <f t="shared" si="5"/>
        <v>1.9949999999999999</v>
      </c>
      <c r="H201" s="10">
        <v>7</v>
      </c>
      <c r="I201" s="13">
        <v>1500</v>
      </c>
      <c r="J201" s="56">
        <v>44616</v>
      </c>
      <c r="K201" s="57">
        <v>1.7929999999999999</v>
      </c>
      <c r="M201" s="14"/>
      <c r="N201" s="14"/>
      <c r="O201" s="76">
        <v>1.95</v>
      </c>
      <c r="P201" s="14"/>
      <c r="Q201" s="14"/>
      <c r="R201" s="14"/>
      <c r="S201" s="14">
        <v>1.853</v>
      </c>
      <c r="T201" s="70">
        <v>1.804</v>
      </c>
      <c r="U201" s="76">
        <v>1.95</v>
      </c>
      <c r="V201" s="76">
        <v>4.4999999999999998E-2</v>
      </c>
      <c r="W201" s="76">
        <v>1.95</v>
      </c>
      <c r="X201" s="76">
        <v>4.4999999999999998E-2</v>
      </c>
      <c r="Y201" s="77" t="s">
        <v>35</v>
      </c>
      <c r="Z201" s="78">
        <v>1500</v>
      </c>
      <c r="AA201" s="79" t="s">
        <v>36</v>
      </c>
      <c r="AB201" s="79" t="s">
        <v>35</v>
      </c>
      <c r="AC201" s="79" t="s">
        <v>37</v>
      </c>
      <c r="AD201" s="79" t="s">
        <v>38</v>
      </c>
      <c r="AE201" s="79" t="s">
        <v>1517</v>
      </c>
      <c r="AF201" s="83" t="s">
        <v>1518</v>
      </c>
      <c r="AG201" s="79" t="s">
        <v>1519</v>
      </c>
      <c r="AH201" s="79"/>
      <c r="AI201" s="53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</row>
    <row r="202" spans="1:110" ht="13.8" x14ac:dyDescent="0.25">
      <c r="A202" s="24">
        <v>1108006</v>
      </c>
      <c r="B202" s="11" t="s">
        <v>30</v>
      </c>
      <c r="C202" s="12" t="s">
        <v>411</v>
      </c>
      <c r="D202" s="11" t="s">
        <v>46</v>
      </c>
      <c r="E202" s="10" t="s">
        <v>132</v>
      </c>
      <c r="F202" s="10" t="s">
        <v>34</v>
      </c>
      <c r="G202" s="55" t="str">
        <f t="shared" si="5"/>
        <v>Obsolete</v>
      </c>
      <c r="H202" s="10">
        <v>10</v>
      </c>
      <c r="I202" s="13">
        <v>4000</v>
      </c>
      <c r="J202" s="56"/>
      <c r="K202" s="57"/>
      <c r="M202" s="14"/>
      <c r="N202" s="14"/>
      <c r="O202" s="14"/>
      <c r="P202" s="14"/>
      <c r="Q202" s="14"/>
      <c r="R202" s="14">
        <v>2.0699999999999998</v>
      </c>
      <c r="S202" s="14"/>
      <c r="T202" s="70"/>
      <c r="U202" s="76" t="s">
        <v>54</v>
      </c>
      <c r="V202" s="76"/>
      <c r="W202" s="76" t="s">
        <v>54</v>
      </c>
      <c r="X202" s="76"/>
      <c r="Y202" s="97"/>
      <c r="Z202" s="78">
        <v>55</v>
      </c>
      <c r="AA202" s="79" t="s">
        <v>64</v>
      </c>
      <c r="AB202" s="79" t="s">
        <v>37</v>
      </c>
      <c r="AC202" s="79" t="s">
        <v>37</v>
      </c>
      <c r="AD202" s="79"/>
      <c r="AE202" s="79" t="s">
        <v>133</v>
      </c>
      <c r="AF202" s="79" t="s">
        <v>134</v>
      </c>
      <c r="AG202" s="79" t="s">
        <v>135</v>
      </c>
      <c r="AH202" s="79"/>
      <c r="AI202" s="53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</row>
    <row r="203" spans="1:110" ht="13.8" x14ac:dyDescent="0.25">
      <c r="A203" s="24">
        <v>1108007</v>
      </c>
      <c r="B203" s="11" t="s">
        <v>30</v>
      </c>
      <c r="C203" s="12" t="s">
        <v>412</v>
      </c>
      <c r="D203" s="11" t="s">
        <v>46</v>
      </c>
      <c r="E203" s="10" t="s">
        <v>47</v>
      </c>
      <c r="F203" s="10" t="s">
        <v>34</v>
      </c>
      <c r="G203" s="55" t="str">
        <f t="shared" si="5"/>
        <v>Obsolete</v>
      </c>
      <c r="H203" s="10">
        <v>10</v>
      </c>
      <c r="I203" s="13"/>
      <c r="J203" s="56"/>
      <c r="K203" s="57"/>
      <c r="M203" s="14"/>
      <c r="N203" s="14"/>
      <c r="O203" s="14"/>
      <c r="P203" s="14"/>
      <c r="Q203" s="14"/>
      <c r="R203" s="14"/>
      <c r="S203" s="14"/>
      <c r="T203" s="70"/>
      <c r="U203" s="76" t="s">
        <v>54</v>
      </c>
      <c r="V203" s="76">
        <v>0</v>
      </c>
      <c r="W203" s="76" t="s">
        <v>54</v>
      </c>
      <c r="X203" s="76">
        <v>0</v>
      </c>
      <c r="Y203" s="97" t="s">
        <v>35</v>
      </c>
      <c r="Z203" s="78">
        <v>1600</v>
      </c>
      <c r="AA203" s="79" t="s">
        <v>36</v>
      </c>
      <c r="AB203" s="79" t="s">
        <v>37</v>
      </c>
      <c r="AC203" s="79" t="s">
        <v>37</v>
      </c>
      <c r="AD203" s="79" t="s">
        <v>38</v>
      </c>
      <c r="AE203" s="79" t="s">
        <v>1547</v>
      </c>
      <c r="AF203" s="79" t="s">
        <v>1548</v>
      </c>
      <c r="AG203" s="79" t="s">
        <v>1549</v>
      </c>
      <c r="AH203" s="79"/>
      <c r="AI203" s="53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</row>
    <row r="204" spans="1:110" ht="13.8" x14ac:dyDescent="0.25">
      <c r="A204" s="24">
        <v>1108008</v>
      </c>
      <c r="B204" s="11" t="s">
        <v>30</v>
      </c>
      <c r="C204" s="12" t="s">
        <v>413</v>
      </c>
      <c r="D204" s="11" t="s">
        <v>46</v>
      </c>
      <c r="E204" s="10" t="s">
        <v>132</v>
      </c>
      <c r="F204" s="10" t="s">
        <v>34</v>
      </c>
      <c r="G204" s="55" t="str">
        <f t="shared" si="5"/>
        <v>Obsolete</v>
      </c>
      <c r="H204" s="10">
        <v>10</v>
      </c>
      <c r="I204" s="13">
        <v>2000</v>
      </c>
      <c r="J204" s="56"/>
      <c r="K204" s="57"/>
      <c r="M204" s="14"/>
      <c r="N204" s="14"/>
      <c r="O204" s="14"/>
      <c r="P204" s="14"/>
      <c r="Q204" s="14"/>
      <c r="R204" s="14"/>
      <c r="S204" s="14"/>
      <c r="T204" s="70"/>
      <c r="U204" s="76" t="s">
        <v>54</v>
      </c>
      <c r="V204" s="76"/>
      <c r="W204" s="76" t="s">
        <v>54</v>
      </c>
      <c r="X204" s="76"/>
      <c r="Y204" s="97"/>
      <c r="Z204" s="78">
        <v>55</v>
      </c>
      <c r="AA204" s="79" t="s">
        <v>64</v>
      </c>
      <c r="AB204" s="79" t="s">
        <v>37</v>
      </c>
      <c r="AC204" s="79" t="s">
        <v>37</v>
      </c>
      <c r="AD204" s="79"/>
      <c r="AE204" s="79" t="s">
        <v>133</v>
      </c>
      <c r="AF204" s="79" t="s">
        <v>134</v>
      </c>
      <c r="AG204" s="79" t="s">
        <v>135</v>
      </c>
      <c r="AH204" s="79"/>
      <c r="AI204" s="53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</row>
    <row r="205" spans="1:110" ht="13.8" x14ac:dyDescent="0.25">
      <c r="A205" s="24">
        <v>1108009</v>
      </c>
      <c r="B205" s="11" t="s">
        <v>30</v>
      </c>
      <c r="C205" s="12" t="s">
        <v>414</v>
      </c>
      <c r="D205" s="11" t="s">
        <v>49</v>
      </c>
      <c r="E205" s="10" t="s">
        <v>1619</v>
      </c>
      <c r="F205" s="10" t="s">
        <v>34</v>
      </c>
      <c r="G205" s="55">
        <f t="shared" si="5"/>
        <v>3.02</v>
      </c>
      <c r="H205" s="10">
        <v>10</v>
      </c>
      <c r="I205" s="13">
        <v>110</v>
      </c>
      <c r="J205" s="56">
        <v>44273</v>
      </c>
      <c r="K205" s="57">
        <v>2.85</v>
      </c>
      <c r="M205" s="14">
        <v>2.66</v>
      </c>
      <c r="N205" s="14"/>
      <c r="O205" s="14"/>
      <c r="P205" s="14"/>
      <c r="Q205" s="14"/>
      <c r="R205" s="14"/>
      <c r="S205" s="14"/>
      <c r="T205" s="70"/>
      <c r="U205" s="76">
        <v>2.66</v>
      </c>
      <c r="V205" s="76">
        <v>0.36</v>
      </c>
      <c r="W205" s="76">
        <v>2.66</v>
      </c>
      <c r="X205" s="76">
        <v>0.36</v>
      </c>
      <c r="Y205" s="77" t="s">
        <v>37</v>
      </c>
      <c r="Z205" s="78">
        <v>55</v>
      </c>
      <c r="AA205" s="79" t="s">
        <v>36</v>
      </c>
      <c r="AB205" s="79" t="s">
        <v>35</v>
      </c>
      <c r="AC205" s="79" t="s">
        <v>37</v>
      </c>
      <c r="AD205" s="79" t="s">
        <v>38</v>
      </c>
      <c r="AE205" s="79" t="s">
        <v>50</v>
      </c>
      <c r="AF205" s="79" t="s">
        <v>51</v>
      </c>
      <c r="AG205" s="79" t="s">
        <v>52</v>
      </c>
      <c r="AH205" s="79"/>
      <c r="AI205" s="53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</row>
    <row r="206" spans="1:110" ht="13.8" x14ac:dyDescent="0.25">
      <c r="A206" s="24">
        <v>1108010</v>
      </c>
      <c r="B206" s="11" t="s">
        <v>30</v>
      </c>
      <c r="C206" s="12" t="s">
        <v>415</v>
      </c>
      <c r="D206" s="11" t="s">
        <v>416</v>
      </c>
      <c r="E206" s="10" t="s">
        <v>1619</v>
      </c>
      <c r="F206" s="10" t="s">
        <v>34</v>
      </c>
      <c r="G206" s="55">
        <f t="shared" si="5"/>
        <v>3.8600000000000003</v>
      </c>
      <c r="H206" s="10">
        <v>10</v>
      </c>
      <c r="I206" s="13">
        <v>55</v>
      </c>
      <c r="J206" s="56"/>
      <c r="K206" s="57"/>
      <c r="M206" s="14">
        <v>3.14</v>
      </c>
      <c r="N206" s="14"/>
      <c r="O206" s="14"/>
      <c r="P206" s="14"/>
      <c r="Q206" s="14"/>
      <c r="R206" s="14"/>
      <c r="S206" s="14"/>
      <c r="T206" s="70"/>
      <c r="U206" s="76">
        <v>3.14</v>
      </c>
      <c r="V206" s="76">
        <v>0.72</v>
      </c>
      <c r="W206" s="76">
        <v>3.14</v>
      </c>
      <c r="X206" s="76">
        <v>0.72</v>
      </c>
      <c r="Y206" s="77" t="s">
        <v>37</v>
      </c>
      <c r="Z206" s="78">
        <v>55</v>
      </c>
      <c r="AA206" s="79" t="s">
        <v>36</v>
      </c>
      <c r="AB206" s="79" t="s">
        <v>35</v>
      </c>
      <c r="AC206" s="79" t="s">
        <v>37</v>
      </c>
      <c r="AD206" s="79" t="s">
        <v>38</v>
      </c>
      <c r="AE206" s="79" t="s">
        <v>50</v>
      </c>
      <c r="AF206" s="79" t="s">
        <v>51</v>
      </c>
      <c r="AG206" s="79" t="s">
        <v>52</v>
      </c>
      <c r="AH206" s="79"/>
      <c r="AI206" s="53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</row>
    <row r="207" spans="1:110" ht="13.8" x14ac:dyDescent="0.25">
      <c r="A207" s="24">
        <v>1108011</v>
      </c>
      <c r="B207" s="11" t="s">
        <v>30</v>
      </c>
      <c r="C207" s="12" t="s">
        <v>417</v>
      </c>
      <c r="D207" s="11" t="s">
        <v>416</v>
      </c>
      <c r="E207" s="10" t="s">
        <v>132</v>
      </c>
      <c r="F207" s="10" t="s">
        <v>34</v>
      </c>
      <c r="G207" s="55">
        <f t="shared" si="5"/>
        <v>3.48</v>
      </c>
      <c r="H207" s="10">
        <v>10</v>
      </c>
      <c r="I207" s="13">
        <v>2200</v>
      </c>
      <c r="J207" s="56"/>
      <c r="K207" s="57"/>
      <c r="M207" s="14"/>
      <c r="N207" s="14"/>
      <c r="O207" s="14"/>
      <c r="P207" s="14"/>
      <c r="Q207" s="14"/>
      <c r="R207" s="14"/>
      <c r="S207" s="14"/>
      <c r="T207" s="70"/>
      <c r="U207" s="76">
        <v>3.48</v>
      </c>
      <c r="V207" s="76"/>
      <c r="W207" s="76">
        <v>3.48</v>
      </c>
      <c r="X207" s="76"/>
      <c r="Y207" s="97"/>
      <c r="Z207" s="78">
        <v>55</v>
      </c>
      <c r="AA207" s="79" t="s">
        <v>64</v>
      </c>
      <c r="AB207" s="79" t="s">
        <v>37</v>
      </c>
      <c r="AC207" s="79" t="s">
        <v>37</v>
      </c>
      <c r="AD207" s="79"/>
      <c r="AE207" s="79" t="s">
        <v>133</v>
      </c>
      <c r="AF207" s="79" t="s">
        <v>134</v>
      </c>
      <c r="AG207" s="79" t="s">
        <v>135</v>
      </c>
      <c r="AH207" s="79"/>
      <c r="AI207" s="53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</row>
    <row r="208" spans="1:110" ht="13.8" x14ac:dyDescent="0.25">
      <c r="A208" s="24">
        <v>1108012</v>
      </c>
      <c r="B208" s="11" t="s">
        <v>30</v>
      </c>
      <c r="C208" s="12" t="s">
        <v>418</v>
      </c>
      <c r="D208" s="11" t="s">
        <v>416</v>
      </c>
      <c r="E208" s="10" t="s">
        <v>419</v>
      </c>
      <c r="F208" s="10" t="s">
        <v>34</v>
      </c>
      <c r="G208" s="55" t="str">
        <f t="shared" si="5"/>
        <v>Obsolete</v>
      </c>
      <c r="H208" s="10"/>
      <c r="I208" s="13"/>
      <c r="J208" s="56"/>
      <c r="K208" s="57"/>
      <c r="M208" s="14"/>
      <c r="N208" s="14"/>
      <c r="O208" s="14"/>
      <c r="P208" s="14"/>
      <c r="Q208" s="14"/>
      <c r="R208" s="14">
        <v>5.5940000000000003</v>
      </c>
      <c r="S208" s="14"/>
      <c r="T208" s="70"/>
      <c r="U208" s="76" t="s">
        <v>54</v>
      </c>
      <c r="V208" s="76"/>
      <c r="W208" s="76" t="s">
        <v>54</v>
      </c>
      <c r="X208" s="76"/>
      <c r="Y208" s="97"/>
      <c r="Z208" s="78"/>
      <c r="AA208" s="79" t="s">
        <v>64</v>
      </c>
      <c r="AB208" s="79" t="s">
        <v>37</v>
      </c>
      <c r="AC208" s="79" t="s">
        <v>37</v>
      </c>
      <c r="AD208" s="79"/>
      <c r="AE208" s="79"/>
      <c r="AF208" s="79"/>
      <c r="AG208" s="79"/>
      <c r="AH208" s="79"/>
      <c r="AI208" s="53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</row>
    <row r="209" spans="1:110" ht="13.8" x14ac:dyDescent="0.25">
      <c r="A209" s="122">
        <v>1108013</v>
      </c>
      <c r="B209" s="11" t="s">
        <v>30</v>
      </c>
      <c r="C209" s="16" t="s">
        <v>420</v>
      </c>
      <c r="D209" s="11" t="s">
        <v>46</v>
      </c>
      <c r="E209" s="10" t="s">
        <v>47</v>
      </c>
      <c r="F209" s="10" t="s">
        <v>34</v>
      </c>
      <c r="G209" s="55">
        <f t="shared" si="5"/>
        <v>3.27</v>
      </c>
      <c r="H209" s="10">
        <v>10</v>
      </c>
      <c r="I209" s="13">
        <v>1600</v>
      </c>
      <c r="J209" s="56">
        <v>44616</v>
      </c>
      <c r="K209" s="57">
        <v>3.02</v>
      </c>
      <c r="M209" s="14"/>
      <c r="N209" s="14"/>
      <c r="O209" s="14">
        <v>3.27</v>
      </c>
      <c r="P209" s="14"/>
      <c r="Q209" s="14"/>
      <c r="R209" s="14"/>
      <c r="S209" s="14">
        <v>2.85</v>
      </c>
      <c r="T209" s="70"/>
      <c r="U209" s="14">
        <v>3.27</v>
      </c>
      <c r="V209" s="76">
        <v>0</v>
      </c>
      <c r="W209" s="14">
        <v>3.27</v>
      </c>
      <c r="X209" s="76">
        <v>0</v>
      </c>
      <c r="Y209" s="77" t="s">
        <v>35</v>
      </c>
      <c r="Z209" s="78">
        <v>1600</v>
      </c>
      <c r="AA209" s="79" t="s">
        <v>36</v>
      </c>
      <c r="AB209" s="79" t="s">
        <v>35</v>
      </c>
      <c r="AC209" s="79" t="s">
        <v>37</v>
      </c>
      <c r="AD209" s="79" t="s">
        <v>38</v>
      </c>
      <c r="AE209" s="79" t="s">
        <v>1547</v>
      </c>
      <c r="AF209" s="79" t="s">
        <v>1548</v>
      </c>
      <c r="AG209" s="79" t="s">
        <v>1549</v>
      </c>
      <c r="AH209" s="79"/>
      <c r="AI209" s="53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</row>
    <row r="210" spans="1:110" ht="13.8" x14ac:dyDescent="0.25">
      <c r="A210" s="24">
        <v>1108014</v>
      </c>
      <c r="B210" s="11" t="s">
        <v>30</v>
      </c>
      <c r="C210" s="16" t="s">
        <v>421</v>
      </c>
      <c r="D210" s="11" t="s">
        <v>46</v>
      </c>
      <c r="E210" s="10" t="s">
        <v>422</v>
      </c>
      <c r="F210" s="10" t="s">
        <v>34</v>
      </c>
      <c r="G210" s="55">
        <f t="shared" si="5"/>
        <v>1.9946999999999999</v>
      </c>
      <c r="H210" s="10">
        <v>8</v>
      </c>
      <c r="I210" s="13">
        <v>6000</v>
      </c>
      <c r="J210" s="56"/>
      <c r="K210" s="57"/>
      <c r="M210" s="14"/>
      <c r="N210" s="14"/>
      <c r="O210" s="14"/>
      <c r="P210" s="14"/>
      <c r="Q210" s="14"/>
      <c r="R210" s="14"/>
      <c r="S210" s="14"/>
      <c r="T210" s="70"/>
      <c r="U210" s="76">
        <v>1.599</v>
      </c>
      <c r="V210" s="76">
        <v>0.3957</v>
      </c>
      <c r="W210" s="76">
        <v>1.599</v>
      </c>
      <c r="X210" s="76">
        <v>0.3957</v>
      </c>
      <c r="Y210" s="77" t="s">
        <v>35</v>
      </c>
      <c r="Z210" s="87">
        <v>50</v>
      </c>
      <c r="AA210" s="79" t="s">
        <v>36</v>
      </c>
      <c r="AB210" s="79" t="s">
        <v>35</v>
      </c>
      <c r="AC210" s="79" t="s">
        <v>37</v>
      </c>
      <c r="AD210" s="79" t="s">
        <v>38</v>
      </c>
      <c r="AE210" s="79" t="s">
        <v>423</v>
      </c>
      <c r="AF210" s="91" t="s">
        <v>57</v>
      </c>
      <c r="AG210" s="79" t="s">
        <v>424</v>
      </c>
      <c r="AH210" s="79"/>
      <c r="AI210" s="53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</row>
    <row r="211" spans="1:110" ht="13.8" x14ac:dyDescent="0.25">
      <c r="A211" s="24">
        <v>1108015</v>
      </c>
      <c r="B211" s="11" t="s">
        <v>30</v>
      </c>
      <c r="C211" s="16" t="s">
        <v>425</v>
      </c>
      <c r="D211" s="11" t="s">
        <v>46</v>
      </c>
      <c r="E211" s="10" t="s">
        <v>426</v>
      </c>
      <c r="F211" s="10" t="s">
        <v>34</v>
      </c>
      <c r="G211" s="55" t="str">
        <f t="shared" si="5"/>
        <v>Obsolete</v>
      </c>
      <c r="H211" s="10"/>
      <c r="I211" s="13">
        <v>55</v>
      </c>
      <c r="J211" s="56"/>
      <c r="K211" s="57"/>
      <c r="M211" s="14"/>
      <c r="N211" s="14"/>
      <c r="O211" s="14"/>
      <c r="P211" s="14"/>
      <c r="Q211" s="14"/>
      <c r="R211" s="14"/>
      <c r="S211" s="14"/>
      <c r="T211" s="70"/>
      <c r="U211" s="76" t="s">
        <v>54</v>
      </c>
      <c r="V211" s="76"/>
      <c r="W211" s="76" t="s">
        <v>54</v>
      </c>
      <c r="X211" s="76"/>
      <c r="Y211" s="97"/>
      <c r="Z211" s="78"/>
      <c r="AA211" s="79" t="s">
        <v>36</v>
      </c>
      <c r="AB211" s="79" t="s">
        <v>37</v>
      </c>
      <c r="AC211" s="79" t="s">
        <v>37</v>
      </c>
      <c r="AD211" s="79"/>
      <c r="AE211" s="91" t="s">
        <v>57</v>
      </c>
      <c r="AF211" s="91" t="s">
        <v>57</v>
      </c>
      <c r="AG211" s="79" t="s">
        <v>57</v>
      </c>
      <c r="AH211" s="79"/>
      <c r="AI211" s="53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</row>
    <row r="212" spans="1:110" ht="13.8" x14ac:dyDescent="0.25">
      <c r="A212" s="122">
        <v>1108016</v>
      </c>
      <c r="B212" s="11" t="s">
        <v>30</v>
      </c>
      <c r="C212" s="16" t="s">
        <v>427</v>
      </c>
      <c r="D212" s="11" t="s">
        <v>46</v>
      </c>
      <c r="E212" s="10" t="s">
        <v>1611</v>
      </c>
      <c r="F212" s="10" t="s">
        <v>34</v>
      </c>
      <c r="G212" s="55">
        <f t="shared" si="5"/>
        <v>2.1919999999999997</v>
      </c>
      <c r="H212" s="10">
        <v>7</v>
      </c>
      <c r="I212" s="13">
        <v>5000</v>
      </c>
      <c r="J212" s="56">
        <v>44616</v>
      </c>
      <c r="K212" s="57">
        <v>1.99</v>
      </c>
      <c r="M212" s="14"/>
      <c r="N212" s="14"/>
      <c r="O212" s="14"/>
      <c r="P212" s="14">
        <v>2.2370000000000001</v>
      </c>
      <c r="Q212" s="14"/>
      <c r="R212" s="76"/>
      <c r="S212" s="14">
        <v>2.1469999999999998</v>
      </c>
      <c r="T212" s="70">
        <v>2.0670000000000002</v>
      </c>
      <c r="U212" s="14">
        <v>2.1469999999999998</v>
      </c>
      <c r="V212" s="76">
        <v>4.4999999999999998E-2</v>
      </c>
      <c r="W212" s="14">
        <v>2.1469999999999998</v>
      </c>
      <c r="X212" s="76">
        <v>4.4999999999999998E-2</v>
      </c>
      <c r="Y212" s="77" t="s">
        <v>35</v>
      </c>
      <c r="Z212" s="87">
        <v>1700</v>
      </c>
      <c r="AA212" s="79" t="s">
        <v>36</v>
      </c>
      <c r="AB212" s="79" t="s">
        <v>35</v>
      </c>
      <c r="AC212" s="79" t="s">
        <v>37</v>
      </c>
      <c r="AD212" s="79" t="s">
        <v>38</v>
      </c>
      <c r="AE212" s="79" t="s">
        <v>1517</v>
      </c>
      <c r="AF212" s="83" t="s">
        <v>1518</v>
      </c>
      <c r="AG212" s="79" t="s">
        <v>1519</v>
      </c>
      <c r="AH212" s="79"/>
      <c r="AI212" s="53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</row>
    <row r="213" spans="1:110" ht="13.8" x14ac:dyDescent="0.25">
      <c r="A213" s="122">
        <v>1108017</v>
      </c>
      <c r="B213" s="11" t="s">
        <v>30</v>
      </c>
      <c r="C213" s="31" t="s">
        <v>428</v>
      </c>
      <c r="D213" s="11" t="s">
        <v>46</v>
      </c>
      <c r="E213" s="10" t="s">
        <v>47</v>
      </c>
      <c r="F213" s="10" t="s">
        <v>34</v>
      </c>
      <c r="G213" s="55">
        <f t="shared" si="5"/>
        <v>3.25</v>
      </c>
      <c r="H213" s="10">
        <v>10</v>
      </c>
      <c r="I213" s="13">
        <v>330</v>
      </c>
      <c r="J213" s="56">
        <v>44616</v>
      </c>
      <c r="K213" s="57">
        <v>3.68</v>
      </c>
      <c r="M213" s="14"/>
      <c r="N213" s="14"/>
      <c r="O213" s="14">
        <v>2.52</v>
      </c>
      <c r="P213" s="14"/>
      <c r="Q213" s="14"/>
      <c r="R213" s="14"/>
      <c r="S213" s="14">
        <v>2.19</v>
      </c>
      <c r="T213" s="70"/>
      <c r="U213" s="14">
        <v>2.52</v>
      </c>
      <c r="V213" s="76">
        <v>0.73</v>
      </c>
      <c r="W213" s="14">
        <v>2.52</v>
      </c>
      <c r="X213" s="76">
        <v>0.73</v>
      </c>
      <c r="Y213" s="77" t="s">
        <v>35</v>
      </c>
      <c r="Z213" s="78">
        <v>55</v>
      </c>
      <c r="AA213" s="79" t="s">
        <v>36</v>
      </c>
      <c r="AB213" s="79" t="s">
        <v>35</v>
      </c>
      <c r="AC213" s="79" t="s">
        <v>37</v>
      </c>
      <c r="AD213" s="79" t="s">
        <v>38</v>
      </c>
      <c r="AE213" s="79" t="s">
        <v>374</v>
      </c>
      <c r="AF213" s="79" t="s">
        <v>375</v>
      </c>
      <c r="AG213" s="79" t="s">
        <v>376</v>
      </c>
      <c r="AH213" s="79"/>
      <c r="AI213" s="53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</row>
    <row r="214" spans="1:110" ht="13.8" x14ac:dyDescent="0.25">
      <c r="A214" s="24">
        <v>1108018</v>
      </c>
      <c r="B214" s="11" t="s">
        <v>30</v>
      </c>
      <c r="C214" s="16" t="s">
        <v>429</v>
      </c>
      <c r="D214" s="11" t="s">
        <v>46</v>
      </c>
      <c r="E214" s="10" t="s">
        <v>426</v>
      </c>
      <c r="F214" s="10" t="s">
        <v>34</v>
      </c>
      <c r="G214" s="55" t="str">
        <f t="shared" si="5"/>
        <v>Obsolete</v>
      </c>
      <c r="H214" s="10">
        <v>3</v>
      </c>
      <c r="I214" s="13">
        <v>2000</v>
      </c>
      <c r="J214" s="56"/>
      <c r="K214" s="57"/>
      <c r="M214" s="14"/>
      <c r="N214" s="14"/>
      <c r="O214" s="14"/>
      <c r="P214" s="14">
        <v>1.5580000000000001</v>
      </c>
      <c r="Q214" s="14"/>
      <c r="R214" s="14"/>
      <c r="S214" s="14"/>
      <c r="T214" s="70"/>
      <c r="U214" s="76" t="s">
        <v>54</v>
      </c>
      <c r="V214" s="76"/>
      <c r="W214" s="76" t="s">
        <v>54</v>
      </c>
      <c r="X214" s="76"/>
      <c r="Y214" s="97"/>
      <c r="Z214" s="78">
        <v>2000</v>
      </c>
      <c r="AA214" s="79" t="s">
        <v>36</v>
      </c>
      <c r="AB214" s="79" t="s">
        <v>37</v>
      </c>
      <c r="AC214" s="79" t="s">
        <v>37</v>
      </c>
      <c r="AD214" s="79"/>
      <c r="AE214" s="91" t="s">
        <v>57</v>
      </c>
      <c r="AF214" s="91" t="s">
        <v>57</v>
      </c>
      <c r="AG214" s="79" t="s">
        <v>57</v>
      </c>
      <c r="AH214" s="79"/>
      <c r="AI214" s="53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</row>
    <row r="215" spans="1:110" ht="13.8" x14ac:dyDescent="0.25">
      <c r="A215" s="24">
        <v>1108020</v>
      </c>
      <c r="B215" s="11" t="s">
        <v>30</v>
      </c>
      <c r="C215" s="16" t="s">
        <v>430</v>
      </c>
      <c r="D215" s="11" t="s">
        <v>46</v>
      </c>
      <c r="E215" s="10" t="s">
        <v>194</v>
      </c>
      <c r="F215" s="10" t="s">
        <v>34</v>
      </c>
      <c r="G215" s="55">
        <f t="shared" si="5"/>
        <v>4.63</v>
      </c>
      <c r="H215" s="10">
        <v>10</v>
      </c>
      <c r="I215" s="13">
        <v>165</v>
      </c>
      <c r="J215" s="56"/>
      <c r="K215" s="57"/>
      <c r="M215" s="14">
        <v>2.78</v>
      </c>
      <c r="N215" s="14"/>
      <c r="O215" s="14"/>
      <c r="P215" s="14"/>
      <c r="Q215" s="14"/>
      <c r="R215" s="14"/>
      <c r="S215" s="14"/>
      <c r="T215" s="70"/>
      <c r="U215" s="76">
        <v>2.78</v>
      </c>
      <c r="V215" s="76">
        <v>1.85</v>
      </c>
      <c r="W215" s="76">
        <v>2.88</v>
      </c>
      <c r="X215" s="76">
        <v>0</v>
      </c>
      <c r="Y215" s="77" t="s">
        <v>35</v>
      </c>
      <c r="Z215" s="78">
        <v>55</v>
      </c>
      <c r="AA215" s="79" t="s">
        <v>36</v>
      </c>
      <c r="AB215" s="79" t="s">
        <v>35</v>
      </c>
      <c r="AC215" s="79" t="s">
        <v>37</v>
      </c>
      <c r="AD215" s="79" t="s">
        <v>38</v>
      </c>
      <c r="AE215" s="79" t="s">
        <v>347</v>
      </c>
      <c r="AF215" s="79" t="s">
        <v>348</v>
      </c>
      <c r="AG215" s="79" t="s">
        <v>349</v>
      </c>
      <c r="AH215" s="79"/>
      <c r="AI215" s="53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</row>
    <row r="216" spans="1:110" ht="13.8" x14ac:dyDescent="0.25">
      <c r="A216" s="24">
        <v>1108021</v>
      </c>
      <c r="B216" s="11" t="s">
        <v>30</v>
      </c>
      <c r="C216" s="12" t="s">
        <v>431</v>
      </c>
      <c r="D216" s="11" t="s">
        <v>432</v>
      </c>
      <c r="E216" s="10" t="s">
        <v>101</v>
      </c>
      <c r="F216" s="10" t="s">
        <v>34</v>
      </c>
      <c r="G216" s="55">
        <v>4.9000000000000004</v>
      </c>
      <c r="H216" s="10">
        <v>8</v>
      </c>
      <c r="I216" s="13">
        <v>200</v>
      </c>
      <c r="J216" s="56"/>
      <c r="K216" s="57"/>
      <c r="M216" s="14"/>
      <c r="N216" s="14"/>
      <c r="O216" s="14"/>
      <c r="P216" s="14">
        <v>4.9000000000000004</v>
      </c>
      <c r="Q216" s="14"/>
      <c r="R216" s="14"/>
      <c r="S216" s="14">
        <v>4.0999999999999996</v>
      </c>
      <c r="T216" s="70">
        <v>3.7</v>
      </c>
      <c r="U216" s="76"/>
      <c r="V216" s="76" t="s">
        <v>433</v>
      </c>
      <c r="W216" s="76"/>
      <c r="X216" s="76" t="s">
        <v>433</v>
      </c>
      <c r="Y216" s="77"/>
      <c r="Z216" s="78"/>
      <c r="AA216" s="79" t="s">
        <v>434</v>
      </c>
      <c r="AB216" s="79" t="s">
        <v>35</v>
      </c>
      <c r="AC216" s="79" t="s">
        <v>37</v>
      </c>
      <c r="AD216" s="79" t="s">
        <v>38</v>
      </c>
      <c r="AE216" s="79" t="s">
        <v>103</v>
      </c>
      <c r="AF216" s="79" t="s">
        <v>104</v>
      </c>
      <c r="AG216" s="79" t="s">
        <v>105</v>
      </c>
      <c r="AH216" s="79"/>
      <c r="AI216" s="53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</row>
    <row r="217" spans="1:110" ht="13.8" x14ac:dyDescent="0.25">
      <c r="A217" s="122">
        <v>1108022</v>
      </c>
      <c r="B217" s="11" t="s">
        <v>30</v>
      </c>
      <c r="C217" s="12" t="s">
        <v>435</v>
      </c>
      <c r="D217" s="11" t="s">
        <v>436</v>
      </c>
      <c r="E217" s="10" t="s">
        <v>194</v>
      </c>
      <c r="F217" s="10" t="s">
        <v>34</v>
      </c>
      <c r="G217" s="55">
        <f t="shared" ref="G217:G223" si="6">IF(U217="Obsolete",U217,U217+V217)</f>
        <v>14.63</v>
      </c>
      <c r="H217" s="10">
        <v>4</v>
      </c>
      <c r="I217" s="13">
        <v>353</v>
      </c>
      <c r="J217" s="56">
        <v>44616</v>
      </c>
      <c r="K217" s="57">
        <v>15.62</v>
      </c>
      <c r="M217" s="14">
        <v>14.63</v>
      </c>
      <c r="N217" s="14"/>
      <c r="O217" s="14"/>
      <c r="P217" s="14"/>
      <c r="Q217" s="14"/>
      <c r="R217" s="14"/>
      <c r="S217" s="14"/>
      <c r="T217" s="70"/>
      <c r="U217" s="14">
        <v>14.63</v>
      </c>
      <c r="V217" s="76">
        <v>0</v>
      </c>
      <c r="W217" s="14">
        <v>14.63</v>
      </c>
      <c r="X217" s="76">
        <v>0</v>
      </c>
      <c r="Y217" s="77" t="s">
        <v>37</v>
      </c>
      <c r="Z217" s="78">
        <v>55</v>
      </c>
      <c r="AA217" s="79" t="s">
        <v>36</v>
      </c>
      <c r="AB217" s="79" t="s">
        <v>35</v>
      </c>
      <c r="AC217" s="79" t="s">
        <v>37</v>
      </c>
      <c r="AD217" s="79" t="s">
        <v>38</v>
      </c>
      <c r="AE217" s="79" t="s">
        <v>374</v>
      </c>
      <c r="AF217" s="79" t="s">
        <v>375</v>
      </c>
      <c r="AG217" s="79" t="s">
        <v>376</v>
      </c>
      <c r="AH217" s="79"/>
      <c r="AI217" s="53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</row>
    <row r="218" spans="1:110" ht="13.8" x14ac:dyDescent="0.25">
      <c r="A218" s="24">
        <v>1108023</v>
      </c>
      <c r="B218" s="11" t="s">
        <v>30</v>
      </c>
      <c r="C218" s="12" t="s">
        <v>437</v>
      </c>
      <c r="D218" s="11" t="s">
        <v>438</v>
      </c>
      <c r="E218" s="10" t="s">
        <v>1619</v>
      </c>
      <c r="F218" s="10" t="s">
        <v>34</v>
      </c>
      <c r="G218" s="55">
        <f t="shared" si="6"/>
        <v>6.6749999999999998</v>
      </c>
      <c r="H218" s="10">
        <v>10</v>
      </c>
      <c r="I218" s="13">
        <v>50</v>
      </c>
      <c r="J218" s="56"/>
      <c r="K218" s="57"/>
      <c r="M218" s="14">
        <v>6.63</v>
      </c>
      <c r="N218" s="14"/>
      <c r="O218" s="14"/>
      <c r="P218" s="14"/>
      <c r="Q218" s="14"/>
      <c r="R218" s="14"/>
      <c r="S218" s="14"/>
      <c r="T218" s="70"/>
      <c r="U218" s="76">
        <v>6.63</v>
      </c>
      <c r="V218" s="76">
        <v>4.4999999999999998E-2</v>
      </c>
      <c r="W218" s="76">
        <v>6.63</v>
      </c>
      <c r="X218" s="76">
        <v>4.4999999999999998E-2</v>
      </c>
      <c r="Y218" s="77" t="s">
        <v>37</v>
      </c>
      <c r="Z218" s="78">
        <v>55</v>
      </c>
      <c r="AA218" s="79" t="s">
        <v>36</v>
      </c>
      <c r="AB218" s="79" t="s">
        <v>35</v>
      </c>
      <c r="AC218" s="79" t="s">
        <v>37</v>
      </c>
      <c r="AD218" s="79" t="s">
        <v>38</v>
      </c>
      <c r="AE218" s="79" t="s">
        <v>439</v>
      </c>
      <c r="AF218" s="79" t="s">
        <v>440</v>
      </c>
      <c r="AG218" s="79" t="s">
        <v>441</v>
      </c>
      <c r="AH218" s="79"/>
      <c r="AI218" s="53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</row>
    <row r="219" spans="1:110" ht="13.8" x14ac:dyDescent="0.25">
      <c r="A219" s="122">
        <v>1108024</v>
      </c>
      <c r="B219" s="11" t="s">
        <v>30</v>
      </c>
      <c r="C219" s="12" t="s">
        <v>442</v>
      </c>
      <c r="D219" s="11" t="s">
        <v>432</v>
      </c>
      <c r="E219" s="10" t="s">
        <v>47</v>
      </c>
      <c r="F219" s="10" t="s">
        <v>34</v>
      </c>
      <c r="G219" s="55">
        <f t="shared" si="6"/>
        <v>2.74</v>
      </c>
      <c r="H219" s="10">
        <v>10</v>
      </c>
      <c r="I219" s="13">
        <v>6400</v>
      </c>
      <c r="J219" s="56">
        <v>44616</v>
      </c>
      <c r="K219" s="57">
        <v>2.21</v>
      </c>
      <c r="M219" s="14"/>
      <c r="N219" s="14"/>
      <c r="O219" s="14">
        <v>13.13</v>
      </c>
      <c r="P219" s="14"/>
      <c r="Q219" s="14"/>
      <c r="R219" s="14"/>
      <c r="S219" s="14">
        <v>2.74</v>
      </c>
      <c r="T219" s="70"/>
      <c r="U219" s="14">
        <v>2.74</v>
      </c>
      <c r="V219" s="76">
        <v>0</v>
      </c>
      <c r="W219" s="14">
        <v>2.74</v>
      </c>
      <c r="X219" s="76">
        <v>0</v>
      </c>
      <c r="Y219" s="77"/>
      <c r="Z219" s="78"/>
      <c r="AA219" s="79"/>
      <c r="AB219" s="79"/>
      <c r="AC219" s="79"/>
      <c r="AD219" s="79"/>
      <c r="AE219" s="79" t="s">
        <v>1547</v>
      </c>
      <c r="AF219" s="79" t="s">
        <v>1548</v>
      </c>
      <c r="AG219" s="79" t="s">
        <v>1549</v>
      </c>
      <c r="AH219" s="79"/>
      <c r="AI219" s="53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</row>
    <row r="220" spans="1:110" ht="13.8" x14ac:dyDescent="0.25">
      <c r="A220" s="24">
        <v>1108025</v>
      </c>
      <c r="B220" s="11" t="s">
        <v>30</v>
      </c>
      <c r="C220" s="16" t="s">
        <v>443</v>
      </c>
      <c r="D220" s="11" t="s">
        <v>146</v>
      </c>
      <c r="E220" s="10" t="s">
        <v>444</v>
      </c>
      <c r="F220" s="10" t="s">
        <v>34</v>
      </c>
      <c r="G220" s="55" t="str">
        <f t="shared" si="6"/>
        <v>Obsolete</v>
      </c>
      <c r="H220" s="10">
        <v>4</v>
      </c>
      <c r="I220" s="13">
        <v>2000</v>
      </c>
      <c r="J220" s="56"/>
      <c r="K220" s="57"/>
      <c r="M220" s="14"/>
      <c r="N220" s="14">
        <v>0.97799999999999998</v>
      </c>
      <c r="O220" s="14">
        <v>0.88100000000000001</v>
      </c>
      <c r="P220" s="14">
        <v>0.83199999999999996</v>
      </c>
      <c r="Q220" s="14">
        <v>0.80800000000000005</v>
      </c>
      <c r="R220" s="14">
        <v>0.78300000000000003</v>
      </c>
      <c r="S220" s="14"/>
      <c r="T220" s="70"/>
      <c r="U220" s="76" t="s">
        <v>54</v>
      </c>
      <c r="V220" s="76">
        <v>0.52569999999999995</v>
      </c>
      <c r="W220" s="76" t="s">
        <v>54</v>
      </c>
      <c r="X220" s="76">
        <v>0.52569999999999995</v>
      </c>
      <c r="Y220" s="77" t="s">
        <v>35</v>
      </c>
      <c r="Z220" s="78">
        <v>1600</v>
      </c>
      <c r="AA220" s="79" t="s">
        <v>36</v>
      </c>
      <c r="AB220" s="79" t="s">
        <v>37</v>
      </c>
      <c r="AC220" s="79" t="s">
        <v>37</v>
      </c>
      <c r="AD220" s="79" t="s">
        <v>38</v>
      </c>
      <c r="AE220" s="79" t="s">
        <v>423</v>
      </c>
      <c r="AF220" s="79" t="s">
        <v>445</v>
      </c>
      <c r="AG220" s="79" t="s">
        <v>424</v>
      </c>
      <c r="AH220" s="79"/>
      <c r="AI220" s="53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</row>
    <row r="221" spans="1:110" ht="13.8" x14ac:dyDescent="0.25">
      <c r="A221" s="24">
        <v>1108026</v>
      </c>
      <c r="B221" s="11" t="s">
        <v>30</v>
      </c>
      <c r="C221" s="16" t="s">
        <v>446</v>
      </c>
      <c r="D221" s="11" t="s">
        <v>447</v>
      </c>
      <c r="E221" s="10" t="s">
        <v>307</v>
      </c>
      <c r="F221" s="10" t="s">
        <v>34</v>
      </c>
      <c r="G221" s="55" t="str">
        <f t="shared" si="6"/>
        <v>Obsolete</v>
      </c>
      <c r="H221" s="10">
        <v>4</v>
      </c>
      <c r="I221" s="13">
        <v>6400</v>
      </c>
      <c r="J221" s="56"/>
      <c r="K221" s="57"/>
      <c r="M221" s="14"/>
      <c r="N221" s="14"/>
      <c r="O221" s="14">
        <v>2.8</v>
      </c>
      <c r="P221" s="14"/>
      <c r="Q221" s="14">
        <v>2.7</v>
      </c>
      <c r="R221" s="14"/>
      <c r="S221" s="14">
        <v>2.2999999999999998</v>
      </c>
      <c r="T221" s="70"/>
      <c r="U221" s="76" t="s">
        <v>54</v>
      </c>
      <c r="V221" s="76">
        <v>7.7999999999999996E-3</v>
      </c>
      <c r="W221" s="76" t="s">
        <v>54</v>
      </c>
      <c r="X221" s="76">
        <v>7.7999999999999996E-3</v>
      </c>
      <c r="Y221" s="77" t="s">
        <v>37</v>
      </c>
      <c r="Z221" s="78">
        <v>1650</v>
      </c>
      <c r="AA221" s="79" t="s">
        <v>162</v>
      </c>
      <c r="AB221" s="79" t="s">
        <v>37</v>
      </c>
      <c r="AC221" s="79" t="s">
        <v>35</v>
      </c>
      <c r="AD221" s="79" t="s">
        <v>38</v>
      </c>
      <c r="AE221" s="79" t="s">
        <v>308</v>
      </c>
      <c r="AF221" s="79" t="s">
        <v>309</v>
      </c>
      <c r="AG221" s="79" t="s">
        <v>310</v>
      </c>
      <c r="AH221" s="79"/>
      <c r="AI221" s="53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</row>
    <row r="222" spans="1:110" ht="13.8" x14ac:dyDescent="0.25">
      <c r="A222" s="24">
        <v>1108027</v>
      </c>
      <c r="B222" s="11" t="s">
        <v>30</v>
      </c>
      <c r="C222" s="16" t="s">
        <v>448</v>
      </c>
      <c r="D222" s="11" t="s">
        <v>127</v>
      </c>
      <c r="E222" s="10" t="s">
        <v>307</v>
      </c>
      <c r="F222" s="10" t="s">
        <v>34</v>
      </c>
      <c r="G222" s="55" t="str">
        <f t="shared" si="6"/>
        <v>Obsolete</v>
      </c>
      <c r="H222" s="10">
        <v>2</v>
      </c>
      <c r="I222" s="13">
        <v>55</v>
      </c>
      <c r="J222" s="56">
        <v>44168</v>
      </c>
      <c r="K222" s="55">
        <v>15.519</v>
      </c>
      <c r="M222" s="14">
        <v>14.61</v>
      </c>
      <c r="N222" s="14"/>
      <c r="O222" s="14"/>
      <c r="P222" s="14"/>
      <c r="Q222" s="14"/>
      <c r="R222" s="14"/>
      <c r="S222" s="14"/>
      <c r="T222" s="70"/>
      <c r="U222" s="76" t="s">
        <v>54</v>
      </c>
      <c r="V222" s="76">
        <v>0.90900000000000003</v>
      </c>
      <c r="W222" s="76">
        <v>14.61</v>
      </c>
      <c r="X222" s="76">
        <v>0.90900000000000003</v>
      </c>
      <c r="Y222" s="77" t="s">
        <v>35</v>
      </c>
      <c r="Z222" s="78">
        <v>55</v>
      </c>
      <c r="AA222" s="79" t="s">
        <v>36</v>
      </c>
      <c r="AB222" s="79" t="s">
        <v>35</v>
      </c>
      <c r="AC222" s="79" t="s">
        <v>37</v>
      </c>
      <c r="AD222" s="79" t="s">
        <v>38</v>
      </c>
      <c r="AE222" s="79" t="s">
        <v>308</v>
      </c>
      <c r="AF222" s="79" t="s">
        <v>309</v>
      </c>
      <c r="AG222" s="79" t="s">
        <v>310</v>
      </c>
      <c r="AH222" s="79"/>
      <c r="AI222" s="53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</row>
    <row r="223" spans="1:110" ht="13.8" x14ac:dyDescent="0.25">
      <c r="A223" s="24">
        <v>1108028</v>
      </c>
      <c r="B223" s="11" t="s">
        <v>30</v>
      </c>
      <c r="C223" s="16" t="s">
        <v>449</v>
      </c>
      <c r="D223" s="11" t="s">
        <v>450</v>
      </c>
      <c r="E223" s="10" t="s">
        <v>276</v>
      </c>
      <c r="F223" s="10" t="s">
        <v>34</v>
      </c>
      <c r="G223" s="55">
        <f t="shared" si="6"/>
        <v>3.5</v>
      </c>
      <c r="H223" s="10">
        <v>7</v>
      </c>
      <c r="I223" s="13">
        <v>500</v>
      </c>
      <c r="J223" s="56"/>
      <c r="K223" s="57"/>
      <c r="M223" s="14"/>
      <c r="N223" s="14">
        <v>3.5</v>
      </c>
      <c r="O223" s="14"/>
      <c r="P223" s="14"/>
      <c r="Q223" s="14"/>
      <c r="R223" s="14"/>
      <c r="S223" s="14"/>
      <c r="T223" s="70"/>
      <c r="U223" s="76">
        <v>3.5</v>
      </c>
      <c r="V223" s="76">
        <v>0</v>
      </c>
      <c r="W223" s="76">
        <v>3.5</v>
      </c>
      <c r="X223" s="76">
        <v>0</v>
      </c>
      <c r="Y223" s="77" t="s">
        <v>37</v>
      </c>
      <c r="Z223" s="78">
        <v>50</v>
      </c>
      <c r="AA223" s="79" t="s">
        <v>102</v>
      </c>
      <c r="AB223" s="79" t="s">
        <v>35</v>
      </c>
      <c r="AC223" s="79" t="s">
        <v>35</v>
      </c>
      <c r="AD223" s="91" t="s">
        <v>57</v>
      </c>
      <c r="AE223" s="79" t="s">
        <v>278</v>
      </c>
      <c r="AF223" s="83" t="s">
        <v>279</v>
      </c>
      <c r="AG223" s="79" t="s">
        <v>280</v>
      </c>
      <c r="AH223" s="79"/>
      <c r="AI223" s="53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</row>
    <row r="224" spans="1:110" ht="13.8" x14ac:dyDescent="0.25">
      <c r="A224" s="24">
        <v>1108029</v>
      </c>
      <c r="B224" s="11" t="s">
        <v>30</v>
      </c>
      <c r="C224" s="16" t="s">
        <v>451</v>
      </c>
      <c r="D224" s="10" t="s">
        <v>416</v>
      </c>
      <c r="E224" s="10" t="s">
        <v>164</v>
      </c>
      <c r="F224" s="10" t="s">
        <v>34</v>
      </c>
      <c r="G224" s="58" t="s">
        <v>170</v>
      </c>
      <c r="H224" s="10"/>
      <c r="I224" s="13"/>
      <c r="J224" s="56"/>
      <c r="K224" s="57"/>
      <c r="M224" s="15"/>
      <c r="N224" s="15"/>
      <c r="O224" s="15"/>
      <c r="P224" s="15"/>
      <c r="Q224" s="15"/>
      <c r="R224" s="15"/>
      <c r="S224" s="15"/>
      <c r="T224" s="71"/>
      <c r="U224" s="77">
        <v>0</v>
      </c>
      <c r="V224" s="77">
        <v>0</v>
      </c>
      <c r="W224" s="77">
        <v>0</v>
      </c>
      <c r="X224" s="77">
        <v>0</v>
      </c>
      <c r="Y224" s="77"/>
      <c r="Z224" s="87"/>
      <c r="AA224" s="79" t="s">
        <v>36</v>
      </c>
      <c r="AB224" s="79" t="s">
        <v>37</v>
      </c>
      <c r="AC224" s="79" t="s">
        <v>37</v>
      </c>
      <c r="AD224" s="79" t="s">
        <v>38</v>
      </c>
      <c r="AE224" s="79" t="s">
        <v>313</v>
      </c>
      <c r="AF224" s="79" t="s">
        <v>452</v>
      </c>
      <c r="AG224" s="79" t="s">
        <v>453</v>
      </c>
      <c r="AH224" s="79"/>
      <c r="AI224" s="53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</row>
    <row r="225" spans="1:110" ht="13.8" x14ac:dyDescent="0.25">
      <c r="A225" s="122">
        <v>1108030</v>
      </c>
      <c r="B225" s="11" t="s">
        <v>30</v>
      </c>
      <c r="C225" s="16" t="s">
        <v>454</v>
      </c>
      <c r="D225" s="10" t="s">
        <v>416</v>
      </c>
      <c r="E225" s="10" t="s">
        <v>164</v>
      </c>
      <c r="F225" s="10" t="s">
        <v>34</v>
      </c>
      <c r="G225" s="55">
        <f t="shared" ref="G225:G242" si="7">IF(U225="Obsolete",U225,U225+V225)</f>
        <v>2.1758999999999999</v>
      </c>
      <c r="H225" s="10">
        <v>12</v>
      </c>
      <c r="I225" s="13">
        <v>1500</v>
      </c>
      <c r="J225" s="56">
        <v>44616</v>
      </c>
      <c r="K225" s="57">
        <v>1.7589999999999999</v>
      </c>
      <c r="M225" s="15"/>
      <c r="N225" s="15"/>
      <c r="O225" s="15"/>
      <c r="P225" s="15"/>
      <c r="Q225" s="15"/>
      <c r="R225" s="15"/>
      <c r="S225" s="15"/>
      <c r="T225" s="71"/>
      <c r="U225" s="103">
        <v>1.6629</v>
      </c>
      <c r="V225" s="77">
        <v>0.51300000000000001</v>
      </c>
      <c r="W225" s="103">
        <v>1.6629</v>
      </c>
      <c r="X225" s="77">
        <v>0.51300000000000001</v>
      </c>
      <c r="Y225" s="77" t="s">
        <v>35</v>
      </c>
      <c r="Z225" s="87">
        <v>1500</v>
      </c>
      <c r="AA225" s="79" t="s">
        <v>36</v>
      </c>
      <c r="AB225" s="79" t="s">
        <v>37</v>
      </c>
      <c r="AC225" s="79" t="s">
        <v>37</v>
      </c>
      <c r="AD225" s="79" t="s">
        <v>38</v>
      </c>
      <c r="AE225" s="79"/>
      <c r="AF225" s="79"/>
      <c r="AG225" s="79"/>
      <c r="AH225" s="79"/>
      <c r="AI225" s="53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</row>
    <row r="226" spans="1:110" ht="13.8" x14ac:dyDescent="0.25">
      <c r="A226" s="24">
        <v>1108031</v>
      </c>
      <c r="B226" s="11" t="s">
        <v>30</v>
      </c>
      <c r="C226" s="16" t="s">
        <v>455</v>
      </c>
      <c r="D226" s="10" t="s">
        <v>416</v>
      </c>
      <c r="E226" s="10" t="s">
        <v>400</v>
      </c>
      <c r="F226" s="10" t="s">
        <v>34</v>
      </c>
      <c r="G226" s="55">
        <f t="shared" si="7"/>
        <v>4.5199999999999996</v>
      </c>
      <c r="H226" s="10">
        <v>1</v>
      </c>
      <c r="I226" s="13"/>
      <c r="J226" s="56"/>
      <c r="K226" s="57"/>
      <c r="M226" s="15">
        <v>4.5199999999999996</v>
      </c>
      <c r="N226" s="15"/>
      <c r="O226" s="15"/>
      <c r="P226" s="15"/>
      <c r="Q226" s="15"/>
      <c r="R226" s="15"/>
      <c r="S226" s="15"/>
      <c r="T226" s="71"/>
      <c r="U226" s="77">
        <v>4.5199999999999996</v>
      </c>
      <c r="V226" s="77"/>
      <c r="W226" s="77">
        <v>4.5199999999999996</v>
      </c>
      <c r="X226" s="77"/>
      <c r="Y226" s="77" t="s">
        <v>35</v>
      </c>
      <c r="Z226" s="87"/>
      <c r="AA226" s="79" t="s">
        <v>261</v>
      </c>
      <c r="AB226" s="79" t="s">
        <v>35</v>
      </c>
      <c r="AC226" s="79" t="s">
        <v>35</v>
      </c>
      <c r="AD226" s="79"/>
      <c r="AE226" s="79" t="s">
        <v>401</v>
      </c>
      <c r="AF226" s="79"/>
      <c r="AG226" s="79" t="s">
        <v>402</v>
      </c>
      <c r="AH226" s="79"/>
      <c r="AI226" s="53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</row>
    <row r="227" spans="1:110" ht="13.8" x14ac:dyDescent="0.25">
      <c r="A227" s="24">
        <v>1108032</v>
      </c>
      <c r="B227" s="11" t="s">
        <v>30</v>
      </c>
      <c r="C227" s="16" t="s">
        <v>456</v>
      </c>
      <c r="D227" s="10" t="s">
        <v>416</v>
      </c>
      <c r="E227" s="10" t="s">
        <v>1619</v>
      </c>
      <c r="F227" s="10" t="s">
        <v>34</v>
      </c>
      <c r="G227" s="55">
        <f t="shared" si="7"/>
        <v>10.64</v>
      </c>
      <c r="H227" s="10">
        <v>10</v>
      </c>
      <c r="I227" s="13">
        <v>55</v>
      </c>
      <c r="J227" s="56"/>
      <c r="K227" s="57"/>
      <c r="M227" s="15">
        <v>10.64</v>
      </c>
      <c r="N227" s="15"/>
      <c r="O227" s="15"/>
      <c r="P227" s="15"/>
      <c r="Q227" s="15"/>
      <c r="R227" s="15"/>
      <c r="S227" s="15"/>
      <c r="T227" s="71"/>
      <c r="U227" s="76">
        <v>10.64</v>
      </c>
      <c r="V227" s="76">
        <v>0</v>
      </c>
      <c r="W227" s="76">
        <v>10.64</v>
      </c>
      <c r="X227" s="76">
        <v>0</v>
      </c>
      <c r="Y227" s="77"/>
      <c r="Z227" s="87"/>
      <c r="AA227" s="79" t="s">
        <v>102</v>
      </c>
      <c r="AB227" s="79" t="s">
        <v>35</v>
      </c>
      <c r="AC227" s="79" t="s">
        <v>35</v>
      </c>
      <c r="AD227" s="79"/>
      <c r="AE227" s="79" t="s">
        <v>439</v>
      </c>
      <c r="AF227" s="79" t="s">
        <v>440</v>
      </c>
      <c r="AG227" s="79" t="s">
        <v>441</v>
      </c>
      <c r="AH227" s="79"/>
      <c r="AI227" s="53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</row>
    <row r="228" spans="1:110" ht="13.8" x14ac:dyDescent="0.25">
      <c r="A228" s="24">
        <v>1108033</v>
      </c>
      <c r="B228" s="11" t="s">
        <v>30</v>
      </c>
      <c r="C228" s="16" t="s">
        <v>457</v>
      </c>
      <c r="D228" s="10" t="s">
        <v>416</v>
      </c>
      <c r="E228" s="10" t="s">
        <v>1619</v>
      </c>
      <c r="F228" s="10" t="s">
        <v>34</v>
      </c>
      <c r="G228" s="55">
        <f t="shared" si="7"/>
        <v>5.55</v>
      </c>
      <c r="H228" s="10">
        <v>10</v>
      </c>
      <c r="I228" s="13">
        <v>55</v>
      </c>
      <c r="J228" s="56"/>
      <c r="K228" s="57"/>
      <c r="M228" s="15">
        <v>5.55</v>
      </c>
      <c r="N228" s="15"/>
      <c r="O228" s="15"/>
      <c r="P228" s="15"/>
      <c r="Q228" s="15"/>
      <c r="R228" s="15"/>
      <c r="S228" s="15"/>
      <c r="T228" s="71"/>
      <c r="U228" s="76">
        <v>5.55</v>
      </c>
      <c r="V228" s="76">
        <v>0</v>
      </c>
      <c r="W228" s="76">
        <v>5.55</v>
      </c>
      <c r="X228" s="76">
        <v>0</v>
      </c>
      <c r="Y228" s="77"/>
      <c r="Z228" s="87"/>
      <c r="AA228" s="79" t="s">
        <v>102</v>
      </c>
      <c r="AB228" s="79" t="s">
        <v>35</v>
      </c>
      <c r="AC228" s="79" t="s">
        <v>35</v>
      </c>
      <c r="AD228" s="79"/>
      <c r="AE228" s="79" t="s">
        <v>439</v>
      </c>
      <c r="AF228" s="79" t="s">
        <v>440</v>
      </c>
      <c r="AG228" s="79" t="s">
        <v>441</v>
      </c>
      <c r="AH228" s="79"/>
      <c r="AI228" s="53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</row>
    <row r="229" spans="1:110" ht="13.8" x14ac:dyDescent="0.25">
      <c r="A229" s="24">
        <v>1108034</v>
      </c>
      <c r="B229" s="11" t="s">
        <v>30</v>
      </c>
      <c r="C229" s="12" t="s">
        <v>458</v>
      </c>
      <c r="D229" s="10" t="s">
        <v>416</v>
      </c>
      <c r="E229" s="10" t="s">
        <v>132</v>
      </c>
      <c r="F229" s="10" t="s">
        <v>34</v>
      </c>
      <c r="G229" s="55" t="str">
        <f t="shared" si="7"/>
        <v>Obsolete</v>
      </c>
      <c r="H229" s="10">
        <v>10</v>
      </c>
      <c r="I229" s="13">
        <v>55</v>
      </c>
      <c r="J229" s="56"/>
      <c r="K229" s="57"/>
      <c r="M229" s="15">
        <v>4.55</v>
      </c>
      <c r="N229" s="15"/>
      <c r="O229" s="15"/>
      <c r="P229" s="15"/>
      <c r="Q229" s="15"/>
      <c r="R229" s="15"/>
      <c r="S229" s="15"/>
      <c r="T229" s="71"/>
      <c r="U229" s="77" t="s">
        <v>54</v>
      </c>
      <c r="V229" s="77"/>
      <c r="W229" s="76" t="s">
        <v>54</v>
      </c>
      <c r="X229" s="77"/>
      <c r="Y229" s="77"/>
      <c r="Z229" s="87"/>
      <c r="AA229" s="79"/>
      <c r="AB229" s="79" t="s">
        <v>37</v>
      </c>
      <c r="AC229" s="79"/>
      <c r="AD229" s="79"/>
      <c r="AE229" s="79" t="s">
        <v>133</v>
      </c>
      <c r="AF229" s="79" t="s">
        <v>134</v>
      </c>
      <c r="AG229" s="79" t="s">
        <v>135</v>
      </c>
      <c r="AH229" s="79"/>
      <c r="AI229" s="53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</row>
    <row r="230" spans="1:110" ht="13.8" x14ac:dyDescent="0.25">
      <c r="A230" s="24">
        <v>1108035</v>
      </c>
      <c r="B230" s="11" t="s">
        <v>30</v>
      </c>
      <c r="C230" s="12" t="s">
        <v>459</v>
      </c>
      <c r="D230" s="10" t="s">
        <v>416</v>
      </c>
      <c r="E230" s="10" t="s">
        <v>1619</v>
      </c>
      <c r="F230" s="10" t="s">
        <v>34</v>
      </c>
      <c r="G230" s="55">
        <f t="shared" si="7"/>
        <v>5.59</v>
      </c>
      <c r="H230" s="10">
        <v>10</v>
      </c>
      <c r="I230" s="13">
        <v>55</v>
      </c>
      <c r="J230" s="56"/>
      <c r="K230" s="57"/>
      <c r="M230" s="15">
        <v>5.59</v>
      </c>
      <c r="N230" s="15"/>
      <c r="O230" s="15"/>
      <c r="P230" s="15"/>
      <c r="Q230" s="15"/>
      <c r="R230" s="15"/>
      <c r="S230" s="15"/>
      <c r="T230" s="71"/>
      <c r="U230" s="76">
        <v>5.59</v>
      </c>
      <c r="V230" s="77"/>
      <c r="W230" s="76">
        <v>5.59</v>
      </c>
      <c r="X230" s="77"/>
      <c r="Y230" s="77" t="s">
        <v>37</v>
      </c>
      <c r="Z230" s="87">
        <v>55</v>
      </c>
      <c r="AA230" s="79" t="s">
        <v>261</v>
      </c>
      <c r="AB230" s="79" t="s">
        <v>35</v>
      </c>
      <c r="AC230" s="79" t="s">
        <v>35</v>
      </c>
      <c r="AD230" s="79"/>
      <c r="AE230" s="79" t="s">
        <v>439</v>
      </c>
      <c r="AF230" s="79" t="s">
        <v>440</v>
      </c>
      <c r="AG230" s="79" t="s">
        <v>441</v>
      </c>
      <c r="AH230" s="79"/>
      <c r="AI230" s="53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</row>
    <row r="231" spans="1:110" ht="13.8" x14ac:dyDescent="0.25">
      <c r="A231" s="24">
        <v>1108036</v>
      </c>
      <c r="B231" s="11" t="s">
        <v>30</v>
      </c>
      <c r="C231" s="12" t="s">
        <v>460</v>
      </c>
      <c r="D231" s="10" t="s">
        <v>46</v>
      </c>
      <c r="E231" s="10" t="s">
        <v>47</v>
      </c>
      <c r="F231" s="10" t="s">
        <v>34</v>
      </c>
      <c r="G231" s="55">
        <f t="shared" si="7"/>
        <v>5.9399999999999995</v>
      </c>
      <c r="H231" s="10">
        <v>6</v>
      </c>
      <c r="I231" s="13">
        <v>55</v>
      </c>
      <c r="J231" s="56"/>
      <c r="K231" s="57"/>
      <c r="M231" s="15">
        <v>5.76</v>
      </c>
      <c r="N231" s="15"/>
      <c r="O231" s="15"/>
      <c r="P231" s="15"/>
      <c r="Q231" s="15"/>
      <c r="R231" s="15"/>
      <c r="S231" s="15"/>
      <c r="T231" s="71"/>
      <c r="U231" s="77">
        <v>5.76</v>
      </c>
      <c r="V231" s="77">
        <v>0.18</v>
      </c>
      <c r="W231" s="77">
        <v>2.13</v>
      </c>
      <c r="X231" s="77">
        <v>0</v>
      </c>
      <c r="Y231" s="77" t="s">
        <v>37</v>
      </c>
      <c r="Z231" s="87">
        <v>55</v>
      </c>
      <c r="AA231" s="79" t="s">
        <v>36</v>
      </c>
      <c r="AB231" s="79" t="s">
        <v>35</v>
      </c>
      <c r="AC231" s="79" t="s">
        <v>37</v>
      </c>
      <c r="AD231" s="79" t="s">
        <v>38</v>
      </c>
      <c r="AE231" s="79" t="s">
        <v>461</v>
      </c>
      <c r="AF231" s="79" t="s">
        <v>462</v>
      </c>
      <c r="AG231" s="79" t="s">
        <v>463</v>
      </c>
      <c r="AH231" s="79"/>
      <c r="AI231" s="53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</row>
    <row r="232" spans="1:110" ht="13.8" x14ac:dyDescent="0.25">
      <c r="A232" s="24">
        <v>1108037</v>
      </c>
      <c r="B232" s="11" t="s">
        <v>30</v>
      </c>
      <c r="C232" s="12" t="s">
        <v>464</v>
      </c>
      <c r="D232" s="11" t="s">
        <v>49</v>
      </c>
      <c r="E232" s="10" t="s">
        <v>1619</v>
      </c>
      <c r="F232" s="10" t="s">
        <v>34</v>
      </c>
      <c r="G232" s="55">
        <f t="shared" si="7"/>
        <v>6.5</v>
      </c>
      <c r="H232" s="10">
        <v>10</v>
      </c>
      <c r="I232" s="13">
        <v>55</v>
      </c>
      <c r="J232" s="56"/>
      <c r="K232" s="57"/>
      <c r="M232" s="15">
        <v>6.47</v>
      </c>
      <c r="N232" s="15"/>
      <c r="O232" s="15"/>
      <c r="P232" s="15"/>
      <c r="Q232" s="15"/>
      <c r="R232" s="15"/>
      <c r="S232" s="15"/>
      <c r="T232" s="71"/>
      <c r="U232" s="76">
        <v>6.47</v>
      </c>
      <c r="V232" s="76">
        <v>0.03</v>
      </c>
      <c r="W232" s="76">
        <v>6.47</v>
      </c>
      <c r="X232" s="76">
        <v>0.03</v>
      </c>
      <c r="Y232" s="77" t="s">
        <v>37</v>
      </c>
      <c r="Z232" s="87">
        <v>55</v>
      </c>
      <c r="AA232" s="79" t="s">
        <v>64</v>
      </c>
      <c r="AB232" s="79" t="s">
        <v>35</v>
      </c>
      <c r="AC232" s="79" t="s">
        <v>37</v>
      </c>
      <c r="AD232" s="79" t="s">
        <v>38</v>
      </c>
      <c r="AE232" s="79" t="s">
        <v>439</v>
      </c>
      <c r="AF232" s="79" t="s">
        <v>440</v>
      </c>
      <c r="AG232" s="79" t="s">
        <v>441</v>
      </c>
      <c r="AH232" s="79"/>
      <c r="AI232" s="53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</row>
    <row r="233" spans="1:110" ht="13.8" x14ac:dyDescent="0.25">
      <c r="A233" s="24">
        <v>1108038</v>
      </c>
      <c r="B233" s="11" t="s">
        <v>30</v>
      </c>
      <c r="C233" s="12" t="s">
        <v>465</v>
      </c>
      <c r="D233" s="11" t="s">
        <v>466</v>
      </c>
      <c r="E233" s="10" t="s">
        <v>47</v>
      </c>
      <c r="F233" s="10" t="s">
        <v>34</v>
      </c>
      <c r="G233" s="55">
        <f t="shared" si="7"/>
        <v>2.94</v>
      </c>
      <c r="H233" s="10">
        <v>14</v>
      </c>
      <c r="I233" s="13"/>
      <c r="J233" s="56"/>
      <c r="K233" s="57"/>
      <c r="M233" s="15"/>
      <c r="N233" s="15"/>
      <c r="O233" s="15"/>
      <c r="P233" s="15"/>
      <c r="Q233" s="15"/>
      <c r="R233" s="15"/>
      <c r="S233" s="15"/>
      <c r="T233" s="71"/>
      <c r="U233" s="77">
        <v>2.94</v>
      </c>
      <c r="V233" s="77">
        <v>0</v>
      </c>
      <c r="W233" s="77">
        <v>2.94</v>
      </c>
      <c r="X233" s="77">
        <v>0</v>
      </c>
      <c r="Y233" s="77" t="s">
        <v>37</v>
      </c>
      <c r="Z233" s="87">
        <v>1600</v>
      </c>
      <c r="AA233" s="79" t="s">
        <v>36</v>
      </c>
      <c r="AB233" s="79" t="s">
        <v>35</v>
      </c>
      <c r="AC233" s="79"/>
      <c r="AD233" s="79"/>
      <c r="AE233" s="79" t="s">
        <v>1547</v>
      </c>
      <c r="AF233" s="79" t="s">
        <v>1548</v>
      </c>
      <c r="AG233" s="79" t="s">
        <v>1549</v>
      </c>
      <c r="AH233" s="79"/>
      <c r="AI233" s="53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</row>
    <row r="234" spans="1:110" ht="13.8" x14ac:dyDescent="0.25">
      <c r="A234" s="24">
        <v>1108039</v>
      </c>
      <c r="B234" s="11" t="s">
        <v>30</v>
      </c>
      <c r="C234" s="12" t="s">
        <v>467</v>
      </c>
      <c r="D234" s="11" t="s">
        <v>49</v>
      </c>
      <c r="E234" s="10" t="s">
        <v>1619</v>
      </c>
      <c r="F234" s="10" t="s">
        <v>34</v>
      </c>
      <c r="G234" s="55">
        <f t="shared" si="7"/>
        <v>5.5570000000000004</v>
      </c>
      <c r="H234" s="10"/>
      <c r="I234" s="13"/>
      <c r="J234" s="56"/>
      <c r="K234" s="57"/>
      <c r="M234" s="15"/>
      <c r="N234" s="15"/>
      <c r="O234" s="15"/>
      <c r="P234" s="15">
        <v>5.53</v>
      </c>
      <c r="Q234" s="15"/>
      <c r="R234" s="15"/>
      <c r="S234" s="15"/>
      <c r="T234" s="71"/>
      <c r="U234" s="76">
        <v>5.53</v>
      </c>
      <c r="V234" s="76">
        <v>2.7E-2</v>
      </c>
      <c r="W234" s="76">
        <v>5.53</v>
      </c>
      <c r="X234" s="76">
        <v>2.7E-2</v>
      </c>
      <c r="Y234" s="77" t="s">
        <v>37</v>
      </c>
      <c r="Z234" s="87">
        <v>55</v>
      </c>
      <c r="AA234" s="79" t="s">
        <v>468</v>
      </c>
      <c r="AB234" s="79" t="s">
        <v>35</v>
      </c>
      <c r="AC234" s="79" t="s">
        <v>37</v>
      </c>
      <c r="AD234" s="79" t="s">
        <v>38</v>
      </c>
      <c r="AE234" s="79" t="s">
        <v>439</v>
      </c>
      <c r="AF234" s="79" t="s">
        <v>440</v>
      </c>
      <c r="AG234" s="79" t="s">
        <v>441</v>
      </c>
      <c r="AH234" s="79"/>
      <c r="AI234" s="53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</row>
    <row r="235" spans="1:110" ht="13.8" x14ac:dyDescent="0.25">
      <c r="A235" s="24">
        <v>1108040</v>
      </c>
      <c r="B235" s="11" t="s">
        <v>30</v>
      </c>
      <c r="C235" s="12" t="s">
        <v>469</v>
      </c>
      <c r="D235" s="11" t="s">
        <v>49</v>
      </c>
      <c r="E235" s="10" t="s">
        <v>47</v>
      </c>
      <c r="F235" s="10" t="s">
        <v>34</v>
      </c>
      <c r="G235" s="121">
        <f t="shared" si="7"/>
        <v>13.13</v>
      </c>
      <c r="H235" s="10">
        <v>14</v>
      </c>
      <c r="I235" s="13">
        <v>55</v>
      </c>
      <c r="J235" s="56">
        <v>44435</v>
      </c>
      <c r="K235" s="57">
        <v>12.99</v>
      </c>
      <c r="M235" s="15">
        <v>13.13</v>
      </c>
      <c r="N235" s="15"/>
      <c r="O235" s="15"/>
      <c r="P235" s="15"/>
      <c r="Q235" s="15"/>
      <c r="R235" s="15"/>
      <c r="S235" s="15"/>
      <c r="T235" s="71"/>
      <c r="U235" s="77">
        <v>13.13</v>
      </c>
      <c r="V235" s="77">
        <v>0</v>
      </c>
      <c r="W235" s="77">
        <v>13.13</v>
      </c>
      <c r="X235" s="77">
        <v>0</v>
      </c>
      <c r="Y235" s="77" t="s">
        <v>37</v>
      </c>
      <c r="Z235" s="87">
        <v>55</v>
      </c>
      <c r="AA235" s="79" t="s">
        <v>36</v>
      </c>
      <c r="AB235" s="79" t="s">
        <v>35</v>
      </c>
      <c r="AC235" s="79" t="s">
        <v>37</v>
      </c>
      <c r="AD235" s="79" t="s">
        <v>38</v>
      </c>
      <c r="AE235" s="79" t="s">
        <v>1547</v>
      </c>
      <c r="AF235" s="79" t="s">
        <v>1548</v>
      </c>
      <c r="AG235" s="79" t="s">
        <v>1549</v>
      </c>
      <c r="AH235" s="79"/>
      <c r="AI235" s="53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</row>
    <row r="236" spans="1:110" ht="13.8" x14ac:dyDescent="0.25">
      <c r="A236" s="24">
        <v>1108041</v>
      </c>
      <c r="B236" s="11" t="s">
        <v>30</v>
      </c>
      <c r="C236" s="12" t="s">
        <v>470</v>
      </c>
      <c r="D236" s="11" t="s">
        <v>471</v>
      </c>
      <c r="E236" s="10" t="s">
        <v>102</v>
      </c>
      <c r="F236" s="10" t="s">
        <v>34</v>
      </c>
      <c r="G236" s="55">
        <f t="shared" si="7"/>
        <v>1.28</v>
      </c>
      <c r="H236" s="10"/>
      <c r="I236" s="13"/>
      <c r="J236" s="56"/>
      <c r="K236" s="57"/>
      <c r="M236" s="15"/>
      <c r="N236" s="15"/>
      <c r="O236" s="15"/>
      <c r="P236" s="15"/>
      <c r="Q236" s="15"/>
      <c r="R236" s="15"/>
      <c r="S236" s="15"/>
      <c r="T236" s="71"/>
      <c r="U236" s="77">
        <v>1.28</v>
      </c>
      <c r="V236" s="77">
        <v>0</v>
      </c>
      <c r="W236" s="77">
        <v>1.28</v>
      </c>
      <c r="X236" s="77">
        <v>0</v>
      </c>
      <c r="Y236" s="77" t="s">
        <v>35</v>
      </c>
      <c r="Z236" s="87"/>
      <c r="AA236" s="79" t="s">
        <v>102</v>
      </c>
      <c r="AB236" s="79" t="s">
        <v>35</v>
      </c>
      <c r="AC236" s="79" t="s">
        <v>35</v>
      </c>
      <c r="AD236" s="79"/>
      <c r="AE236" s="79" t="s">
        <v>313</v>
      </c>
      <c r="AF236" s="79" t="s">
        <v>472</v>
      </c>
      <c r="AG236" s="79" t="s">
        <v>473</v>
      </c>
      <c r="AH236" s="79"/>
      <c r="AI236" s="53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</row>
    <row r="237" spans="1:110" ht="11.25" customHeight="1" x14ac:dyDescent="0.25">
      <c r="A237" s="24">
        <v>1108042</v>
      </c>
      <c r="B237" s="11" t="s">
        <v>30</v>
      </c>
      <c r="C237" s="12" t="s">
        <v>474</v>
      </c>
      <c r="D237" s="11" t="s">
        <v>475</v>
      </c>
      <c r="E237" s="10" t="s">
        <v>1640</v>
      </c>
      <c r="F237" s="10" t="s">
        <v>34</v>
      </c>
      <c r="G237" s="55">
        <f t="shared" si="7"/>
        <v>1.82</v>
      </c>
      <c r="H237" s="10">
        <v>16</v>
      </c>
      <c r="I237" s="13">
        <v>2200</v>
      </c>
      <c r="J237" s="56">
        <v>44585</v>
      </c>
      <c r="K237" s="57">
        <v>1.5422</v>
      </c>
      <c r="M237" s="15"/>
      <c r="N237" s="15"/>
      <c r="O237" s="15"/>
      <c r="P237" s="15"/>
      <c r="Q237" s="15"/>
      <c r="R237" s="15"/>
      <c r="S237" s="15"/>
      <c r="T237" s="71"/>
      <c r="U237" s="104">
        <v>1.82</v>
      </c>
      <c r="V237" s="77">
        <v>0</v>
      </c>
      <c r="W237" s="104">
        <v>1.82</v>
      </c>
      <c r="X237" s="77">
        <v>0</v>
      </c>
      <c r="Y237" s="77"/>
      <c r="Z237" s="87"/>
      <c r="AA237" s="79" t="s">
        <v>102</v>
      </c>
      <c r="AB237" s="79" t="s">
        <v>35</v>
      </c>
      <c r="AC237" s="79" t="s">
        <v>35</v>
      </c>
      <c r="AD237" s="79"/>
      <c r="AE237" s="79" t="s">
        <v>313</v>
      </c>
      <c r="AF237" s="79" t="s">
        <v>1510</v>
      </c>
      <c r="AG237" s="79" t="s">
        <v>473</v>
      </c>
      <c r="AH237" s="79"/>
      <c r="AI237" s="53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</row>
    <row r="238" spans="1:110" ht="12.75" customHeight="1" x14ac:dyDescent="0.25">
      <c r="A238" s="24">
        <v>1108043</v>
      </c>
      <c r="B238" s="11" t="s">
        <v>30</v>
      </c>
      <c r="C238" s="12" t="s">
        <v>476</v>
      </c>
      <c r="D238" s="11" t="s">
        <v>416</v>
      </c>
      <c r="E238" s="10" t="s">
        <v>477</v>
      </c>
      <c r="F238" s="10" t="s">
        <v>34</v>
      </c>
      <c r="G238" s="55">
        <f t="shared" si="7"/>
        <v>7.2450000000000001</v>
      </c>
      <c r="H238" s="10">
        <v>5</v>
      </c>
      <c r="I238" s="13">
        <v>1100</v>
      </c>
      <c r="J238" s="56">
        <v>44273</v>
      </c>
      <c r="K238" s="57">
        <v>6.7649999999999997</v>
      </c>
      <c r="M238" s="15"/>
      <c r="N238" s="15"/>
      <c r="O238" s="15"/>
      <c r="P238" s="15"/>
      <c r="Q238" s="15"/>
      <c r="R238" s="15"/>
      <c r="S238" s="15"/>
      <c r="T238" s="71"/>
      <c r="U238" s="77">
        <v>7.2</v>
      </c>
      <c r="V238" s="77">
        <v>4.4999999999999998E-2</v>
      </c>
      <c r="W238" s="77">
        <v>7.2</v>
      </c>
      <c r="X238" s="77">
        <v>4.4999999999999998E-2</v>
      </c>
      <c r="Y238" s="77" t="s">
        <v>35</v>
      </c>
      <c r="Z238" s="87">
        <v>1100</v>
      </c>
      <c r="AA238" s="79" t="s">
        <v>468</v>
      </c>
      <c r="AB238" s="79" t="s">
        <v>35</v>
      </c>
      <c r="AC238" s="79" t="s">
        <v>37</v>
      </c>
      <c r="AD238" s="79" t="s">
        <v>38</v>
      </c>
      <c r="AE238" s="79" t="s">
        <v>103</v>
      </c>
      <c r="AF238" s="79" t="s">
        <v>104</v>
      </c>
      <c r="AG238" s="79" t="s">
        <v>105</v>
      </c>
      <c r="AH238" s="79"/>
      <c r="AI238" s="53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</row>
    <row r="239" spans="1:110" ht="13.8" x14ac:dyDescent="0.25">
      <c r="A239" s="122">
        <v>1108044</v>
      </c>
      <c r="B239" s="11" t="s">
        <v>30</v>
      </c>
      <c r="C239" s="12" t="s">
        <v>1494</v>
      </c>
      <c r="D239" s="11" t="s">
        <v>1495</v>
      </c>
      <c r="E239" s="10" t="s">
        <v>164</v>
      </c>
      <c r="F239" s="10" t="s">
        <v>34</v>
      </c>
      <c r="G239" s="55">
        <f t="shared" si="7"/>
        <v>3.0098740740740739</v>
      </c>
      <c r="H239" s="10">
        <v>12</v>
      </c>
      <c r="I239" s="13">
        <v>1500</v>
      </c>
      <c r="J239" s="56">
        <v>44616</v>
      </c>
      <c r="K239" s="57">
        <v>2.0800999999999998</v>
      </c>
      <c r="M239" s="15"/>
      <c r="N239" s="15"/>
      <c r="O239" s="15"/>
      <c r="P239" s="15"/>
      <c r="Q239" s="15"/>
      <c r="R239" s="15"/>
      <c r="S239" s="15"/>
      <c r="T239" s="71"/>
      <c r="U239" s="104">
        <v>2.5087999999999999</v>
      </c>
      <c r="V239" s="77">
        <f>0.456074074074074+0.045</f>
        <v>0.50107407407407401</v>
      </c>
      <c r="W239" s="104">
        <v>2.5087999999999999</v>
      </c>
      <c r="X239" s="77">
        <f>0.456074074074074+0.045</f>
        <v>0.50107407407407401</v>
      </c>
      <c r="Y239" s="77" t="s">
        <v>35</v>
      </c>
      <c r="Z239" s="87">
        <v>1500</v>
      </c>
      <c r="AA239" s="79" t="s">
        <v>36</v>
      </c>
      <c r="AB239" s="79" t="s">
        <v>35</v>
      </c>
      <c r="AC239" s="79" t="s">
        <v>37</v>
      </c>
      <c r="AD239" s="79" t="s">
        <v>38</v>
      </c>
      <c r="AE239" s="79" t="s">
        <v>165</v>
      </c>
      <c r="AF239" s="79" t="s">
        <v>166</v>
      </c>
      <c r="AG239" s="79" t="s">
        <v>167</v>
      </c>
      <c r="AH239" s="79"/>
      <c r="AI239" s="53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</row>
    <row r="240" spans="1:110" ht="13.8" x14ac:dyDescent="0.25">
      <c r="A240" s="24">
        <v>1108045</v>
      </c>
      <c r="B240" s="11" t="s">
        <v>30</v>
      </c>
      <c r="C240" s="12" t="s">
        <v>1509</v>
      </c>
      <c r="D240" s="10" t="s">
        <v>46</v>
      </c>
      <c r="E240" s="10" t="s">
        <v>1599</v>
      </c>
      <c r="F240" s="10" t="s">
        <v>34</v>
      </c>
      <c r="G240" s="55">
        <f t="shared" si="7"/>
        <v>1.5422158920811799</v>
      </c>
      <c r="H240" s="10">
        <v>10</v>
      </c>
      <c r="I240" s="13" t="s">
        <v>370</v>
      </c>
      <c r="J240" s="56"/>
      <c r="K240" s="57"/>
      <c r="M240" s="15"/>
      <c r="N240" s="15"/>
      <c r="O240" s="15"/>
      <c r="P240" s="15"/>
      <c r="Q240" s="15"/>
      <c r="R240" s="15"/>
      <c r="S240" s="15"/>
      <c r="T240" s="71"/>
      <c r="U240" s="104">
        <v>1.5422158920811799</v>
      </c>
      <c r="V240" s="77">
        <v>0</v>
      </c>
      <c r="W240" s="104">
        <v>1.542215892081175</v>
      </c>
      <c r="X240" s="77">
        <v>0</v>
      </c>
      <c r="Y240" s="77"/>
      <c r="Z240" s="87"/>
      <c r="AA240" s="79" t="s">
        <v>102</v>
      </c>
      <c r="AB240" s="79" t="s">
        <v>35</v>
      </c>
      <c r="AC240" s="79" t="s">
        <v>35</v>
      </c>
      <c r="AD240" s="79"/>
      <c r="AE240" s="79" t="s">
        <v>313</v>
      </c>
      <c r="AF240" s="79" t="s">
        <v>1510</v>
      </c>
      <c r="AG240" s="79" t="s">
        <v>473</v>
      </c>
      <c r="AH240" s="79"/>
      <c r="AI240" s="53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</row>
    <row r="241" spans="1:110" ht="13.8" x14ac:dyDescent="0.25">
      <c r="A241" s="24">
        <v>1108046</v>
      </c>
      <c r="B241" s="11" t="s">
        <v>30</v>
      </c>
      <c r="C241" s="12" t="s">
        <v>1581</v>
      </c>
      <c r="D241" s="10" t="s">
        <v>49</v>
      </c>
      <c r="E241" s="10" t="s">
        <v>329</v>
      </c>
      <c r="F241" s="10" t="s">
        <v>34</v>
      </c>
      <c r="G241" s="55">
        <f t="shared" si="7"/>
        <v>4.4999999999999998E-2</v>
      </c>
      <c r="H241" s="10">
        <v>3</v>
      </c>
      <c r="I241" s="13" t="s">
        <v>370</v>
      </c>
      <c r="J241" s="56"/>
      <c r="K241" s="57"/>
      <c r="M241" s="15"/>
      <c r="N241" s="15"/>
      <c r="O241" s="15"/>
      <c r="P241" s="15"/>
      <c r="Q241" s="15"/>
      <c r="R241" s="15"/>
      <c r="S241" s="15"/>
      <c r="T241" s="71"/>
      <c r="U241" s="104">
        <v>0</v>
      </c>
      <c r="V241" s="104">
        <v>4.4999999999999998E-2</v>
      </c>
      <c r="W241" s="104">
        <v>0</v>
      </c>
      <c r="X241" s="104">
        <v>4.4999999999999998E-2</v>
      </c>
      <c r="Y241" s="77" t="s">
        <v>35</v>
      </c>
      <c r="Z241" s="87"/>
      <c r="AA241" s="79" t="s">
        <v>329</v>
      </c>
      <c r="AB241" s="79" t="s">
        <v>35</v>
      </c>
      <c r="AC241" s="79" t="s">
        <v>35</v>
      </c>
      <c r="AD241" s="79"/>
      <c r="AE241" s="79" t="s">
        <v>330</v>
      </c>
      <c r="AF241" s="79"/>
      <c r="AG241" s="79" t="s">
        <v>331</v>
      </c>
      <c r="AH241" s="79" t="s">
        <v>1606</v>
      </c>
      <c r="AI241" s="53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</row>
    <row r="242" spans="1:110" ht="30.6" x14ac:dyDescent="0.25">
      <c r="A242" s="24">
        <v>1108047</v>
      </c>
      <c r="B242" s="11" t="s">
        <v>30</v>
      </c>
      <c r="C242" s="12" t="s">
        <v>1592</v>
      </c>
      <c r="D242" s="10" t="s">
        <v>450</v>
      </c>
      <c r="E242" s="10" t="s">
        <v>1585</v>
      </c>
      <c r="F242" s="10" t="s">
        <v>34</v>
      </c>
      <c r="G242" s="55">
        <f t="shared" si="7"/>
        <v>0</v>
      </c>
      <c r="H242" s="10">
        <v>2</v>
      </c>
      <c r="I242" s="13"/>
      <c r="J242" s="56"/>
      <c r="K242" s="57"/>
      <c r="M242" s="15"/>
      <c r="N242" s="15"/>
      <c r="O242" s="15"/>
      <c r="P242" s="15"/>
      <c r="Q242" s="15"/>
      <c r="R242" s="15"/>
      <c r="S242" s="15"/>
      <c r="T242" s="71"/>
      <c r="U242" s="104">
        <v>0</v>
      </c>
      <c r="V242" s="104">
        <v>0</v>
      </c>
      <c r="W242" s="104">
        <v>0</v>
      </c>
      <c r="X242" s="104">
        <v>0</v>
      </c>
      <c r="Y242" s="77" t="s">
        <v>186</v>
      </c>
      <c r="Z242" s="87"/>
      <c r="AA242" s="100" t="s">
        <v>1588</v>
      </c>
      <c r="AB242" s="79" t="s">
        <v>35</v>
      </c>
      <c r="AC242" s="79" t="s">
        <v>37</v>
      </c>
      <c r="AD242" s="79" t="s">
        <v>38</v>
      </c>
      <c r="AE242" s="79" t="s">
        <v>1589</v>
      </c>
      <c r="AF242" s="83" t="s">
        <v>1590</v>
      </c>
      <c r="AG242" s="79" t="s">
        <v>1591</v>
      </c>
      <c r="AH242" s="79"/>
      <c r="AI242" s="53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</row>
    <row r="243" spans="1:110" ht="13.8" x14ac:dyDescent="0.25">
      <c r="A243" s="24">
        <v>1108048</v>
      </c>
      <c r="B243" s="11" t="s">
        <v>30</v>
      </c>
      <c r="C243" s="12" t="s">
        <v>1600</v>
      </c>
      <c r="D243" s="10" t="s">
        <v>49</v>
      </c>
      <c r="E243" s="24" t="s">
        <v>329</v>
      </c>
      <c r="F243" s="10" t="s">
        <v>34</v>
      </c>
      <c r="G243" s="55">
        <v>0</v>
      </c>
      <c r="H243" s="10"/>
      <c r="I243" s="13"/>
      <c r="J243" s="56"/>
      <c r="K243" s="57"/>
      <c r="M243" s="15"/>
      <c r="N243" s="15"/>
      <c r="O243" s="15"/>
      <c r="P243" s="15"/>
      <c r="Q243" s="15"/>
      <c r="R243" s="15"/>
      <c r="S243" s="15"/>
      <c r="T243" s="71"/>
      <c r="U243" s="104"/>
      <c r="V243" s="104"/>
      <c r="W243" s="104"/>
      <c r="X243" s="104"/>
      <c r="Y243" s="77"/>
      <c r="Z243" s="87"/>
      <c r="AA243" s="100"/>
      <c r="AB243" s="79"/>
      <c r="AC243" s="79"/>
      <c r="AD243" s="79"/>
      <c r="AE243" s="79"/>
      <c r="AF243" s="83"/>
      <c r="AG243" s="79"/>
      <c r="AH243" s="79"/>
      <c r="AI243" s="53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</row>
    <row r="244" spans="1:110" ht="30.6" x14ac:dyDescent="0.25">
      <c r="A244" s="24">
        <v>1108049</v>
      </c>
      <c r="B244" s="11" t="s">
        <v>30</v>
      </c>
      <c r="C244" s="16" t="s">
        <v>1609</v>
      </c>
      <c r="D244" s="10" t="s">
        <v>450</v>
      </c>
      <c r="E244" s="10" t="s">
        <v>1585</v>
      </c>
      <c r="F244" s="10" t="s">
        <v>34</v>
      </c>
      <c r="G244" s="55">
        <v>0</v>
      </c>
      <c r="H244" s="10"/>
      <c r="I244" s="13"/>
      <c r="J244" s="56"/>
      <c r="K244" s="57"/>
      <c r="M244" s="15"/>
      <c r="N244" s="15"/>
      <c r="O244" s="15"/>
      <c r="P244" s="15"/>
      <c r="Q244" s="15"/>
      <c r="R244" s="15"/>
      <c r="S244" s="15"/>
      <c r="T244" s="71"/>
      <c r="U244" s="104">
        <v>0</v>
      </c>
      <c r="V244" s="104">
        <v>0</v>
      </c>
      <c r="W244" s="104">
        <v>0</v>
      </c>
      <c r="X244" s="104">
        <v>0</v>
      </c>
      <c r="Y244" s="77" t="s">
        <v>186</v>
      </c>
      <c r="Z244" s="87"/>
      <c r="AA244" s="100" t="s">
        <v>1588</v>
      </c>
      <c r="AB244" s="79" t="s">
        <v>35</v>
      </c>
      <c r="AC244" s="79" t="s">
        <v>37</v>
      </c>
      <c r="AD244" s="79" t="s">
        <v>38</v>
      </c>
      <c r="AE244" s="79" t="s">
        <v>1589</v>
      </c>
      <c r="AF244" s="83" t="s">
        <v>1590</v>
      </c>
      <c r="AG244" s="79" t="s">
        <v>1591</v>
      </c>
      <c r="AH244" s="79">
        <v>19138</v>
      </c>
      <c r="AI244" s="53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</row>
    <row r="245" spans="1:110" ht="13.8" x14ac:dyDescent="0.25">
      <c r="A245" s="24">
        <v>1108050</v>
      </c>
      <c r="B245" s="11" t="s">
        <v>30</v>
      </c>
      <c r="C245" s="16" t="s">
        <v>1638</v>
      </c>
      <c r="D245" s="10" t="s">
        <v>46</v>
      </c>
      <c r="E245" s="10" t="s">
        <v>164</v>
      </c>
      <c r="F245" s="10" t="s">
        <v>34</v>
      </c>
      <c r="G245" s="55">
        <f t="shared" ref="G245:G267" si="8">IF(U245="Obsolete",U245,U245+V245)</f>
        <v>2.4329000000000001</v>
      </c>
      <c r="H245" s="10">
        <v>12</v>
      </c>
      <c r="I245" s="13">
        <v>1500</v>
      </c>
      <c r="J245" s="56"/>
      <c r="K245" s="57"/>
      <c r="M245" s="15"/>
      <c r="N245" s="15"/>
      <c r="O245" s="15"/>
      <c r="P245" s="15"/>
      <c r="Q245" s="15"/>
      <c r="R245" s="15"/>
      <c r="S245" s="15"/>
      <c r="T245" s="71"/>
      <c r="U245" s="104">
        <v>1.8529</v>
      </c>
      <c r="V245" s="77">
        <v>0.57999999999999996</v>
      </c>
      <c r="W245" s="104">
        <v>1.8529</v>
      </c>
      <c r="X245" s="77">
        <v>0.57999999999999996</v>
      </c>
      <c r="Y245" s="77" t="s">
        <v>35</v>
      </c>
      <c r="Z245" s="87">
        <v>1500</v>
      </c>
      <c r="AA245" s="79" t="s">
        <v>36</v>
      </c>
      <c r="AB245" s="79" t="s">
        <v>35</v>
      </c>
      <c r="AC245" s="79" t="s">
        <v>37</v>
      </c>
      <c r="AD245" s="79" t="s">
        <v>38</v>
      </c>
      <c r="AE245" s="79" t="s">
        <v>1639</v>
      </c>
      <c r="AF245" s="83"/>
      <c r="AG245" s="79" t="s">
        <v>1576</v>
      </c>
      <c r="AH245" s="79"/>
      <c r="AI245" s="53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</row>
    <row r="246" spans="1:110" ht="13.8" x14ac:dyDescent="0.25">
      <c r="A246" s="24">
        <v>1109001</v>
      </c>
      <c r="B246" s="11" t="s">
        <v>30</v>
      </c>
      <c r="C246" s="12" t="s">
        <v>478</v>
      </c>
      <c r="D246" s="11" t="s">
        <v>49</v>
      </c>
      <c r="E246" s="10" t="s">
        <v>33</v>
      </c>
      <c r="F246" s="10" t="s">
        <v>34</v>
      </c>
      <c r="G246" s="55">
        <f t="shared" si="8"/>
        <v>15.336115395083006</v>
      </c>
      <c r="H246" s="10">
        <v>6</v>
      </c>
      <c r="I246" s="13">
        <v>110</v>
      </c>
      <c r="J246" s="56"/>
      <c r="K246" s="57"/>
      <c r="M246" s="14">
        <v>15.336115395083006</v>
      </c>
      <c r="N246" s="14">
        <v>14.882518370679485</v>
      </c>
      <c r="O246" s="14">
        <v>13.52172729746893</v>
      </c>
      <c r="P246" s="14"/>
      <c r="Q246" s="14"/>
      <c r="R246" s="14"/>
      <c r="S246" s="14"/>
      <c r="T246" s="70"/>
      <c r="U246" s="76">
        <v>15.336115395083006</v>
      </c>
      <c r="V246" s="76">
        <v>0</v>
      </c>
      <c r="W246" s="76">
        <v>17</v>
      </c>
      <c r="X246" s="76">
        <v>0</v>
      </c>
      <c r="Y246" s="77" t="s">
        <v>35</v>
      </c>
      <c r="Z246" s="78"/>
      <c r="AA246" s="79" t="s">
        <v>36</v>
      </c>
      <c r="AB246" s="79" t="s">
        <v>35</v>
      </c>
      <c r="AC246" s="79" t="s">
        <v>37</v>
      </c>
      <c r="AD246" s="79" t="s">
        <v>38</v>
      </c>
      <c r="AE246" s="79" t="s">
        <v>39</v>
      </c>
      <c r="AF246" s="79" t="s">
        <v>40</v>
      </c>
      <c r="AG246" s="79" t="s">
        <v>41</v>
      </c>
      <c r="AH246" s="79"/>
      <c r="AI246" s="53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</row>
    <row r="247" spans="1:110" ht="13.8" x14ac:dyDescent="0.25">
      <c r="A247" s="24">
        <v>1109002</v>
      </c>
      <c r="B247" s="11" t="s">
        <v>30</v>
      </c>
      <c r="C247" s="12" t="s">
        <v>479</v>
      </c>
      <c r="D247" s="11" t="s">
        <v>181</v>
      </c>
      <c r="E247" s="10" t="s">
        <v>384</v>
      </c>
      <c r="F247" s="10" t="s">
        <v>34</v>
      </c>
      <c r="G247" s="55" t="str">
        <f t="shared" si="8"/>
        <v>Obsolete</v>
      </c>
      <c r="H247" s="10">
        <v>6</v>
      </c>
      <c r="I247" s="13" t="s">
        <v>480</v>
      </c>
      <c r="J247" s="56"/>
      <c r="K247" s="57"/>
      <c r="M247" s="14"/>
      <c r="N247" s="14"/>
      <c r="O247" s="14"/>
      <c r="P247" s="14"/>
      <c r="Q247" s="14"/>
      <c r="R247" s="14"/>
      <c r="S247" s="14"/>
      <c r="T247" s="70"/>
      <c r="U247" s="76" t="s">
        <v>54</v>
      </c>
      <c r="V247" s="76"/>
      <c r="W247" s="76" t="s">
        <v>54</v>
      </c>
      <c r="X247" s="76"/>
      <c r="Y247" s="97"/>
      <c r="Z247" s="78">
        <v>55</v>
      </c>
      <c r="AA247" s="79" t="s">
        <v>36</v>
      </c>
      <c r="AB247" s="79" t="s">
        <v>37</v>
      </c>
      <c r="AC247" s="79" t="s">
        <v>37</v>
      </c>
      <c r="AD247" s="91" t="s">
        <v>57</v>
      </c>
      <c r="AE247" s="91" t="s">
        <v>57</v>
      </c>
      <c r="AF247" s="91" t="s">
        <v>57</v>
      </c>
      <c r="AG247" s="79" t="s">
        <v>57</v>
      </c>
      <c r="AH247" s="79"/>
      <c r="AI247" s="53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</row>
    <row r="248" spans="1:110" ht="13.8" x14ac:dyDescent="0.25">
      <c r="A248" s="24">
        <v>1109003</v>
      </c>
      <c r="B248" s="11" t="s">
        <v>30</v>
      </c>
      <c r="C248" s="12" t="s">
        <v>481</v>
      </c>
      <c r="D248" s="11" t="s">
        <v>127</v>
      </c>
      <c r="E248" s="10" t="s">
        <v>307</v>
      </c>
      <c r="F248" s="10" t="s">
        <v>34</v>
      </c>
      <c r="G248" s="55">
        <f t="shared" si="8"/>
        <v>12.54</v>
      </c>
      <c r="H248" s="10">
        <v>8</v>
      </c>
      <c r="I248" s="13">
        <v>110</v>
      </c>
      <c r="J248" s="56"/>
      <c r="K248" s="57"/>
      <c r="M248" s="14">
        <v>12.09</v>
      </c>
      <c r="N248" s="14"/>
      <c r="O248" s="14"/>
      <c r="P248" s="14"/>
      <c r="Q248" s="14"/>
      <c r="R248" s="14"/>
      <c r="S248" s="14"/>
      <c r="T248" s="70"/>
      <c r="U248" s="76">
        <v>12.09</v>
      </c>
      <c r="V248" s="76">
        <v>0.45</v>
      </c>
      <c r="W248" s="76">
        <v>8.59</v>
      </c>
      <c r="X248" s="76">
        <v>0.45</v>
      </c>
      <c r="Y248" s="77" t="s">
        <v>35</v>
      </c>
      <c r="Z248" s="78">
        <v>55</v>
      </c>
      <c r="AA248" s="79" t="s">
        <v>36</v>
      </c>
      <c r="AB248" s="79" t="s">
        <v>35</v>
      </c>
      <c r="AC248" s="79" t="s">
        <v>37</v>
      </c>
      <c r="AD248" s="79" t="s">
        <v>38</v>
      </c>
      <c r="AE248" s="79" t="s">
        <v>308</v>
      </c>
      <c r="AF248" s="79" t="s">
        <v>309</v>
      </c>
      <c r="AG248" s="79" t="s">
        <v>310</v>
      </c>
      <c r="AH248" s="79"/>
      <c r="AI248" s="53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</row>
    <row r="249" spans="1:110" ht="13.8" x14ac:dyDescent="0.25">
      <c r="A249" s="24">
        <v>1109004</v>
      </c>
      <c r="B249" s="11" t="s">
        <v>30</v>
      </c>
      <c r="C249" s="12" t="s">
        <v>482</v>
      </c>
      <c r="D249" s="11"/>
      <c r="E249" s="10" t="s">
        <v>483</v>
      </c>
      <c r="F249" s="10" t="s">
        <v>34</v>
      </c>
      <c r="G249" s="55" t="str">
        <f t="shared" si="8"/>
        <v>Obsolete</v>
      </c>
      <c r="H249" s="10">
        <v>4</v>
      </c>
      <c r="I249" s="13">
        <v>100</v>
      </c>
      <c r="J249" s="56"/>
      <c r="K249" s="57"/>
      <c r="M249" s="14">
        <v>9.7100000000000009</v>
      </c>
      <c r="N249" s="14">
        <v>6.71</v>
      </c>
      <c r="O249" s="14"/>
      <c r="P249" s="14"/>
      <c r="Q249" s="14"/>
      <c r="R249" s="14"/>
      <c r="S249" s="14"/>
      <c r="T249" s="70"/>
      <c r="U249" s="76" t="s">
        <v>54</v>
      </c>
      <c r="V249" s="76"/>
      <c r="W249" s="76" t="s">
        <v>54</v>
      </c>
      <c r="X249" s="76"/>
      <c r="Y249" s="97"/>
      <c r="Z249" s="78">
        <v>55</v>
      </c>
      <c r="AA249" s="79" t="s">
        <v>189</v>
      </c>
      <c r="AB249" s="79" t="s">
        <v>37</v>
      </c>
      <c r="AC249" s="79" t="s">
        <v>37</v>
      </c>
      <c r="AD249" s="79"/>
      <c r="AE249" s="79" t="s">
        <v>484</v>
      </c>
      <c r="AF249" s="79" t="s">
        <v>485</v>
      </c>
      <c r="AG249" s="79" t="s">
        <v>486</v>
      </c>
      <c r="AH249" s="79"/>
      <c r="AI249" s="53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</row>
    <row r="250" spans="1:110" ht="13.8" x14ac:dyDescent="0.25">
      <c r="A250" s="24">
        <v>1109010</v>
      </c>
      <c r="B250" s="11" t="s">
        <v>30</v>
      </c>
      <c r="C250" s="12" t="s">
        <v>487</v>
      </c>
      <c r="D250" s="11" t="s">
        <v>66</v>
      </c>
      <c r="E250" s="10" t="s">
        <v>33</v>
      </c>
      <c r="F250" s="10" t="s">
        <v>34</v>
      </c>
      <c r="G250" s="55" t="str">
        <f t="shared" si="8"/>
        <v>Obsolete</v>
      </c>
      <c r="H250" s="10"/>
      <c r="I250" s="13"/>
      <c r="J250" s="56"/>
      <c r="K250" s="57"/>
      <c r="M250" s="14"/>
      <c r="N250" s="14"/>
      <c r="O250" s="14"/>
      <c r="P250" s="14"/>
      <c r="Q250" s="14"/>
      <c r="R250" s="14"/>
      <c r="S250" s="14"/>
      <c r="T250" s="70"/>
      <c r="U250" s="76" t="s">
        <v>54</v>
      </c>
      <c r="V250" s="76"/>
      <c r="W250" s="76" t="s">
        <v>54</v>
      </c>
      <c r="X250" s="76"/>
      <c r="Y250" s="77"/>
      <c r="Z250" s="78"/>
      <c r="AA250" s="79" t="s">
        <v>189</v>
      </c>
      <c r="AB250" s="79" t="s">
        <v>37</v>
      </c>
      <c r="AC250" s="79" t="s">
        <v>37</v>
      </c>
      <c r="AD250" s="79"/>
      <c r="AE250" s="79" t="s">
        <v>39</v>
      </c>
      <c r="AF250" s="79" t="s">
        <v>40</v>
      </c>
      <c r="AG250" s="79" t="s">
        <v>41</v>
      </c>
      <c r="AH250" s="79"/>
      <c r="AI250" s="53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</row>
    <row r="251" spans="1:110" ht="13.8" x14ac:dyDescent="0.25">
      <c r="A251" s="24">
        <v>1109011</v>
      </c>
      <c r="B251" s="11" t="s">
        <v>30</v>
      </c>
      <c r="C251" s="12" t="s">
        <v>488</v>
      </c>
      <c r="D251" s="11" t="s">
        <v>66</v>
      </c>
      <c r="E251" s="10" t="s">
        <v>336</v>
      </c>
      <c r="F251" s="10" t="s">
        <v>34</v>
      </c>
      <c r="G251" s="55" t="str">
        <f t="shared" si="8"/>
        <v>Obsolete</v>
      </c>
      <c r="H251" s="10"/>
      <c r="I251" s="13"/>
      <c r="J251" s="56"/>
      <c r="K251" s="57"/>
      <c r="M251" s="14"/>
      <c r="N251" s="14"/>
      <c r="O251" s="14"/>
      <c r="P251" s="14"/>
      <c r="Q251" s="14"/>
      <c r="R251" s="14"/>
      <c r="S251" s="14"/>
      <c r="T251" s="70"/>
      <c r="U251" s="76" t="s">
        <v>54</v>
      </c>
      <c r="V251" s="76"/>
      <c r="W251" s="76" t="s">
        <v>54</v>
      </c>
      <c r="X251" s="76"/>
      <c r="Y251" s="97"/>
      <c r="Z251" s="78"/>
      <c r="AA251" s="79" t="s">
        <v>189</v>
      </c>
      <c r="AB251" s="79" t="s">
        <v>37</v>
      </c>
      <c r="AC251" s="79" t="s">
        <v>37</v>
      </c>
      <c r="AD251" s="79"/>
      <c r="AE251" s="79" t="s">
        <v>338</v>
      </c>
      <c r="AF251" s="79" t="s">
        <v>339</v>
      </c>
      <c r="AG251" s="79" t="s">
        <v>340</v>
      </c>
      <c r="AH251" s="79"/>
      <c r="AI251" s="53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</row>
    <row r="252" spans="1:110" ht="13.8" x14ac:dyDescent="0.25">
      <c r="A252" s="24">
        <v>1109012</v>
      </c>
      <c r="B252" s="11" t="s">
        <v>30</v>
      </c>
      <c r="C252" s="12" t="s">
        <v>489</v>
      </c>
      <c r="D252" s="11" t="s">
        <v>66</v>
      </c>
      <c r="E252" s="10" t="s">
        <v>33</v>
      </c>
      <c r="F252" s="10" t="s">
        <v>34</v>
      </c>
      <c r="G252" s="55" t="str">
        <f t="shared" si="8"/>
        <v>Obsolete</v>
      </c>
      <c r="H252" s="10"/>
      <c r="I252" s="13"/>
      <c r="J252" s="56"/>
      <c r="K252" s="57"/>
      <c r="M252" s="14"/>
      <c r="N252" s="14"/>
      <c r="O252" s="14"/>
      <c r="P252" s="14"/>
      <c r="Q252" s="14"/>
      <c r="R252" s="14"/>
      <c r="S252" s="14"/>
      <c r="T252" s="70"/>
      <c r="U252" s="76" t="s">
        <v>54</v>
      </c>
      <c r="V252" s="76"/>
      <c r="W252" s="76" t="s">
        <v>54</v>
      </c>
      <c r="X252" s="76"/>
      <c r="Y252" s="77"/>
      <c r="Z252" s="78"/>
      <c r="AA252" s="79" t="s">
        <v>189</v>
      </c>
      <c r="AB252" s="79" t="s">
        <v>37</v>
      </c>
      <c r="AC252" s="79" t="s">
        <v>37</v>
      </c>
      <c r="AD252" s="79"/>
      <c r="AE252" s="79" t="s">
        <v>39</v>
      </c>
      <c r="AF252" s="79" t="s">
        <v>40</v>
      </c>
      <c r="AG252" s="79" t="s">
        <v>41</v>
      </c>
      <c r="AH252" s="79"/>
      <c r="AI252" s="53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</row>
    <row r="253" spans="1:110" ht="13.8" x14ac:dyDescent="0.25">
      <c r="A253" s="24">
        <v>1109013</v>
      </c>
      <c r="B253" s="11" t="s">
        <v>30</v>
      </c>
      <c r="C253" s="12" t="s">
        <v>490</v>
      </c>
      <c r="D253" s="11" t="s">
        <v>66</v>
      </c>
      <c r="E253" s="10" t="s">
        <v>33</v>
      </c>
      <c r="F253" s="10" t="s">
        <v>34</v>
      </c>
      <c r="G253" s="55" t="str">
        <f t="shared" si="8"/>
        <v>Obsolete</v>
      </c>
      <c r="H253" s="10"/>
      <c r="I253" s="13"/>
      <c r="J253" s="56"/>
      <c r="K253" s="57"/>
      <c r="M253" s="14"/>
      <c r="N253" s="14"/>
      <c r="O253" s="14"/>
      <c r="P253" s="14"/>
      <c r="Q253" s="14"/>
      <c r="R253" s="14"/>
      <c r="S253" s="14"/>
      <c r="T253" s="70"/>
      <c r="U253" s="76" t="s">
        <v>54</v>
      </c>
      <c r="V253" s="76"/>
      <c r="W253" s="76" t="s">
        <v>54</v>
      </c>
      <c r="X253" s="76"/>
      <c r="Y253" s="77"/>
      <c r="Z253" s="78"/>
      <c r="AA253" s="79" t="s">
        <v>189</v>
      </c>
      <c r="AB253" s="79" t="s">
        <v>37</v>
      </c>
      <c r="AC253" s="79" t="s">
        <v>37</v>
      </c>
      <c r="AD253" s="79"/>
      <c r="AE253" s="79" t="s">
        <v>39</v>
      </c>
      <c r="AF253" s="79" t="s">
        <v>40</v>
      </c>
      <c r="AG253" s="79" t="s">
        <v>41</v>
      </c>
      <c r="AH253" s="79"/>
      <c r="AI253" s="53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</row>
    <row r="254" spans="1:110" ht="13.8" x14ac:dyDescent="0.25">
      <c r="A254" s="24">
        <v>1109014</v>
      </c>
      <c r="B254" s="11" t="s">
        <v>30</v>
      </c>
      <c r="C254" s="12" t="s">
        <v>491</v>
      </c>
      <c r="D254" s="11" t="s">
        <v>46</v>
      </c>
      <c r="E254" s="10" t="s">
        <v>492</v>
      </c>
      <c r="F254" s="10" t="s">
        <v>34</v>
      </c>
      <c r="G254" s="55">
        <f t="shared" si="8"/>
        <v>4.45</v>
      </c>
      <c r="H254" s="10">
        <v>14</v>
      </c>
      <c r="I254" s="13">
        <v>1600</v>
      </c>
      <c r="J254" s="56">
        <v>43055</v>
      </c>
      <c r="K254" s="57">
        <v>4.45</v>
      </c>
      <c r="M254" s="14"/>
      <c r="N254" s="14"/>
      <c r="O254" s="14">
        <v>4.45</v>
      </c>
      <c r="P254" s="14"/>
      <c r="Q254" s="14"/>
      <c r="R254" s="14"/>
      <c r="S254" s="14"/>
      <c r="T254" s="70"/>
      <c r="U254" s="76">
        <v>4.45</v>
      </c>
      <c r="V254" s="76">
        <v>0</v>
      </c>
      <c r="W254" s="76">
        <v>4.45</v>
      </c>
      <c r="X254" s="76">
        <v>0</v>
      </c>
      <c r="Y254" s="77" t="s">
        <v>35</v>
      </c>
      <c r="Z254" s="78">
        <v>1600</v>
      </c>
      <c r="AA254" s="79" t="s">
        <v>36</v>
      </c>
      <c r="AB254" s="79" t="s">
        <v>35</v>
      </c>
      <c r="AC254" s="79" t="s">
        <v>37</v>
      </c>
      <c r="AD254" s="79" t="s">
        <v>38</v>
      </c>
      <c r="AE254" s="79" t="s">
        <v>1547</v>
      </c>
      <c r="AF254" s="79" t="s">
        <v>1548</v>
      </c>
      <c r="AG254" s="79" t="s">
        <v>1549</v>
      </c>
      <c r="AH254" s="79"/>
      <c r="AI254" s="53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</row>
    <row r="255" spans="1:110" ht="13.8" x14ac:dyDescent="0.25">
      <c r="A255" s="24">
        <v>1109015</v>
      </c>
      <c r="B255" s="11" t="s">
        <v>30</v>
      </c>
      <c r="C255" s="16" t="s">
        <v>493</v>
      </c>
      <c r="D255" s="11" t="s">
        <v>143</v>
      </c>
      <c r="E255" s="10" t="s">
        <v>33</v>
      </c>
      <c r="F255" s="10" t="s">
        <v>34</v>
      </c>
      <c r="G255" s="55">
        <f t="shared" si="8"/>
        <v>2.11</v>
      </c>
      <c r="H255" s="10">
        <v>6</v>
      </c>
      <c r="I255" s="13">
        <v>19000</v>
      </c>
      <c r="J255" s="56"/>
      <c r="K255" s="57"/>
      <c r="M255" s="14"/>
      <c r="N255" s="14">
        <v>3.2</v>
      </c>
      <c r="O255" s="14"/>
      <c r="P255" s="14"/>
      <c r="Q255" s="14"/>
      <c r="R255" s="14">
        <v>2.58</v>
      </c>
      <c r="S255" s="14"/>
      <c r="T255" s="70"/>
      <c r="U255" s="76">
        <v>2.11</v>
      </c>
      <c r="V255" s="76">
        <v>0</v>
      </c>
      <c r="W255" s="76">
        <v>2.11</v>
      </c>
      <c r="X255" s="76">
        <v>0</v>
      </c>
      <c r="Y255" s="77" t="s">
        <v>35</v>
      </c>
      <c r="Z255" s="78">
        <v>1500</v>
      </c>
      <c r="AA255" s="79" t="s">
        <v>36</v>
      </c>
      <c r="AB255" s="79" t="s">
        <v>35</v>
      </c>
      <c r="AC255" s="79" t="s">
        <v>37</v>
      </c>
      <c r="AD255" s="79" t="s">
        <v>38</v>
      </c>
      <c r="AE255" s="79" t="s">
        <v>39</v>
      </c>
      <c r="AF255" s="79" t="s">
        <v>40</v>
      </c>
      <c r="AG255" s="79" t="s">
        <v>41</v>
      </c>
      <c r="AH255" s="79"/>
      <c r="AI255" s="53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</row>
    <row r="256" spans="1:110" ht="13.8" x14ac:dyDescent="0.25">
      <c r="A256" s="24">
        <v>1109016</v>
      </c>
      <c r="B256" s="11" t="s">
        <v>30</v>
      </c>
      <c r="C256" s="16" t="s">
        <v>494</v>
      </c>
      <c r="D256" s="11" t="s">
        <v>138</v>
      </c>
      <c r="E256" s="10" t="s">
        <v>1616</v>
      </c>
      <c r="F256" s="10" t="s">
        <v>34</v>
      </c>
      <c r="G256" s="55">
        <f t="shared" si="8"/>
        <v>3.5213999999999999</v>
      </c>
      <c r="H256" s="10">
        <v>4</v>
      </c>
      <c r="I256" s="13">
        <v>2750</v>
      </c>
      <c r="J256" s="56">
        <v>44441</v>
      </c>
      <c r="K256" s="57">
        <v>2.8113999999999999</v>
      </c>
      <c r="M256" s="14"/>
      <c r="N256" s="14"/>
      <c r="O256" s="14"/>
      <c r="P256" s="14">
        <v>3.3</v>
      </c>
      <c r="Q256" s="14"/>
      <c r="R256" s="14"/>
      <c r="S256" s="14"/>
      <c r="T256" s="70"/>
      <c r="U256" s="76">
        <v>3.3</v>
      </c>
      <c r="V256" s="76">
        <v>0.22140000000000001</v>
      </c>
      <c r="W256" s="76">
        <v>3.3</v>
      </c>
      <c r="X256" s="76">
        <v>0.22140000000000001</v>
      </c>
      <c r="Y256" s="77" t="s">
        <v>35</v>
      </c>
      <c r="Z256" s="87">
        <v>55</v>
      </c>
      <c r="AA256" s="79" t="s">
        <v>36</v>
      </c>
      <c r="AB256" s="79" t="s">
        <v>35</v>
      </c>
      <c r="AC256" s="79" t="s">
        <v>37</v>
      </c>
      <c r="AD256" s="79" t="s">
        <v>38</v>
      </c>
      <c r="AE256" s="79" t="s">
        <v>182</v>
      </c>
      <c r="AF256" s="79" t="s">
        <v>183</v>
      </c>
      <c r="AG256" s="79" t="s">
        <v>184</v>
      </c>
      <c r="AH256" s="79"/>
      <c r="AI256" s="53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</row>
    <row r="257" spans="1:110" ht="13.8" x14ac:dyDescent="0.25">
      <c r="A257" s="24">
        <v>1109017</v>
      </c>
      <c r="B257" s="11" t="s">
        <v>30</v>
      </c>
      <c r="C257" s="16" t="s">
        <v>495</v>
      </c>
      <c r="D257" s="11" t="s">
        <v>32</v>
      </c>
      <c r="E257" s="10" t="s">
        <v>33</v>
      </c>
      <c r="F257" s="10" t="s">
        <v>34</v>
      </c>
      <c r="G257" s="55" t="str">
        <f t="shared" si="8"/>
        <v>Obsolete</v>
      </c>
      <c r="H257" s="10"/>
      <c r="I257" s="13"/>
      <c r="J257" s="56"/>
      <c r="K257" s="57"/>
      <c r="M257" s="14"/>
      <c r="N257" s="14"/>
      <c r="O257" s="14"/>
      <c r="P257" s="14"/>
      <c r="Q257" s="14"/>
      <c r="R257" s="14"/>
      <c r="S257" s="14"/>
      <c r="T257" s="70"/>
      <c r="U257" s="76" t="s">
        <v>54</v>
      </c>
      <c r="V257" s="76"/>
      <c r="W257" s="76" t="s">
        <v>54</v>
      </c>
      <c r="X257" s="76"/>
      <c r="Y257" s="77"/>
      <c r="Z257" s="78"/>
      <c r="AA257" s="79" t="s">
        <v>496</v>
      </c>
      <c r="AB257" s="79" t="s">
        <v>37</v>
      </c>
      <c r="AC257" s="79" t="s">
        <v>37</v>
      </c>
      <c r="AD257" s="79"/>
      <c r="AE257" s="79" t="s">
        <v>39</v>
      </c>
      <c r="AF257" s="79" t="s">
        <v>40</v>
      </c>
      <c r="AG257" s="79" t="s">
        <v>41</v>
      </c>
      <c r="AH257" s="79"/>
      <c r="AI257" s="53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</row>
    <row r="258" spans="1:110" ht="13.8" x14ac:dyDescent="0.25">
      <c r="A258" s="24">
        <v>1109018</v>
      </c>
      <c r="B258" s="11" t="s">
        <v>30</v>
      </c>
      <c r="C258" s="16" t="s">
        <v>497</v>
      </c>
      <c r="D258" s="11" t="s">
        <v>66</v>
      </c>
      <c r="E258" s="10" t="s">
        <v>33</v>
      </c>
      <c r="F258" s="10" t="s">
        <v>34</v>
      </c>
      <c r="G258" s="55" t="str">
        <f t="shared" si="8"/>
        <v>Obsolete</v>
      </c>
      <c r="H258" s="10">
        <v>8</v>
      </c>
      <c r="I258" s="13"/>
      <c r="J258" s="56"/>
      <c r="K258" s="57"/>
      <c r="M258" s="14"/>
      <c r="N258" s="14"/>
      <c r="O258" s="14"/>
      <c r="P258" s="14"/>
      <c r="Q258" s="14"/>
      <c r="R258" s="14"/>
      <c r="S258" s="14"/>
      <c r="T258" s="70"/>
      <c r="U258" s="76" t="s">
        <v>54</v>
      </c>
      <c r="V258" s="76"/>
      <c r="W258" s="76" t="s">
        <v>54</v>
      </c>
      <c r="X258" s="76"/>
      <c r="Y258" s="77"/>
      <c r="Z258" s="78"/>
      <c r="AA258" s="79" t="s">
        <v>496</v>
      </c>
      <c r="AB258" s="79" t="s">
        <v>37</v>
      </c>
      <c r="AC258" s="79" t="s">
        <v>37</v>
      </c>
      <c r="AD258" s="79"/>
      <c r="AE258" s="79" t="s">
        <v>39</v>
      </c>
      <c r="AF258" s="79" t="s">
        <v>40</v>
      </c>
      <c r="AG258" s="79" t="s">
        <v>41</v>
      </c>
      <c r="AH258" s="79"/>
      <c r="AI258" s="53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</row>
    <row r="259" spans="1:110" ht="13.8" x14ac:dyDescent="0.25">
      <c r="A259" s="24">
        <v>1109019</v>
      </c>
      <c r="B259" s="11" t="s">
        <v>30</v>
      </c>
      <c r="C259" s="16" t="s">
        <v>498</v>
      </c>
      <c r="D259" s="11"/>
      <c r="E259" s="10" t="s">
        <v>1619</v>
      </c>
      <c r="F259" s="10" t="s">
        <v>34</v>
      </c>
      <c r="G259" s="55">
        <f t="shared" si="8"/>
        <v>25.83</v>
      </c>
      <c r="H259" s="10">
        <v>8</v>
      </c>
      <c r="I259" s="13"/>
      <c r="J259" s="56"/>
      <c r="K259" s="57"/>
      <c r="M259" s="14">
        <v>45.63</v>
      </c>
      <c r="N259" s="14">
        <v>30.13</v>
      </c>
      <c r="O259" s="14">
        <v>25.83</v>
      </c>
      <c r="P259" s="14">
        <v>21.73</v>
      </c>
      <c r="Q259" s="14">
        <v>20.63</v>
      </c>
      <c r="R259" s="14">
        <v>20.53</v>
      </c>
      <c r="S259" s="14">
        <v>20.48</v>
      </c>
      <c r="T259" s="70"/>
      <c r="U259" s="76">
        <v>25.83</v>
      </c>
      <c r="V259" s="76"/>
      <c r="W259" s="76">
        <v>25.83</v>
      </c>
      <c r="X259" s="76"/>
      <c r="Y259" s="77" t="s">
        <v>35</v>
      </c>
      <c r="Z259" s="87">
        <v>50</v>
      </c>
      <c r="AA259" s="79" t="s">
        <v>36</v>
      </c>
      <c r="AB259" s="79" t="s">
        <v>35</v>
      </c>
      <c r="AC259" s="79" t="s">
        <v>37</v>
      </c>
      <c r="AD259" s="79" t="s">
        <v>38</v>
      </c>
      <c r="AE259" s="79" t="s">
        <v>499</v>
      </c>
      <c r="AF259" s="79" t="s">
        <v>500</v>
      </c>
      <c r="AG259" s="79" t="s">
        <v>501</v>
      </c>
      <c r="AH259" s="79"/>
      <c r="AI259" s="35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</row>
    <row r="260" spans="1:110" ht="13.8" x14ac:dyDescent="0.25">
      <c r="A260" s="24">
        <v>1109020</v>
      </c>
      <c r="B260" s="11" t="s">
        <v>30</v>
      </c>
      <c r="C260" s="16" t="s">
        <v>502</v>
      </c>
      <c r="D260" s="11"/>
      <c r="E260" s="10" t="s">
        <v>1619</v>
      </c>
      <c r="F260" s="10" t="s">
        <v>34</v>
      </c>
      <c r="G260" s="55">
        <f t="shared" si="8"/>
        <v>24.04</v>
      </c>
      <c r="H260" s="10">
        <v>8</v>
      </c>
      <c r="I260" s="13"/>
      <c r="J260" s="56"/>
      <c r="K260" s="57"/>
      <c r="M260" s="14">
        <v>39.54</v>
      </c>
      <c r="N260" s="14">
        <v>15.64</v>
      </c>
      <c r="O260" s="14">
        <v>14.54</v>
      </c>
      <c r="P260" s="14">
        <v>14.44</v>
      </c>
      <c r="Q260" s="14"/>
      <c r="R260" s="14"/>
      <c r="S260" s="14">
        <v>14.39</v>
      </c>
      <c r="T260" s="70">
        <v>14.37</v>
      </c>
      <c r="U260" s="76">
        <v>24.04</v>
      </c>
      <c r="V260" s="76"/>
      <c r="W260" s="76">
        <v>24.04</v>
      </c>
      <c r="X260" s="76"/>
      <c r="Y260" s="77" t="s">
        <v>35</v>
      </c>
      <c r="Z260" s="87">
        <v>50</v>
      </c>
      <c r="AA260" s="79" t="s">
        <v>36</v>
      </c>
      <c r="AB260" s="79" t="s">
        <v>35</v>
      </c>
      <c r="AC260" s="79" t="s">
        <v>37</v>
      </c>
      <c r="AD260" s="79" t="s">
        <v>38</v>
      </c>
      <c r="AE260" s="79" t="s">
        <v>499</v>
      </c>
      <c r="AF260" s="79" t="s">
        <v>503</v>
      </c>
      <c r="AG260" s="79" t="s">
        <v>501</v>
      </c>
      <c r="AH260" s="79"/>
      <c r="AI260" s="53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</row>
    <row r="261" spans="1:110" ht="13.8" x14ac:dyDescent="0.25">
      <c r="A261" s="24">
        <v>1109021</v>
      </c>
      <c r="B261" s="11" t="s">
        <v>30</v>
      </c>
      <c r="C261" s="16" t="s">
        <v>504</v>
      </c>
      <c r="D261" s="11" t="s">
        <v>66</v>
      </c>
      <c r="E261" s="10" t="s">
        <v>1619</v>
      </c>
      <c r="F261" s="10" t="s">
        <v>34</v>
      </c>
      <c r="G261" s="55">
        <f t="shared" si="8"/>
        <v>27.89</v>
      </c>
      <c r="H261" s="10">
        <v>8</v>
      </c>
      <c r="I261" s="13"/>
      <c r="J261" s="56"/>
      <c r="K261" s="57"/>
      <c r="M261" s="14">
        <v>27.89</v>
      </c>
      <c r="N261" s="14">
        <v>20.39</v>
      </c>
      <c r="O261" s="14">
        <v>15.79</v>
      </c>
      <c r="P261" s="14">
        <v>12.99</v>
      </c>
      <c r="Q261" s="14">
        <v>11.89</v>
      </c>
      <c r="R261" s="14">
        <v>11.79</v>
      </c>
      <c r="S261" s="14">
        <v>11.74</v>
      </c>
      <c r="T261" s="70"/>
      <c r="U261" s="76">
        <v>27.89</v>
      </c>
      <c r="V261" s="76"/>
      <c r="W261" s="76">
        <v>27.89</v>
      </c>
      <c r="X261" s="76"/>
      <c r="Y261" s="77" t="s">
        <v>35</v>
      </c>
      <c r="Z261" s="87">
        <v>50</v>
      </c>
      <c r="AA261" s="79" t="s">
        <v>36</v>
      </c>
      <c r="AB261" s="79" t="s">
        <v>35</v>
      </c>
      <c r="AC261" s="79" t="s">
        <v>37</v>
      </c>
      <c r="AD261" s="79" t="s">
        <v>38</v>
      </c>
      <c r="AE261" s="79" t="s">
        <v>499</v>
      </c>
      <c r="AF261" s="79" t="s">
        <v>503</v>
      </c>
      <c r="AG261" s="79" t="s">
        <v>501</v>
      </c>
      <c r="AH261" s="79"/>
      <c r="AI261" s="35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</row>
    <row r="262" spans="1:110" ht="13.8" x14ac:dyDescent="0.25">
      <c r="A262" s="24">
        <v>1109022</v>
      </c>
      <c r="B262" s="11" t="s">
        <v>30</v>
      </c>
      <c r="C262" s="16" t="s">
        <v>505</v>
      </c>
      <c r="D262" s="11" t="s">
        <v>66</v>
      </c>
      <c r="E262" s="10" t="s">
        <v>33</v>
      </c>
      <c r="F262" s="10" t="s">
        <v>34</v>
      </c>
      <c r="G262" s="55" t="str">
        <f t="shared" si="8"/>
        <v>Obsolete</v>
      </c>
      <c r="H262" s="10">
        <v>8</v>
      </c>
      <c r="I262" s="13"/>
      <c r="J262" s="56"/>
      <c r="K262" s="57"/>
      <c r="M262" s="14"/>
      <c r="N262" s="14"/>
      <c r="O262" s="14"/>
      <c r="P262" s="14"/>
      <c r="Q262" s="14"/>
      <c r="R262" s="14"/>
      <c r="S262" s="14"/>
      <c r="T262" s="70"/>
      <c r="U262" s="76" t="s">
        <v>54</v>
      </c>
      <c r="V262" s="76"/>
      <c r="W262" s="76" t="s">
        <v>54</v>
      </c>
      <c r="X262" s="76"/>
      <c r="Y262" s="77"/>
      <c r="Z262" s="78"/>
      <c r="AA262" s="79" t="s">
        <v>189</v>
      </c>
      <c r="AB262" s="79" t="s">
        <v>37</v>
      </c>
      <c r="AC262" s="79" t="s">
        <v>37</v>
      </c>
      <c r="AD262" s="79"/>
      <c r="AE262" s="79" t="s">
        <v>39</v>
      </c>
      <c r="AF262" s="79" t="s">
        <v>40</v>
      </c>
      <c r="AG262" s="79" t="s">
        <v>41</v>
      </c>
      <c r="AH262" s="79"/>
      <c r="AI262" s="53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</row>
    <row r="263" spans="1:110" ht="13.8" x14ac:dyDescent="0.25">
      <c r="A263" s="24">
        <v>1109023</v>
      </c>
      <c r="B263" s="11" t="s">
        <v>30</v>
      </c>
      <c r="C263" s="16" t="s">
        <v>506</v>
      </c>
      <c r="D263" s="11" t="s">
        <v>66</v>
      </c>
      <c r="E263" s="10" t="s">
        <v>507</v>
      </c>
      <c r="F263" s="10" t="s">
        <v>34</v>
      </c>
      <c r="G263" s="55" t="str">
        <f t="shared" si="8"/>
        <v>Obsolete</v>
      </c>
      <c r="H263" s="10"/>
      <c r="I263" s="13"/>
      <c r="J263" s="56"/>
      <c r="K263" s="57"/>
      <c r="M263" s="14"/>
      <c r="N263" s="14"/>
      <c r="O263" s="14"/>
      <c r="P263" s="14"/>
      <c r="Q263" s="14"/>
      <c r="R263" s="14"/>
      <c r="S263" s="14"/>
      <c r="T263" s="70"/>
      <c r="U263" s="76" t="s">
        <v>54</v>
      </c>
      <c r="V263" s="76"/>
      <c r="W263" s="76" t="s">
        <v>54</v>
      </c>
      <c r="X263" s="76"/>
      <c r="Y263" s="84"/>
      <c r="Z263" s="78"/>
      <c r="AA263" s="79" t="s">
        <v>189</v>
      </c>
      <c r="AB263" s="79" t="s">
        <v>37</v>
      </c>
      <c r="AC263" s="79" t="s">
        <v>37</v>
      </c>
      <c r="AD263" s="79"/>
      <c r="AE263" s="91" t="s">
        <v>57</v>
      </c>
      <c r="AF263" s="91" t="s">
        <v>57</v>
      </c>
      <c r="AG263" s="79" t="s">
        <v>57</v>
      </c>
      <c r="AH263" s="79"/>
      <c r="AI263" s="53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</row>
    <row r="264" spans="1:110" ht="13.8" x14ac:dyDescent="0.25">
      <c r="A264" s="24">
        <v>1109024</v>
      </c>
      <c r="B264" s="11" t="s">
        <v>30</v>
      </c>
      <c r="C264" s="16" t="s">
        <v>508</v>
      </c>
      <c r="D264" s="11" t="s">
        <v>509</v>
      </c>
      <c r="E264" s="10" t="s">
        <v>510</v>
      </c>
      <c r="F264" s="10" t="s">
        <v>34</v>
      </c>
      <c r="G264" s="55" t="str">
        <f t="shared" si="8"/>
        <v>Obsolete</v>
      </c>
      <c r="H264" s="10">
        <v>8</v>
      </c>
      <c r="I264" s="13">
        <v>55</v>
      </c>
      <c r="J264" s="56"/>
      <c r="K264" s="57"/>
      <c r="M264" s="14"/>
      <c r="N264" s="14">
        <v>4.25</v>
      </c>
      <c r="O264" s="14"/>
      <c r="P264" s="14"/>
      <c r="Q264" s="14"/>
      <c r="R264" s="14"/>
      <c r="S264" s="14"/>
      <c r="T264" s="70"/>
      <c r="U264" s="76" t="s">
        <v>54</v>
      </c>
      <c r="V264" s="76"/>
      <c r="W264" s="76" t="s">
        <v>54</v>
      </c>
      <c r="X264" s="76"/>
      <c r="Y264" s="84"/>
      <c r="Z264" s="78"/>
      <c r="AA264" s="79" t="s">
        <v>206</v>
      </c>
      <c r="AB264" s="79" t="s">
        <v>37</v>
      </c>
      <c r="AC264" s="79" t="s">
        <v>37</v>
      </c>
      <c r="AD264" s="79"/>
      <c r="AE264" s="79"/>
      <c r="AF264" s="79"/>
      <c r="AG264" s="79"/>
      <c r="AH264" s="79"/>
      <c r="AI264" s="53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</row>
    <row r="265" spans="1:110" ht="13.8" x14ac:dyDescent="0.25">
      <c r="A265" s="24">
        <v>1109025</v>
      </c>
      <c r="B265" s="11" t="s">
        <v>30</v>
      </c>
      <c r="C265" s="16" t="s">
        <v>511</v>
      </c>
      <c r="D265" s="11"/>
      <c r="E265" s="10" t="s">
        <v>101</v>
      </c>
      <c r="F265" s="10" t="s">
        <v>34</v>
      </c>
      <c r="G265" s="55" t="str">
        <f t="shared" si="8"/>
        <v>Obsolete</v>
      </c>
      <c r="H265" s="10">
        <v>4</v>
      </c>
      <c r="I265" s="13">
        <v>1100</v>
      </c>
      <c r="J265" s="56"/>
      <c r="K265" s="57"/>
      <c r="M265" s="14"/>
      <c r="N265" s="14"/>
      <c r="O265" s="14">
        <v>3.5</v>
      </c>
      <c r="P265" s="14"/>
      <c r="Q265" s="14"/>
      <c r="R265" s="14"/>
      <c r="S265" s="14"/>
      <c r="T265" s="70"/>
      <c r="U265" s="76" t="s">
        <v>54</v>
      </c>
      <c r="V265" s="76"/>
      <c r="W265" s="76" t="s">
        <v>54</v>
      </c>
      <c r="X265" s="76"/>
      <c r="Y265" s="84"/>
      <c r="Z265" s="78">
        <v>55</v>
      </c>
      <c r="AA265" s="79" t="s">
        <v>189</v>
      </c>
      <c r="AB265" s="79" t="s">
        <v>37</v>
      </c>
      <c r="AC265" s="79" t="s">
        <v>37</v>
      </c>
      <c r="AD265" s="79"/>
      <c r="AE265" s="79" t="s">
        <v>103</v>
      </c>
      <c r="AF265" s="79" t="s">
        <v>104</v>
      </c>
      <c r="AG265" s="79" t="s">
        <v>105</v>
      </c>
      <c r="AH265" s="79"/>
      <c r="AI265" s="53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</row>
    <row r="266" spans="1:110" ht="13.8" x14ac:dyDescent="0.25">
      <c r="A266" s="24">
        <v>1109026</v>
      </c>
      <c r="B266" s="11" t="s">
        <v>30</v>
      </c>
      <c r="C266" s="16" t="s">
        <v>512</v>
      </c>
      <c r="D266" s="11" t="s">
        <v>32</v>
      </c>
      <c r="E266" s="10" t="s">
        <v>33</v>
      </c>
      <c r="F266" s="10" t="s">
        <v>34</v>
      </c>
      <c r="G266" s="55">
        <f t="shared" si="8"/>
        <v>3</v>
      </c>
      <c r="H266" s="10">
        <v>6</v>
      </c>
      <c r="I266" s="13">
        <v>1100</v>
      </c>
      <c r="J266" s="56"/>
      <c r="K266" s="57"/>
      <c r="M266" s="14"/>
      <c r="N266" s="14"/>
      <c r="O266" s="14">
        <v>3</v>
      </c>
      <c r="P266" s="14"/>
      <c r="Q266" s="14"/>
      <c r="R266" s="14">
        <v>2.82</v>
      </c>
      <c r="S266" s="14"/>
      <c r="T266" s="70"/>
      <c r="U266" s="76">
        <v>3</v>
      </c>
      <c r="V266" s="76">
        <v>0</v>
      </c>
      <c r="W266" s="76">
        <v>3</v>
      </c>
      <c r="X266" s="76">
        <v>0</v>
      </c>
      <c r="Y266" s="77" t="s">
        <v>35</v>
      </c>
      <c r="Z266" s="78"/>
      <c r="AA266" s="79" t="s">
        <v>36</v>
      </c>
      <c r="AB266" s="79" t="s">
        <v>35</v>
      </c>
      <c r="AC266" s="79" t="s">
        <v>37</v>
      </c>
      <c r="AD266" s="79" t="s">
        <v>38</v>
      </c>
      <c r="AE266" s="79" t="s">
        <v>39</v>
      </c>
      <c r="AF266" s="79" t="s">
        <v>40</v>
      </c>
      <c r="AG266" s="79" t="s">
        <v>41</v>
      </c>
      <c r="AH266" s="79"/>
      <c r="AI266" s="53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</row>
    <row r="267" spans="1:110" ht="13.8" x14ac:dyDescent="0.25">
      <c r="A267" s="24">
        <v>1109027</v>
      </c>
      <c r="B267" s="11" t="s">
        <v>30</v>
      </c>
      <c r="C267" s="16" t="s">
        <v>513</v>
      </c>
      <c r="D267" s="11" t="s">
        <v>32</v>
      </c>
      <c r="E267" s="10" t="s">
        <v>33</v>
      </c>
      <c r="F267" s="10" t="s">
        <v>34</v>
      </c>
      <c r="G267" s="55">
        <f t="shared" si="8"/>
        <v>3.48</v>
      </c>
      <c r="H267" s="10">
        <v>6</v>
      </c>
      <c r="I267" s="13">
        <v>1100</v>
      </c>
      <c r="J267" s="56"/>
      <c r="K267" s="57"/>
      <c r="M267" s="14"/>
      <c r="N267" s="14"/>
      <c r="O267" s="14">
        <v>3.48</v>
      </c>
      <c r="P267" s="14"/>
      <c r="Q267" s="14"/>
      <c r="R267" s="14">
        <v>2.61</v>
      </c>
      <c r="S267" s="14"/>
      <c r="T267" s="70"/>
      <c r="U267" s="76">
        <v>3.48</v>
      </c>
      <c r="V267" s="76">
        <v>0</v>
      </c>
      <c r="W267" s="76">
        <v>3.48</v>
      </c>
      <c r="X267" s="76">
        <v>0</v>
      </c>
      <c r="Y267" s="77" t="s">
        <v>35</v>
      </c>
      <c r="Z267" s="78"/>
      <c r="AA267" s="79" t="s">
        <v>36</v>
      </c>
      <c r="AB267" s="79" t="s">
        <v>35</v>
      </c>
      <c r="AC267" s="79" t="s">
        <v>37</v>
      </c>
      <c r="AD267" s="79" t="s">
        <v>38</v>
      </c>
      <c r="AE267" s="79" t="s">
        <v>39</v>
      </c>
      <c r="AF267" s="79" t="s">
        <v>40</v>
      </c>
      <c r="AG267" s="79" t="s">
        <v>41</v>
      </c>
      <c r="AH267" s="79"/>
      <c r="AI267" s="53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</row>
    <row r="268" spans="1:110" ht="13.8" x14ac:dyDescent="0.25">
      <c r="A268" s="24">
        <v>1109030</v>
      </c>
      <c r="B268" s="11" t="s">
        <v>30</v>
      </c>
      <c r="C268" s="16" t="s">
        <v>514</v>
      </c>
      <c r="D268" s="11" t="s">
        <v>515</v>
      </c>
      <c r="E268" s="10" t="s">
        <v>516</v>
      </c>
      <c r="F268" s="10" t="s">
        <v>34</v>
      </c>
      <c r="G268" s="59" t="s">
        <v>54</v>
      </c>
      <c r="H268" s="10">
        <v>5</v>
      </c>
      <c r="I268" s="13">
        <v>39683</v>
      </c>
      <c r="J268" s="56"/>
      <c r="K268" s="57"/>
      <c r="M268" s="14"/>
      <c r="N268" s="14"/>
      <c r="O268" s="14"/>
      <c r="P268" s="14"/>
      <c r="Q268" s="14"/>
      <c r="R268" s="14"/>
      <c r="S268" s="14"/>
      <c r="T268" s="70"/>
      <c r="U268" s="76">
        <v>2.3570000000000002</v>
      </c>
      <c r="V268" s="76" t="s">
        <v>54</v>
      </c>
      <c r="W268" s="76">
        <v>2.3570000000000002</v>
      </c>
      <c r="X268" s="76" t="s">
        <v>54</v>
      </c>
      <c r="Y268" s="77" t="s">
        <v>35</v>
      </c>
      <c r="Z268" s="78">
        <v>55</v>
      </c>
      <c r="AA268" s="79" t="s">
        <v>517</v>
      </c>
      <c r="AB268" s="79" t="s">
        <v>35</v>
      </c>
      <c r="AC268" s="79" t="s">
        <v>35</v>
      </c>
      <c r="AD268" s="79"/>
      <c r="AE268" s="79" t="s">
        <v>518</v>
      </c>
      <c r="AF268" s="79" t="s">
        <v>519</v>
      </c>
      <c r="AG268" s="79" t="s">
        <v>520</v>
      </c>
      <c r="AH268" s="79"/>
      <c r="AI268" s="53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</row>
    <row r="269" spans="1:110" ht="13.8" x14ac:dyDescent="0.25">
      <c r="A269" s="24">
        <v>1109031</v>
      </c>
      <c r="B269" s="11" t="s">
        <v>30</v>
      </c>
      <c r="C269" s="16" t="s">
        <v>521</v>
      </c>
      <c r="D269" s="11" t="s">
        <v>515</v>
      </c>
      <c r="E269" s="10" t="s">
        <v>516</v>
      </c>
      <c r="F269" s="10" t="s">
        <v>34</v>
      </c>
      <c r="G269" s="59" t="s">
        <v>54</v>
      </c>
      <c r="H269" s="10">
        <v>5</v>
      </c>
      <c r="I269" s="13">
        <v>39683</v>
      </c>
      <c r="J269" s="56"/>
      <c r="K269" s="57"/>
      <c r="M269" s="14"/>
      <c r="N269" s="14"/>
      <c r="O269" s="14"/>
      <c r="P269" s="14"/>
      <c r="Q269" s="14"/>
      <c r="R269" s="14"/>
      <c r="S269" s="14"/>
      <c r="T269" s="70"/>
      <c r="U269" s="76">
        <v>2.3570000000000002</v>
      </c>
      <c r="V269" s="76" t="s">
        <v>54</v>
      </c>
      <c r="W269" s="76">
        <v>2.3570000000000002</v>
      </c>
      <c r="X269" s="76" t="s">
        <v>54</v>
      </c>
      <c r="Y269" s="77" t="s">
        <v>35</v>
      </c>
      <c r="Z269" s="78">
        <v>55</v>
      </c>
      <c r="AA269" s="79" t="s">
        <v>517</v>
      </c>
      <c r="AB269" s="79" t="s">
        <v>35</v>
      </c>
      <c r="AC269" s="79" t="s">
        <v>35</v>
      </c>
      <c r="AD269" s="79"/>
      <c r="AE269" s="79" t="s">
        <v>518</v>
      </c>
      <c r="AF269" s="79" t="s">
        <v>519</v>
      </c>
      <c r="AG269" s="79" t="s">
        <v>520</v>
      </c>
      <c r="AH269" s="79"/>
      <c r="AI269" s="53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</row>
    <row r="270" spans="1:110" ht="13.8" x14ac:dyDescent="0.25">
      <c r="A270" s="24">
        <v>1109040</v>
      </c>
      <c r="B270" s="11" t="s">
        <v>30</v>
      </c>
      <c r="C270" s="16" t="s">
        <v>522</v>
      </c>
      <c r="D270" s="11" t="s">
        <v>523</v>
      </c>
      <c r="E270" s="10" t="s">
        <v>524</v>
      </c>
      <c r="F270" s="10" t="s">
        <v>34</v>
      </c>
      <c r="G270" s="55" t="str">
        <f t="shared" ref="G270:G313" si="9">IF(U270="Obsolete",U270,U270+V270)</f>
        <v>Obsolete</v>
      </c>
      <c r="H270" s="10">
        <v>6</v>
      </c>
      <c r="I270" s="13">
        <v>1500</v>
      </c>
      <c r="J270" s="56"/>
      <c r="K270" s="57"/>
      <c r="M270" s="14"/>
      <c r="N270" s="14"/>
      <c r="O270" s="14">
        <v>2.0499999999999998</v>
      </c>
      <c r="P270" s="14"/>
      <c r="Q270" s="14"/>
      <c r="R270" s="14"/>
      <c r="S270" s="14"/>
      <c r="T270" s="70"/>
      <c r="U270" s="76" t="s">
        <v>54</v>
      </c>
      <c r="V270" s="76"/>
      <c r="W270" s="76" t="s">
        <v>54</v>
      </c>
      <c r="X270" s="76"/>
      <c r="Y270" s="77" t="s">
        <v>35</v>
      </c>
      <c r="Z270" s="78">
        <v>1500</v>
      </c>
      <c r="AA270" s="79" t="s">
        <v>517</v>
      </c>
      <c r="AB270" s="79" t="s">
        <v>37</v>
      </c>
      <c r="AC270" s="79" t="s">
        <v>35</v>
      </c>
      <c r="AD270" s="79"/>
      <c r="AE270" s="79" t="s">
        <v>525</v>
      </c>
      <c r="AF270" s="79" t="s">
        <v>526</v>
      </c>
      <c r="AG270" s="79" t="s">
        <v>527</v>
      </c>
      <c r="AH270" s="79"/>
      <c r="AI270" s="53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</row>
    <row r="271" spans="1:110" ht="13.8" x14ac:dyDescent="0.25">
      <c r="A271" s="24">
        <v>1109041</v>
      </c>
      <c r="B271" s="11" t="s">
        <v>30</v>
      </c>
      <c r="C271" s="16" t="s">
        <v>528</v>
      </c>
      <c r="D271" s="11" t="s">
        <v>523</v>
      </c>
      <c r="E271" s="10" t="s">
        <v>517</v>
      </c>
      <c r="F271" s="10" t="s">
        <v>34</v>
      </c>
      <c r="G271" s="55" t="str">
        <f t="shared" si="9"/>
        <v>Obsolete</v>
      </c>
      <c r="H271" s="10"/>
      <c r="I271" s="13"/>
      <c r="J271" s="56"/>
      <c r="K271" s="57"/>
      <c r="M271" s="14"/>
      <c r="N271" s="14"/>
      <c r="O271" s="14"/>
      <c r="P271" s="14"/>
      <c r="Q271" s="14"/>
      <c r="R271" s="14">
        <v>2.8284200000000004</v>
      </c>
      <c r="S271" s="14"/>
      <c r="T271" s="70"/>
      <c r="U271" s="76" t="s">
        <v>54</v>
      </c>
      <c r="V271" s="76">
        <v>0</v>
      </c>
      <c r="W271" s="76" t="s">
        <v>54</v>
      </c>
      <c r="X271" s="76">
        <v>0</v>
      </c>
      <c r="Y271" s="77" t="s">
        <v>35</v>
      </c>
      <c r="Z271" s="78">
        <v>55</v>
      </c>
      <c r="AA271" s="79" t="s">
        <v>517</v>
      </c>
      <c r="AB271" s="79" t="s">
        <v>35</v>
      </c>
      <c r="AC271" s="79" t="s">
        <v>35</v>
      </c>
      <c r="AD271" s="79"/>
      <c r="AE271" s="79" t="s">
        <v>529</v>
      </c>
      <c r="AF271" s="79" t="s">
        <v>530</v>
      </c>
      <c r="AG271" s="79" t="s">
        <v>531</v>
      </c>
      <c r="AH271" s="79"/>
      <c r="AI271" s="53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</row>
    <row r="272" spans="1:110" ht="13.8" x14ac:dyDescent="0.25">
      <c r="A272" s="24">
        <v>1109042</v>
      </c>
      <c r="B272" s="11" t="s">
        <v>30</v>
      </c>
      <c r="C272" s="16" t="s">
        <v>532</v>
      </c>
      <c r="D272" s="11" t="s">
        <v>523</v>
      </c>
      <c r="E272" s="10" t="s">
        <v>517</v>
      </c>
      <c r="F272" s="10" t="s">
        <v>34</v>
      </c>
      <c r="G272" s="55" t="str">
        <f t="shared" si="9"/>
        <v>Obsolete</v>
      </c>
      <c r="H272" s="10"/>
      <c r="I272" s="13"/>
      <c r="J272" s="56"/>
      <c r="K272" s="57"/>
      <c r="M272" s="14"/>
      <c r="N272" s="14"/>
      <c r="O272" s="14"/>
      <c r="P272" s="14"/>
      <c r="Q272" s="14"/>
      <c r="R272" s="14">
        <v>2.8284200000000004</v>
      </c>
      <c r="S272" s="14"/>
      <c r="T272" s="70"/>
      <c r="U272" s="76" t="s">
        <v>54</v>
      </c>
      <c r="V272" s="76">
        <v>0</v>
      </c>
      <c r="W272" s="76" t="s">
        <v>54</v>
      </c>
      <c r="X272" s="76">
        <v>0</v>
      </c>
      <c r="Y272" s="77" t="s">
        <v>35</v>
      </c>
      <c r="Z272" s="78">
        <v>55</v>
      </c>
      <c r="AA272" s="79" t="s">
        <v>517</v>
      </c>
      <c r="AB272" s="79" t="s">
        <v>35</v>
      </c>
      <c r="AC272" s="79" t="s">
        <v>35</v>
      </c>
      <c r="AD272" s="79"/>
      <c r="AE272" s="79" t="s">
        <v>529</v>
      </c>
      <c r="AF272" s="79" t="s">
        <v>530</v>
      </c>
      <c r="AG272" s="79" t="s">
        <v>531</v>
      </c>
      <c r="AH272" s="79"/>
      <c r="AI272" s="53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</row>
    <row r="273" spans="1:110" ht="13.8" x14ac:dyDescent="0.25">
      <c r="A273" s="24">
        <v>1109043</v>
      </c>
      <c r="B273" s="11" t="s">
        <v>30</v>
      </c>
      <c r="C273" s="16" t="s">
        <v>533</v>
      </c>
      <c r="D273" s="11"/>
      <c r="E273" s="10" t="s">
        <v>189</v>
      </c>
      <c r="F273" s="10" t="s">
        <v>34</v>
      </c>
      <c r="G273" s="55">
        <f t="shared" si="9"/>
        <v>0</v>
      </c>
      <c r="H273" s="10"/>
      <c r="I273" s="13"/>
      <c r="J273" s="56"/>
      <c r="K273" s="57"/>
      <c r="M273" s="14"/>
      <c r="N273" s="14"/>
      <c r="O273" s="14"/>
      <c r="P273" s="14"/>
      <c r="Q273" s="14"/>
      <c r="R273" s="14"/>
      <c r="S273" s="14"/>
      <c r="T273" s="70"/>
      <c r="U273" s="76"/>
      <c r="V273" s="76"/>
      <c r="W273" s="76"/>
      <c r="X273" s="76"/>
      <c r="Y273" s="77"/>
      <c r="Z273" s="78"/>
      <c r="AA273" s="79" t="s">
        <v>189</v>
      </c>
      <c r="AB273" s="79"/>
      <c r="AC273" s="79"/>
      <c r="AD273" s="91" t="s">
        <v>57</v>
      </c>
      <c r="AE273" s="79"/>
      <c r="AF273" s="79"/>
      <c r="AG273" s="79"/>
      <c r="AH273" s="79"/>
      <c r="AI273" s="53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</row>
    <row r="274" spans="1:110" ht="13.8" x14ac:dyDescent="0.25">
      <c r="A274" s="24">
        <v>1109044</v>
      </c>
      <c r="B274" s="11" t="s">
        <v>30</v>
      </c>
      <c r="C274" s="16" t="s">
        <v>534</v>
      </c>
      <c r="D274" s="11" t="s">
        <v>535</v>
      </c>
      <c r="E274" s="10" t="s">
        <v>33</v>
      </c>
      <c r="F274" s="10" t="s">
        <v>34</v>
      </c>
      <c r="G274" s="55">
        <f t="shared" si="9"/>
        <v>0</v>
      </c>
      <c r="H274" s="10"/>
      <c r="I274" s="13"/>
      <c r="J274" s="56"/>
      <c r="K274" s="57"/>
      <c r="M274" s="14"/>
      <c r="N274" s="14"/>
      <c r="O274" s="14"/>
      <c r="P274" s="14"/>
      <c r="Q274" s="14"/>
      <c r="R274" s="14"/>
      <c r="S274" s="14"/>
      <c r="T274" s="70"/>
      <c r="U274" s="76"/>
      <c r="V274" s="76"/>
      <c r="W274" s="76"/>
      <c r="X274" s="76"/>
      <c r="Y274" s="77"/>
      <c r="Z274" s="78"/>
      <c r="AA274" s="79"/>
      <c r="AB274" s="79"/>
      <c r="AC274" s="79"/>
      <c r="AD274" s="79"/>
      <c r="AE274" s="79"/>
      <c r="AF274" s="79"/>
      <c r="AG274" s="79"/>
      <c r="AH274" s="79"/>
      <c r="AI274" s="53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</row>
    <row r="275" spans="1:110" ht="13.8" x14ac:dyDescent="0.25">
      <c r="A275" s="24">
        <v>1109045</v>
      </c>
      <c r="B275" s="11" t="s">
        <v>30</v>
      </c>
      <c r="C275" s="16" t="s">
        <v>536</v>
      </c>
      <c r="D275" s="11" t="s">
        <v>535</v>
      </c>
      <c r="E275" s="10" t="s">
        <v>33</v>
      </c>
      <c r="F275" s="10" t="s">
        <v>34</v>
      </c>
      <c r="G275" s="55">
        <f t="shared" si="9"/>
        <v>0</v>
      </c>
      <c r="H275" s="10"/>
      <c r="I275" s="13"/>
      <c r="J275" s="56"/>
      <c r="K275" s="57"/>
      <c r="M275" s="14"/>
      <c r="N275" s="14"/>
      <c r="O275" s="14"/>
      <c r="P275" s="14"/>
      <c r="Q275" s="14"/>
      <c r="R275" s="14"/>
      <c r="S275" s="14"/>
      <c r="T275" s="70"/>
      <c r="U275" s="76"/>
      <c r="V275" s="76"/>
      <c r="W275" s="76"/>
      <c r="X275" s="76"/>
      <c r="Y275" s="77"/>
      <c r="Z275" s="78"/>
      <c r="AA275" s="79"/>
      <c r="AB275" s="79"/>
      <c r="AC275" s="79"/>
      <c r="AD275" s="79"/>
      <c r="AE275" s="79"/>
      <c r="AF275" s="79"/>
      <c r="AG275" s="79"/>
      <c r="AH275" s="79"/>
      <c r="AI275" s="53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</row>
    <row r="276" spans="1:110" ht="13.8" x14ac:dyDescent="0.25">
      <c r="A276" s="24">
        <v>1109046</v>
      </c>
      <c r="B276" s="11" t="s">
        <v>30</v>
      </c>
      <c r="C276" s="16" t="s">
        <v>537</v>
      </c>
      <c r="D276" s="11" t="s">
        <v>86</v>
      </c>
      <c r="E276" s="10" t="s">
        <v>33</v>
      </c>
      <c r="F276" s="10" t="s">
        <v>34</v>
      </c>
      <c r="G276" s="55">
        <f t="shared" si="9"/>
        <v>3.23</v>
      </c>
      <c r="H276" s="10"/>
      <c r="I276" s="13"/>
      <c r="J276" s="56"/>
      <c r="K276" s="57"/>
      <c r="M276" s="14"/>
      <c r="N276" s="14"/>
      <c r="O276" s="14"/>
      <c r="P276" s="14"/>
      <c r="Q276" s="14"/>
      <c r="R276" s="14"/>
      <c r="S276" s="14"/>
      <c r="T276" s="70"/>
      <c r="U276" s="76">
        <v>3.23</v>
      </c>
      <c r="V276" s="76">
        <v>0</v>
      </c>
      <c r="W276" s="76">
        <v>3.23</v>
      </c>
      <c r="X276" s="76">
        <v>0</v>
      </c>
      <c r="Y276" s="77" t="s">
        <v>35</v>
      </c>
      <c r="Z276" s="78">
        <v>55</v>
      </c>
      <c r="AA276" s="79" t="s">
        <v>121</v>
      </c>
      <c r="AB276" s="79" t="s">
        <v>35</v>
      </c>
      <c r="AC276" s="79" t="s">
        <v>37</v>
      </c>
      <c r="AD276" s="79" t="s">
        <v>38</v>
      </c>
      <c r="AE276" s="79"/>
      <c r="AF276" s="79"/>
      <c r="AG276" s="79"/>
      <c r="AH276" s="79"/>
      <c r="AI276" s="53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</row>
    <row r="277" spans="1:110" ht="13.8" x14ac:dyDescent="0.25">
      <c r="A277" s="122">
        <v>1109047</v>
      </c>
      <c r="B277" s="11" t="s">
        <v>30</v>
      </c>
      <c r="C277" s="16" t="s">
        <v>1631</v>
      </c>
      <c r="D277" s="11" t="s">
        <v>1632</v>
      </c>
      <c r="E277" s="10" t="s">
        <v>1625</v>
      </c>
      <c r="F277" s="10" t="s">
        <v>34</v>
      </c>
      <c r="G277" s="55">
        <v>0</v>
      </c>
      <c r="H277" s="10"/>
      <c r="I277" s="13"/>
      <c r="J277" s="56"/>
      <c r="K277" s="57"/>
      <c r="M277" s="14"/>
      <c r="N277" s="14"/>
      <c r="O277" s="14"/>
      <c r="P277" s="14"/>
      <c r="Q277" s="14"/>
      <c r="R277" s="14"/>
      <c r="S277" s="14"/>
      <c r="T277" s="70"/>
      <c r="U277" s="76"/>
      <c r="V277" s="76"/>
      <c r="W277" s="76"/>
      <c r="X277" s="76"/>
      <c r="Y277" s="77"/>
      <c r="Z277" s="78"/>
      <c r="AA277" s="79"/>
      <c r="AB277" s="79"/>
      <c r="AC277" s="79"/>
      <c r="AD277" s="79"/>
      <c r="AE277" s="79"/>
      <c r="AF277" s="79"/>
      <c r="AG277" s="79"/>
      <c r="AH277" s="79"/>
      <c r="AI277" s="53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</row>
    <row r="278" spans="1:110" ht="13.8" x14ac:dyDescent="0.25">
      <c r="A278" s="24">
        <v>1109100</v>
      </c>
      <c r="B278" s="11" t="s">
        <v>30</v>
      </c>
      <c r="C278" s="16" t="s">
        <v>538</v>
      </c>
      <c r="D278" s="11"/>
      <c r="E278" s="10" t="s">
        <v>539</v>
      </c>
      <c r="F278" s="10" t="s">
        <v>34</v>
      </c>
      <c r="G278" s="55" t="str">
        <f t="shared" si="9"/>
        <v>Obsolete</v>
      </c>
      <c r="H278" s="10"/>
      <c r="I278" s="13"/>
      <c r="J278" s="56"/>
      <c r="K278" s="57"/>
      <c r="M278" s="14"/>
      <c r="N278" s="14"/>
      <c r="O278" s="14">
        <v>2.4</v>
      </c>
      <c r="P278" s="14"/>
      <c r="Q278" s="14"/>
      <c r="R278" s="14"/>
      <c r="S278" s="14"/>
      <c r="T278" s="70"/>
      <c r="U278" s="76" t="s">
        <v>54</v>
      </c>
      <c r="V278" s="76"/>
      <c r="W278" s="76" t="s">
        <v>54</v>
      </c>
      <c r="X278" s="76"/>
      <c r="Y278" s="84"/>
      <c r="Z278" s="78"/>
      <c r="AA278" s="79" t="s">
        <v>36</v>
      </c>
      <c r="AB278" s="79" t="s">
        <v>37</v>
      </c>
      <c r="AC278" s="79" t="s">
        <v>37</v>
      </c>
      <c r="AD278" s="79"/>
      <c r="AE278" s="79" t="s">
        <v>540</v>
      </c>
      <c r="AF278" s="79" t="s">
        <v>541</v>
      </c>
      <c r="AG278" s="79" t="s">
        <v>542</v>
      </c>
      <c r="AH278" s="79"/>
      <c r="AI278" s="53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</row>
    <row r="279" spans="1:110" ht="13.8" x14ac:dyDescent="0.25">
      <c r="A279" s="24">
        <v>1109101</v>
      </c>
      <c r="B279" s="11" t="s">
        <v>30</v>
      </c>
      <c r="C279" s="16" t="s">
        <v>543</v>
      </c>
      <c r="D279" s="11"/>
      <c r="E279" s="10" t="s">
        <v>539</v>
      </c>
      <c r="F279" s="10" t="s">
        <v>34</v>
      </c>
      <c r="G279" s="55" t="str">
        <f t="shared" si="9"/>
        <v>Obsolete</v>
      </c>
      <c r="H279" s="10"/>
      <c r="I279" s="13"/>
      <c r="J279" s="56"/>
      <c r="K279" s="57"/>
      <c r="M279" s="14"/>
      <c r="N279" s="14"/>
      <c r="O279" s="14">
        <v>2.1</v>
      </c>
      <c r="P279" s="14"/>
      <c r="Q279" s="14"/>
      <c r="R279" s="14"/>
      <c r="S279" s="14"/>
      <c r="T279" s="70"/>
      <c r="U279" s="76" t="s">
        <v>54</v>
      </c>
      <c r="V279" s="76"/>
      <c r="W279" s="76" t="s">
        <v>54</v>
      </c>
      <c r="X279" s="76"/>
      <c r="Y279" s="84"/>
      <c r="Z279" s="78"/>
      <c r="AA279" s="79" t="s">
        <v>36</v>
      </c>
      <c r="AB279" s="79" t="s">
        <v>37</v>
      </c>
      <c r="AC279" s="79" t="s">
        <v>37</v>
      </c>
      <c r="AD279" s="79"/>
      <c r="AE279" s="79" t="s">
        <v>540</v>
      </c>
      <c r="AF279" s="79" t="s">
        <v>541</v>
      </c>
      <c r="AG279" s="79" t="s">
        <v>542</v>
      </c>
      <c r="AH279" s="79"/>
      <c r="AI279" s="53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</row>
    <row r="280" spans="1:110" ht="13.8" x14ac:dyDescent="0.25">
      <c r="A280" s="24">
        <v>1109102</v>
      </c>
      <c r="B280" s="11" t="s">
        <v>30</v>
      </c>
      <c r="C280" s="16" t="s">
        <v>544</v>
      </c>
      <c r="D280" s="11" t="s">
        <v>545</v>
      </c>
      <c r="E280" s="10" t="s">
        <v>539</v>
      </c>
      <c r="F280" s="10" t="s">
        <v>34</v>
      </c>
      <c r="G280" s="55">
        <f t="shared" si="9"/>
        <v>2.1</v>
      </c>
      <c r="H280" s="10">
        <v>5</v>
      </c>
      <c r="I280" s="13">
        <v>2500</v>
      </c>
      <c r="J280" s="56"/>
      <c r="K280" s="57"/>
      <c r="M280" s="14"/>
      <c r="N280" s="14"/>
      <c r="O280" s="14"/>
      <c r="P280" s="14">
        <v>2.1</v>
      </c>
      <c r="Q280" s="14"/>
      <c r="R280" s="14"/>
      <c r="S280" s="14"/>
      <c r="T280" s="70"/>
      <c r="U280" s="76">
        <v>2.1</v>
      </c>
      <c r="V280" s="76">
        <v>0</v>
      </c>
      <c r="W280" s="76">
        <v>2.1</v>
      </c>
      <c r="X280" s="76">
        <v>0</v>
      </c>
      <c r="Y280" s="77" t="s">
        <v>35</v>
      </c>
      <c r="Z280" s="78"/>
      <c r="AA280" s="79" t="s">
        <v>36</v>
      </c>
      <c r="AB280" s="79" t="s">
        <v>35</v>
      </c>
      <c r="AC280" s="79" t="s">
        <v>37</v>
      </c>
      <c r="AD280" s="79" t="s">
        <v>38</v>
      </c>
      <c r="AE280" s="79" t="s">
        <v>546</v>
      </c>
      <c r="AF280" s="79" t="s">
        <v>547</v>
      </c>
      <c r="AG280" s="79" t="s">
        <v>548</v>
      </c>
      <c r="AH280" s="79"/>
      <c r="AI280" s="53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</row>
    <row r="281" spans="1:110" ht="13.8" x14ac:dyDescent="0.25">
      <c r="A281" s="24">
        <v>1109110</v>
      </c>
      <c r="B281" s="11" t="s">
        <v>30</v>
      </c>
      <c r="C281" s="16" t="s">
        <v>549</v>
      </c>
      <c r="D281" s="11" t="s">
        <v>550</v>
      </c>
      <c r="E281" s="10" t="s">
        <v>551</v>
      </c>
      <c r="F281" s="10" t="s">
        <v>34</v>
      </c>
      <c r="G281" s="55" t="str">
        <f t="shared" si="9"/>
        <v>Obsolete</v>
      </c>
      <c r="H281" s="10">
        <v>6</v>
      </c>
      <c r="I281" s="13">
        <v>10500</v>
      </c>
      <c r="J281" s="56"/>
      <c r="K281" s="57"/>
      <c r="M281" s="14"/>
      <c r="N281" s="14"/>
      <c r="O281" s="14"/>
      <c r="P281" s="14"/>
      <c r="Q281" s="14"/>
      <c r="R281" s="14"/>
      <c r="S281" s="14"/>
      <c r="T281" s="70">
        <v>1.69</v>
      </c>
      <c r="U281" s="76" t="s">
        <v>54</v>
      </c>
      <c r="V281" s="76"/>
      <c r="W281" s="76" t="s">
        <v>54</v>
      </c>
      <c r="X281" s="76"/>
      <c r="Y281" s="84"/>
      <c r="Z281" s="78">
        <v>1500</v>
      </c>
      <c r="AA281" s="79" t="s">
        <v>517</v>
      </c>
      <c r="AB281" s="79" t="s">
        <v>37</v>
      </c>
      <c r="AC281" s="79" t="s">
        <v>35</v>
      </c>
      <c r="AD281" s="79"/>
      <c r="AE281" s="79" t="s">
        <v>552</v>
      </c>
      <c r="AF281" s="79" t="s">
        <v>553</v>
      </c>
      <c r="AG281" s="79" t="s">
        <v>554</v>
      </c>
      <c r="AH281" s="79"/>
      <c r="AI281" s="53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</row>
    <row r="282" spans="1:110" ht="13.8" x14ac:dyDescent="0.25">
      <c r="A282" s="24">
        <v>1109111</v>
      </c>
      <c r="B282" s="11" t="s">
        <v>30</v>
      </c>
      <c r="C282" s="25" t="s">
        <v>555</v>
      </c>
      <c r="D282" s="26"/>
      <c r="E282" s="10" t="s">
        <v>556</v>
      </c>
      <c r="F282" s="10" t="s">
        <v>557</v>
      </c>
      <c r="G282" s="55" t="e">
        <f t="shared" si="9"/>
        <v>#VALUE!</v>
      </c>
      <c r="H282" s="10">
        <v>0</v>
      </c>
      <c r="I282" s="13">
        <v>0</v>
      </c>
      <c r="J282" s="56"/>
      <c r="K282" s="57"/>
      <c r="M282" s="14"/>
      <c r="N282" s="14"/>
      <c r="O282" s="14"/>
      <c r="P282" s="14"/>
      <c r="Q282" s="14"/>
      <c r="R282" s="14"/>
      <c r="S282" s="14"/>
      <c r="T282" s="70"/>
      <c r="U282" s="76" t="s">
        <v>38</v>
      </c>
      <c r="V282" s="76">
        <v>0</v>
      </c>
      <c r="W282" s="76" t="s">
        <v>38</v>
      </c>
      <c r="X282" s="76">
        <v>0</v>
      </c>
      <c r="Y282" s="97"/>
      <c r="Z282" s="87"/>
      <c r="AA282" s="79"/>
      <c r="AB282" s="79"/>
      <c r="AC282" s="79"/>
      <c r="AD282" s="79"/>
      <c r="AE282" s="79"/>
      <c r="AF282" s="79"/>
      <c r="AG282" s="79"/>
      <c r="AH282" s="79"/>
      <c r="AI282" s="53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</row>
    <row r="283" spans="1:110" ht="13.8" x14ac:dyDescent="0.25">
      <c r="A283" s="24">
        <v>1109112</v>
      </c>
      <c r="B283" s="11" t="s">
        <v>30</v>
      </c>
      <c r="C283" s="25" t="s">
        <v>558</v>
      </c>
      <c r="D283" s="26" t="s">
        <v>32</v>
      </c>
      <c r="E283" s="10" t="s">
        <v>102</v>
      </c>
      <c r="F283" s="10" t="s">
        <v>34</v>
      </c>
      <c r="G283" s="55">
        <f t="shared" si="9"/>
        <v>0</v>
      </c>
      <c r="H283" s="10">
        <v>6</v>
      </c>
      <c r="I283" s="13"/>
      <c r="J283" s="56"/>
      <c r="K283" s="57"/>
      <c r="M283" s="14"/>
      <c r="N283" s="14"/>
      <c r="O283" s="14"/>
      <c r="P283" s="14"/>
      <c r="Q283" s="14"/>
      <c r="R283" s="14"/>
      <c r="S283" s="14"/>
      <c r="T283" s="70"/>
      <c r="U283" s="76">
        <v>0</v>
      </c>
      <c r="V283" s="76">
        <v>0</v>
      </c>
      <c r="W283" s="76">
        <v>0</v>
      </c>
      <c r="X283" s="76">
        <v>0</v>
      </c>
      <c r="Y283" s="97"/>
      <c r="Z283" s="87"/>
      <c r="AA283" s="79" t="s">
        <v>102</v>
      </c>
      <c r="AB283" s="79" t="s">
        <v>35</v>
      </c>
      <c r="AC283" s="79" t="s">
        <v>35</v>
      </c>
      <c r="AD283" s="79"/>
      <c r="AE283" s="79"/>
      <c r="AF283" s="79"/>
      <c r="AG283" s="79"/>
      <c r="AH283" s="79"/>
      <c r="AI283" s="53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</row>
    <row r="284" spans="1:110" ht="13.8" x14ac:dyDescent="0.25">
      <c r="A284" s="24">
        <v>1109113</v>
      </c>
      <c r="B284" s="11" t="s">
        <v>30</v>
      </c>
      <c r="C284" s="16" t="s">
        <v>559</v>
      </c>
      <c r="D284" s="10" t="s">
        <v>138</v>
      </c>
      <c r="E284" s="10" t="s">
        <v>1616</v>
      </c>
      <c r="F284" s="10" t="s">
        <v>34</v>
      </c>
      <c r="G284" s="55">
        <f t="shared" si="9"/>
        <v>3.5811999999999999</v>
      </c>
      <c r="H284" s="10">
        <v>4</v>
      </c>
      <c r="I284" s="13">
        <v>4400</v>
      </c>
      <c r="J284" s="56">
        <v>44441</v>
      </c>
      <c r="K284" s="57">
        <v>3.2111999999999998</v>
      </c>
      <c r="M284" s="14"/>
      <c r="N284" s="14"/>
      <c r="O284" s="14"/>
      <c r="P284" s="14"/>
      <c r="Q284" s="14"/>
      <c r="R284" s="14"/>
      <c r="S284" s="14">
        <v>3.41</v>
      </c>
      <c r="T284" s="70"/>
      <c r="U284" s="76">
        <v>3.41</v>
      </c>
      <c r="V284" s="76">
        <v>0.17119999999999999</v>
      </c>
      <c r="W284" s="76">
        <v>3.41</v>
      </c>
      <c r="X284" s="76">
        <f>0.045+0.1062</f>
        <v>0.1512</v>
      </c>
      <c r="Y284" s="84" t="s">
        <v>35</v>
      </c>
      <c r="Z284" s="78">
        <v>55</v>
      </c>
      <c r="AA284" s="79" t="s">
        <v>36</v>
      </c>
      <c r="AB284" s="79" t="s">
        <v>35</v>
      </c>
      <c r="AC284" s="79" t="s">
        <v>37</v>
      </c>
      <c r="AD284" s="79" t="s">
        <v>38</v>
      </c>
      <c r="AE284" s="79" t="s">
        <v>182</v>
      </c>
      <c r="AF284" s="79" t="s">
        <v>183</v>
      </c>
      <c r="AG284" s="79" t="s">
        <v>184</v>
      </c>
      <c r="AH284" s="79"/>
      <c r="AI284" s="53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</row>
    <row r="285" spans="1:110" ht="13.8" x14ac:dyDescent="0.25">
      <c r="A285" s="24">
        <v>1109114</v>
      </c>
      <c r="B285" s="11" t="s">
        <v>30</v>
      </c>
      <c r="C285" s="16" t="s">
        <v>560</v>
      </c>
      <c r="D285" s="10"/>
      <c r="E285" s="10" t="s">
        <v>561</v>
      </c>
      <c r="F285" s="10" t="s">
        <v>34</v>
      </c>
      <c r="G285" s="55">
        <f t="shared" si="9"/>
        <v>0</v>
      </c>
      <c r="H285" s="10"/>
      <c r="I285" s="13"/>
      <c r="J285" s="56"/>
      <c r="K285" s="57"/>
      <c r="M285" s="14"/>
      <c r="N285" s="14"/>
      <c r="O285" s="14"/>
      <c r="P285" s="14"/>
      <c r="Q285" s="14"/>
      <c r="R285" s="14"/>
      <c r="S285" s="14"/>
      <c r="T285" s="70"/>
      <c r="U285" s="76">
        <v>0</v>
      </c>
      <c r="V285" s="76"/>
      <c r="W285" s="76">
        <v>0</v>
      </c>
      <c r="X285" s="76"/>
      <c r="Y285" s="84"/>
      <c r="Z285" s="78"/>
      <c r="AA285" s="79" t="s">
        <v>36</v>
      </c>
      <c r="AB285" s="79" t="s">
        <v>35</v>
      </c>
      <c r="AC285" s="79" t="s">
        <v>37</v>
      </c>
      <c r="AD285" s="79" t="s">
        <v>38</v>
      </c>
      <c r="AE285" s="79" t="s">
        <v>313</v>
      </c>
      <c r="AF285" s="79" t="s">
        <v>452</v>
      </c>
      <c r="AG285" s="79" t="s">
        <v>453</v>
      </c>
      <c r="AH285" s="79"/>
      <c r="AI285" s="53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</row>
    <row r="286" spans="1:110" ht="13.8" x14ac:dyDescent="0.25">
      <c r="A286" s="24">
        <v>1109115</v>
      </c>
      <c r="B286" s="11" t="s">
        <v>30</v>
      </c>
      <c r="C286" s="16" t="s">
        <v>562</v>
      </c>
      <c r="D286" s="10"/>
      <c r="E286" s="10" t="s">
        <v>563</v>
      </c>
      <c r="F286" s="10" t="s">
        <v>34</v>
      </c>
      <c r="G286" s="55">
        <f t="shared" si="9"/>
        <v>2.4900000000000002</v>
      </c>
      <c r="H286" s="10">
        <v>10</v>
      </c>
      <c r="I286" s="13">
        <v>2202</v>
      </c>
      <c r="J286" s="56"/>
      <c r="K286" s="57"/>
      <c r="M286" s="14"/>
      <c r="N286" s="14"/>
      <c r="O286" s="14"/>
      <c r="P286" s="14">
        <v>2.25</v>
      </c>
      <c r="Q286" s="14"/>
      <c r="R286" s="14"/>
      <c r="S286" s="14"/>
      <c r="T286" s="70"/>
      <c r="U286" s="76">
        <v>2.25</v>
      </c>
      <c r="V286" s="76">
        <v>0.24</v>
      </c>
      <c r="W286" s="76">
        <v>2.25</v>
      </c>
      <c r="X286" s="76">
        <v>0.24</v>
      </c>
      <c r="Y286" s="84"/>
      <c r="Z286" s="78"/>
      <c r="AA286" s="79" t="s">
        <v>36</v>
      </c>
      <c r="AB286" s="79" t="s">
        <v>35</v>
      </c>
      <c r="AC286" s="79" t="s">
        <v>37</v>
      </c>
      <c r="AD286" s="79" t="s">
        <v>38</v>
      </c>
      <c r="AE286" s="79" t="s">
        <v>564</v>
      </c>
      <c r="AF286" s="79" t="s">
        <v>565</v>
      </c>
      <c r="AG286" s="79" t="s">
        <v>566</v>
      </c>
      <c r="AH286" s="79"/>
      <c r="AI286" s="53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</row>
    <row r="287" spans="1:110" ht="13.8" x14ac:dyDescent="0.25">
      <c r="A287" s="24">
        <v>1109116</v>
      </c>
      <c r="B287" s="11" t="s">
        <v>30</v>
      </c>
      <c r="C287" s="16" t="s">
        <v>1623</v>
      </c>
      <c r="D287" s="10" t="s">
        <v>1624</v>
      </c>
      <c r="E287" s="10" t="s">
        <v>1625</v>
      </c>
      <c r="F287" s="10" t="s">
        <v>34</v>
      </c>
      <c r="G287" s="55">
        <v>0</v>
      </c>
      <c r="H287" s="10"/>
      <c r="I287" s="13"/>
      <c r="J287" s="56"/>
      <c r="K287" s="57"/>
      <c r="M287" s="14"/>
      <c r="N287" s="14"/>
      <c r="O287" s="14"/>
      <c r="P287" s="14"/>
      <c r="Q287" s="14"/>
      <c r="R287" s="14"/>
      <c r="S287" s="14"/>
      <c r="T287" s="70"/>
      <c r="U287" s="76"/>
      <c r="V287" s="76"/>
      <c r="W287" s="76"/>
      <c r="X287" s="76"/>
      <c r="Y287" s="84"/>
      <c r="Z287" s="78"/>
      <c r="AA287" s="79"/>
      <c r="AB287" s="79"/>
      <c r="AC287" s="79"/>
      <c r="AD287" s="79"/>
      <c r="AE287" s="79"/>
      <c r="AF287" s="79"/>
      <c r="AG287" s="79"/>
      <c r="AH287" s="79"/>
      <c r="AI287" s="53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</row>
    <row r="288" spans="1:110" ht="13.8" x14ac:dyDescent="0.25">
      <c r="A288" s="24">
        <v>1109117</v>
      </c>
      <c r="B288" s="11" t="s">
        <v>30</v>
      </c>
      <c r="C288" s="16" t="s">
        <v>1628</v>
      </c>
      <c r="D288" s="10" t="s">
        <v>146</v>
      </c>
      <c r="E288" s="10" t="s">
        <v>1625</v>
      </c>
      <c r="F288" s="10" t="s">
        <v>34</v>
      </c>
      <c r="G288" s="55">
        <v>0</v>
      </c>
      <c r="H288" s="10"/>
      <c r="I288" s="13"/>
      <c r="J288" s="56"/>
      <c r="K288" s="57"/>
      <c r="M288" s="14"/>
      <c r="N288" s="14"/>
      <c r="O288" s="14"/>
      <c r="P288" s="14"/>
      <c r="Q288" s="14"/>
      <c r="R288" s="14"/>
      <c r="S288" s="14"/>
      <c r="T288" s="70"/>
      <c r="U288" s="76"/>
      <c r="V288" s="76"/>
      <c r="W288" s="76"/>
      <c r="X288" s="76"/>
      <c r="Y288" s="84"/>
      <c r="Z288" s="78"/>
      <c r="AA288" s="79"/>
      <c r="AB288" s="79"/>
      <c r="AC288" s="79"/>
      <c r="AD288" s="79"/>
      <c r="AE288" s="79"/>
      <c r="AF288" s="79"/>
      <c r="AG288" s="79"/>
      <c r="AH288" s="79"/>
      <c r="AI288" s="53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</row>
    <row r="289" spans="1:110" ht="13.8" x14ac:dyDescent="0.25">
      <c r="A289" s="24">
        <v>1201001</v>
      </c>
      <c r="B289" s="11" t="s">
        <v>567</v>
      </c>
      <c r="C289" s="12" t="s">
        <v>568</v>
      </c>
      <c r="D289" s="11"/>
      <c r="E289" s="10" t="s">
        <v>569</v>
      </c>
      <c r="F289" s="10" t="s">
        <v>34</v>
      </c>
      <c r="G289" s="55" t="str">
        <f t="shared" si="9"/>
        <v>Obsolete</v>
      </c>
      <c r="H289" s="10">
        <v>3</v>
      </c>
      <c r="I289" s="13"/>
      <c r="J289" s="56"/>
      <c r="K289" s="57"/>
      <c r="M289" s="14"/>
      <c r="N289" s="14"/>
      <c r="O289" s="14"/>
      <c r="P289" s="14"/>
      <c r="Q289" s="14"/>
      <c r="R289" s="14"/>
      <c r="S289" s="14"/>
      <c r="T289" s="70"/>
      <c r="U289" s="76" t="s">
        <v>54</v>
      </c>
      <c r="V289" s="76"/>
      <c r="W289" s="76" t="s">
        <v>54</v>
      </c>
      <c r="X289" s="76"/>
      <c r="Y289" s="97"/>
      <c r="Z289" s="78"/>
      <c r="AA289" s="79" t="s">
        <v>55</v>
      </c>
      <c r="AB289" s="79" t="s">
        <v>37</v>
      </c>
      <c r="AC289" s="79" t="s">
        <v>37</v>
      </c>
      <c r="AD289" s="79"/>
      <c r="AE289" s="79"/>
      <c r="AF289" s="79"/>
      <c r="AG289" s="79"/>
      <c r="AH289" s="79"/>
      <c r="AI289" s="53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</row>
    <row r="290" spans="1:110" ht="13.8" x14ac:dyDescent="0.25">
      <c r="A290" s="24">
        <v>1201002</v>
      </c>
      <c r="B290" s="11" t="s">
        <v>567</v>
      </c>
      <c r="C290" s="25" t="s">
        <v>570</v>
      </c>
      <c r="D290" s="26"/>
      <c r="E290" s="10" t="s">
        <v>569</v>
      </c>
      <c r="F290" s="10" t="s">
        <v>34</v>
      </c>
      <c r="G290" s="55" t="str">
        <f t="shared" si="9"/>
        <v>Obsolete</v>
      </c>
      <c r="H290" s="10"/>
      <c r="I290" s="13"/>
      <c r="J290" s="56"/>
      <c r="K290" s="57"/>
      <c r="M290" s="14"/>
      <c r="N290" s="14"/>
      <c r="O290" s="14"/>
      <c r="P290" s="14"/>
      <c r="Q290" s="14"/>
      <c r="R290" s="14"/>
      <c r="S290" s="14"/>
      <c r="T290" s="70"/>
      <c r="U290" s="76" t="s">
        <v>54</v>
      </c>
      <c r="V290" s="76"/>
      <c r="W290" s="76" t="s">
        <v>54</v>
      </c>
      <c r="X290" s="76"/>
      <c r="Y290" s="97"/>
      <c r="Z290" s="87"/>
      <c r="AA290" s="79"/>
      <c r="AB290" s="79" t="s">
        <v>37</v>
      </c>
      <c r="AC290" s="79" t="s">
        <v>37</v>
      </c>
      <c r="AD290" s="79"/>
      <c r="AE290" s="79"/>
      <c r="AF290" s="79"/>
      <c r="AG290" s="79"/>
      <c r="AH290" s="79"/>
      <c r="AI290" s="53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</row>
    <row r="291" spans="1:110" ht="13.8" x14ac:dyDescent="0.25">
      <c r="A291" s="24">
        <v>1201003</v>
      </c>
      <c r="B291" s="11" t="s">
        <v>567</v>
      </c>
      <c r="C291" s="25" t="s">
        <v>571</v>
      </c>
      <c r="D291" s="26"/>
      <c r="E291" s="10" t="s">
        <v>569</v>
      </c>
      <c r="F291" s="10" t="s">
        <v>34</v>
      </c>
      <c r="G291" s="55" t="str">
        <f t="shared" si="9"/>
        <v>Obsolete</v>
      </c>
      <c r="H291" s="10"/>
      <c r="I291" s="13"/>
      <c r="J291" s="56"/>
      <c r="K291" s="57"/>
      <c r="M291" s="14"/>
      <c r="N291" s="14"/>
      <c r="O291" s="14"/>
      <c r="P291" s="14"/>
      <c r="Q291" s="14"/>
      <c r="R291" s="14"/>
      <c r="S291" s="14"/>
      <c r="T291" s="70"/>
      <c r="U291" s="76" t="s">
        <v>54</v>
      </c>
      <c r="V291" s="76"/>
      <c r="W291" s="76" t="s">
        <v>54</v>
      </c>
      <c r="X291" s="76"/>
      <c r="Y291" s="97"/>
      <c r="Z291" s="87"/>
      <c r="AA291" s="79"/>
      <c r="AB291" s="79" t="s">
        <v>37</v>
      </c>
      <c r="AC291" s="79" t="s">
        <v>37</v>
      </c>
      <c r="AD291" s="79"/>
      <c r="AE291" s="79"/>
      <c r="AF291" s="79"/>
      <c r="AG291" s="79"/>
      <c r="AH291" s="79"/>
      <c r="AI291" s="53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</row>
    <row r="292" spans="1:110" ht="13.8" x14ac:dyDescent="0.25">
      <c r="A292" s="24">
        <v>1201004</v>
      </c>
      <c r="B292" s="11" t="s">
        <v>567</v>
      </c>
      <c r="C292" s="12" t="s">
        <v>572</v>
      </c>
      <c r="D292" s="11"/>
      <c r="E292" s="10" t="s">
        <v>569</v>
      </c>
      <c r="F292" s="10" t="s">
        <v>34</v>
      </c>
      <c r="G292" s="55" t="str">
        <f t="shared" si="9"/>
        <v>Obsolete</v>
      </c>
      <c r="H292" s="10"/>
      <c r="I292" s="13"/>
      <c r="J292" s="56"/>
      <c r="K292" s="57"/>
      <c r="M292" s="14"/>
      <c r="N292" s="14"/>
      <c r="O292" s="14"/>
      <c r="P292" s="14"/>
      <c r="Q292" s="14"/>
      <c r="R292" s="14"/>
      <c r="S292" s="14"/>
      <c r="T292" s="70"/>
      <c r="U292" s="76" t="s">
        <v>54</v>
      </c>
      <c r="V292" s="76"/>
      <c r="W292" s="76" t="s">
        <v>54</v>
      </c>
      <c r="X292" s="76"/>
      <c r="Y292" s="97"/>
      <c r="Z292" s="78"/>
      <c r="AA292" s="79" t="s">
        <v>55</v>
      </c>
      <c r="AB292" s="79" t="s">
        <v>37</v>
      </c>
      <c r="AC292" s="79" t="s">
        <v>37</v>
      </c>
      <c r="AD292" s="79"/>
      <c r="AE292" s="79"/>
      <c r="AF292" s="79"/>
      <c r="AG292" s="79"/>
      <c r="AH292" s="79"/>
      <c r="AI292" s="53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</row>
    <row r="293" spans="1:110" ht="13.8" x14ac:dyDescent="0.25">
      <c r="A293" s="24">
        <v>1201005</v>
      </c>
      <c r="B293" s="11" t="s">
        <v>567</v>
      </c>
      <c r="C293" s="25" t="s">
        <v>573</v>
      </c>
      <c r="D293" s="26"/>
      <c r="E293" s="10" t="s">
        <v>569</v>
      </c>
      <c r="F293" s="10" t="s">
        <v>34</v>
      </c>
      <c r="G293" s="55" t="str">
        <f t="shared" si="9"/>
        <v>Obsolete</v>
      </c>
      <c r="H293" s="10"/>
      <c r="I293" s="13"/>
      <c r="J293" s="56"/>
      <c r="K293" s="57"/>
      <c r="M293" s="14"/>
      <c r="N293" s="14"/>
      <c r="O293" s="14"/>
      <c r="P293" s="14"/>
      <c r="Q293" s="14"/>
      <c r="R293" s="14"/>
      <c r="S293" s="14"/>
      <c r="T293" s="70"/>
      <c r="U293" s="76" t="s">
        <v>54</v>
      </c>
      <c r="V293" s="76"/>
      <c r="W293" s="76" t="s">
        <v>54</v>
      </c>
      <c r="X293" s="76"/>
      <c r="Y293" s="97"/>
      <c r="Z293" s="87"/>
      <c r="AA293" s="79"/>
      <c r="AB293" s="79" t="s">
        <v>37</v>
      </c>
      <c r="AC293" s="79" t="s">
        <v>37</v>
      </c>
      <c r="AD293" s="79"/>
      <c r="AE293" s="79"/>
      <c r="AF293" s="79"/>
      <c r="AG293" s="79"/>
      <c r="AH293" s="79"/>
      <c r="AI293" s="53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</row>
    <row r="294" spans="1:110" ht="13.8" x14ac:dyDescent="0.25">
      <c r="A294" s="24">
        <v>1201006</v>
      </c>
      <c r="B294" s="11" t="s">
        <v>567</v>
      </c>
      <c r="C294" s="12" t="s">
        <v>574</v>
      </c>
      <c r="D294" s="11"/>
      <c r="E294" s="10" t="s">
        <v>569</v>
      </c>
      <c r="F294" s="10" t="s">
        <v>34</v>
      </c>
      <c r="G294" s="55" t="str">
        <f t="shared" si="9"/>
        <v>Obsolete</v>
      </c>
      <c r="H294" s="10"/>
      <c r="I294" s="13"/>
      <c r="J294" s="56"/>
      <c r="K294" s="57"/>
      <c r="M294" s="14"/>
      <c r="N294" s="14"/>
      <c r="O294" s="14"/>
      <c r="P294" s="14"/>
      <c r="Q294" s="14"/>
      <c r="R294" s="14"/>
      <c r="S294" s="14"/>
      <c r="T294" s="70"/>
      <c r="U294" s="76" t="s">
        <v>54</v>
      </c>
      <c r="V294" s="76"/>
      <c r="W294" s="76" t="s">
        <v>54</v>
      </c>
      <c r="X294" s="76"/>
      <c r="Y294" s="97"/>
      <c r="Z294" s="78"/>
      <c r="AA294" s="79" t="s">
        <v>55</v>
      </c>
      <c r="AB294" s="79" t="s">
        <v>37</v>
      </c>
      <c r="AC294" s="79" t="s">
        <v>37</v>
      </c>
      <c r="AD294" s="79"/>
      <c r="AE294" s="79"/>
      <c r="AF294" s="79"/>
      <c r="AG294" s="79"/>
      <c r="AH294" s="79"/>
      <c r="AI294" s="53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</row>
    <row r="295" spans="1:110" ht="13.8" x14ac:dyDescent="0.25">
      <c r="A295" s="24">
        <v>1201007</v>
      </c>
      <c r="B295" s="11" t="s">
        <v>567</v>
      </c>
      <c r="C295" s="25" t="s">
        <v>575</v>
      </c>
      <c r="D295" s="26"/>
      <c r="E295" s="10" t="s">
        <v>569</v>
      </c>
      <c r="F295" s="10" t="s">
        <v>34</v>
      </c>
      <c r="G295" s="55" t="str">
        <f t="shared" si="9"/>
        <v>Obsolete</v>
      </c>
      <c r="H295" s="10"/>
      <c r="I295" s="13"/>
      <c r="J295" s="56"/>
      <c r="K295" s="57"/>
      <c r="M295" s="14"/>
      <c r="N295" s="14"/>
      <c r="O295" s="14"/>
      <c r="P295" s="14"/>
      <c r="Q295" s="14"/>
      <c r="R295" s="14"/>
      <c r="S295" s="14"/>
      <c r="T295" s="70"/>
      <c r="U295" s="76" t="s">
        <v>54</v>
      </c>
      <c r="V295" s="76"/>
      <c r="W295" s="76" t="s">
        <v>54</v>
      </c>
      <c r="X295" s="76"/>
      <c r="Y295" s="97"/>
      <c r="Z295" s="87"/>
      <c r="AA295" s="79"/>
      <c r="AB295" s="79" t="s">
        <v>37</v>
      </c>
      <c r="AC295" s="79" t="s">
        <v>37</v>
      </c>
      <c r="AD295" s="79"/>
      <c r="AE295" s="79"/>
      <c r="AF295" s="79"/>
      <c r="AG295" s="79"/>
      <c r="AH295" s="79"/>
      <c r="AI295" s="53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</row>
    <row r="296" spans="1:110" ht="13.8" x14ac:dyDescent="0.25">
      <c r="A296" s="24">
        <v>1201008</v>
      </c>
      <c r="B296" s="11" t="s">
        <v>567</v>
      </c>
      <c r="C296" s="25" t="s">
        <v>576</v>
      </c>
      <c r="D296" s="26"/>
      <c r="E296" s="10" t="s">
        <v>577</v>
      </c>
      <c r="F296" s="10" t="s">
        <v>34</v>
      </c>
      <c r="G296" s="55" t="str">
        <f t="shared" si="9"/>
        <v>Obsolete</v>
      </c>
      <c r="H296" s="10"/>
      <c r="I296" s="13" t="s">
        <v>578</v>
      </c>
      <c r="J296" s="56"/>
      <c r="K296" s="57"/>
      <c r="M296" s="14">
        <v>104.75</v>
      </c>
      <c r="N296" s="14"/>
      <c r="O296" s="14"/>
      <c r="P296" s="14"/>
      <c r="Q296" s="14"/>
      <c r="R296" s="14"/>
      <c r="S296" s="14"/>
      <c r="T296" s="70"/>
      <c r="U296" s="76" t="s">
        <v>54</v>
      </c>
      <c r="V296" s="76"/>
      <c r="W296" s="76" t="s">
        <v>54</v>
      </c>
      <c r="X296" s="76"/>
      <c r="Y296" s="97"/>
      <c r="Z296" s="87"/>
      <c r="AA296" s="79" t="s">
        <v>64</v>
      </c>
      <c r="AB296" s="79" t="s">
        <v>37</v>
      </c>
      <c r="AC296" s="79" t="s">
        <v>37</v>
      </c>
      <c r="AD296" s="79"/>
      <c r="AE296" s="79" t="s">
        <v>579</v>
      </c>
      <c r="AF296" s="79" t="s">
        <v>580</v>
      </c>
      <c r="AG296" s="105" t="s">
        <v>581</v>
      </c>
      <c r="AH296" s="79"/>
      <c r="AI296" s="53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</row>
    <row r="297" spans="1:110" ht="20.399999999999999" x14ac:dyDescent="0.25">
      <c r="A297" s="24">
        <v>1201009</v>
      </c>
      <c r="B297" s="11" t="s">
        <v>567</v>
      </c>
      <c r="C297" s="25" t="s">
        <v>582</v>
      </c>
      <c r="D297" s="26" t="s">
        <v>583</v>
      </c>
      <c r="E297" s="10" t="s">
        <v>584</v>
      </c>
      <c r="F297" s="10" t="s">
        <v>34</v>
      </c>
      <c r="G297" s="55" t="str">
        <f t="shared" si="9"/>
        <v>Obsolete</v>
      </c>
      <c r="H297" s="10">
        <v>4</v>
      </c>
      <c r="I297" s="13">
        <v>39</v>
      </c>
      <c r="J297" s="56"/>
      <c r="K297" s="57"/>
      <c r="M297" s="14">
        <v>37.090000000000003</v>
      </c>
      <c r="N297" s="14"/>
      <c r="O297" s="14"/>
      <c r="P297" s="14"/>
      <c r="Q297" s="14"/>
      <c r="R297" s="14"/>
      <c r="S297" s="14"/>
      <c r="T297" s="70"/>
      <c r="U297" s="76" t="s">
        <v>54</v>
      </c>
      <c r="V297" s="76"/>
      <c r="W297" s="76" t="s">
        <v>54</v>
      </c>
      <c r="X297" s="76"/>
      <c r="Y297" s="97"/>
      <c r="Z297" s="78" t="s">
        <v>585</v>
      </c>
      <c r="AA297" s="79" t="s">
        <v>64</v>
      </c>
      <c r="AB297" s="79" t="s">
        <v>37</v>
      </c>
      <c r="AC297" s="79" t="s">
        <v>37</v>
      </c>
      <c r="AD297" s="79"/>
      <c r="AE297" s="79" t="s">
        <v>586</v>
      </c>
      <c r="AF297" s="106" t="s">
        <v>587</v>
      </c>
      <c r="AG297" s="106" t="s">
        <v>588</v>
      </c>
      <c r="AH297" s="79"/>
      <c r="AI297" s="53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</row>
    <row r="298" spans="1:110" ht="13.8" x14ac:dyDescent="0.25">
      <c r="A298" s="24">
        <v>1201010</v>
      </c>
      <c r="B298" s="11" t="s">
        <v>589</v>
      </c>
      <c r="C298" s="25" t="s">
        <v>590</v>
      </c>
      <c r="D298" s="26" t="s">
        <v>583</v>
      </c>
      <c r="E298" s="10" t="s">
        <v>584</v>
      </c>
      <c r="F298" s="10" t="s">
        <v>34</v>
      </c>
      <c r="G298" s="55" t="str">
        <f t="shared" si="9"/>
        <v>Obsolete</v>
      </c>
      <c r="H298" s="10">
        <v>4</v>
      </c>
      <c r="I298" s="13">
        <v>39</v>
      </c>
      <c r="J298" s="56"/>
      <c r="K298" s="57"/>
      <c r="M298" s="14">
        <v>20.47</v>
      </c>
      <c r="N298" s="14"/>
      <c r="O298" s="14"/>
      <c r="P298" s="14"/>
      <c r="Q298" s="14"/>
      <c r="R298" s="14"/>
      <c r="S298" s="14"/>
      <c r="T298" s="70"/>
      <c r="U298" s="76" t="s">
        <v>54</v>
      </c>
      <c r="V298" s="76"/>
      <c r="W298" s="76" t="s">
        <v>54</v>
      </c>
      <c r="X298" s="76"/>
      <c r="Y298" s="97"/>
      <c r="Z298" s="78" t="s">
        <v>585</v>
      </c>
      <c r="AA298" s="79" t="s">
        <v>64</v>
      </c>
      <c r="AB298" s="79" t="s">
        <v>37</v>
      </c>
      <c r="AC298" s="79" t="s">
        <v>37</v>
      </c>
      <c r="AD298" s="79"/>
      <c r="AE298" s="79" t="s">
        <v>586</v>
      </c>
      <c r="AF298" s="106" t="s">
        <v>587</v>
      </c>
      <c r="AG298" s="106" t="s">
        <v>588</v>
      </c>
      <c r="AH298" s="79"/>
      <c r="AI298" s="53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</row>
    <row r="299" spans="1:110" ht="20.399999999999999" x14ac:dyDescent="0.25">
      <c r="A299" s="24">
        <v>1201011</v>
      </c>
      <c r="B299" s="11" t="s">
        <v>567</v>
      </c>
      <c r="C299" s="25" t="s">
        <v>591</v>
      </c>
      <c r="D299" s="26" t="s">
        <v>583</v>
      </c>
      <c r="E299" s="10" t="s">
        <v>584</v>
      </c>
      <c r="F299" s="10" t="s">
        <v>34</v>
      </c>
      <c r="G299" s="55" t="str">
        <f t="shared" si="9"/>
        <v>Obsolete</v>
      </c>
      <c r="H299" s="10">
        <v>4</v>
      </c>
      <c r="I299" s="13">
        <v>39</v>
      </c>
      <c r="J299" s="56"/>
      <c r="K299" s="57"/>
      <c r="M299" s="14">
        <v>24.1</v>
      </c>
      <c r="N299" s="14"/>
      <c r="O299" s="14"/>
      <c r="P299" s="14"/>
      <c r="Q299" s="14"/>
      <c r="R299" s="14"/>
      <c r="S299" s="14"/>
      <c r="T299" s="70"/>
      <c r="U299" s="76" t="s">
        <v>54</v>
      </c>
      <c r="V299" s="76"/>
      <c r="W299" s="76" t="s">
        <v>54</v>
      </c>
      <c r="X299" s="76"/>
      <c r="Y299" s="97"/>
      <c r="Z299" s="78" t="s">
        <v>585</v>
      </c>
      <c r="AA299" s="79" t="s">
        <v>64</v>
      </c>
      <c r="AB299" s="79" t="s">
        <v>37</v>
      </c>
      <c r="AC299" s="79" t="s">
        <v>37</v>
      </c>
      <c r="AD299" s="79"/>
      <c r="AE299" s="79" t="s">
        <v>586</v>
      </c>
      <c r="AF299" s="106" t="s">
        <v>587</v>
      </c>
      <c r="AG299" s="106" t="s">
        <v>588</v>
      </c>
      <c r="AH299" s="79"/>
      <c r="AI299" s="53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</row>
    <row r="300" spans="1:110" ht="13.8" x14ac:dyDescent="0.25">
      <c r="A300" s="24">
        <v>1201012</v>
      </c>
      <c r="B300" s="11" t="s">
        <v>589</v>
      </c>
      <c r="C300" s="25" t="s">
        <v>592</v>
      </c>
      <c r="D300" s="26" t="s">
        <v>583</v>
      </c>
      <c r="E300" s="10" t="s">
        <v>584</v>
      </c>
      <c r="F300" s="10" t="s">
        <v>34</v>
      </c>
      <c r="G300" s="55" t="str">
        <f t="shared" si="9"/>
        <v>Obsolete</v>
      </c>
      <c r="H300" s="10">
        <v>4</v>
      </c>
      <c r="I300" s="13">
        <v>39</v>
      </c>
      <c r="J300" s="56"/>
      <c r="K300" s="57"/>
      <c r="M300" s="14">
        <v>19.170000000000002</v>
      </c>
      <c r="N300" s="14"/>
      <c r="O300" s="14"/>
      <c r="P300" s="14"/>
      <c r="Q300" s="14"/>
      <c r="R300" s="14"/>
      <c r="S300" s="14"/>
      <c r="T300" s="70"/>
      <c r="U300" s="76" t="s">
        <v>54</v>
      </c>
      <c r="V300" s="76"/>
      <c r="W300" s="76" t="s">
        <v>54</v>
      </c>
      <c r="X300" s="76"/>
      <c r="Y300" s="97"/>
      <c r="Z300" s="78" t="s">
        <v>585</v>
      </c>
      <c r="AA300" s="79" t="s">
        <v>64</v>
      </c>
      <c r="AB300" s="79" t="s">
        <v>37</v>
      </c>
      <c r="AC300" s="79" t="s">
        <v>37</v>
      </c>
      <c r="AD300" s="79"/>
      <c r="AE300" s="79" t="s">
        <v>586</v>
      </c>
      <c r="AF300" s="106" t="s">
        <v>587</v>
      </c>
      <c r="AG300" s="106" t="s">
        <v>588</v>
      </c>
      <c r="AH300" s="79"/>
      <c r="AI300" s="53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</row>
    <row r="301" spans="1:110" ht="20.399999999999999" x14ac:dyDescent="0.25">
      <c r="A301" s="24">
        <v>1201013</v>
      </c>
      <c r="B301" s="26" t="s">
        <v>593</v>
      </c>
      <c r="C301" s="25" t="s">
        <v>594</v>
      </c>
      <c r="D301" s="26" t="s">
        <v>583</v>
      </c>
      <c r="E301" s="10" t="s">
        <v>584</v>
      </c>
      <c r="F301" s="10" t="s">
        <v>34</v>
      </c>
      <c r="G301" s="55" t="str">
        <f t="shared" si="9"/>
        <v>Obsolete</v>
      </c>
      <c r="H301" s="10">
        <v>4</v>
      </c>
      <c r="I301" s="13">
        <v>39</v>
      </c>
      <c r="J301" s="56"/>
      <c r="K301" s="57"/>
      <c r="M301" s="14">
        <v>27.4</v>
      </c>
      <c r="N301" s="14"/>
      <c r="O301" s="14"/>
      <c r="P301" s="14"/>
      <c r="Q301" s="14"/>
      <c r="R301" s="14"/>
      <c r="S301" s="14"/>
      <c r="T301" s="70"/>
      <c r="U301" s="76" t="s">
        <v>54</v>
      </c>
      <c r="V301" s="76"/>
      <c r="W301" s="76" t="s">
        <v>54</v>
      </c>
      <c r="X301" s="76"/>
      <c r="Y301" s="97"/>
      <c r="Z301" s="78" t="s">
        <v>585</v>
      </c>
      <c r="AA301" s="79" t="s">
        <v>64</v>
      </c>
      <c r="AB301" s="79" t="s">
        <v>37</v>
      </c>
      <c r="AC301" s="79" t="s">
        <v>37</v>
      </c>
      <c r="AD301" s="79"/>
      <c r="AE301" s="79" t="s">
        <v>586</v>
      </c>
      <c r="AF301" s="106" t="s">
        <v>587</v>
      </c>
      <c r="AG301" s="106" t="s">
        <v>588</v>
      </c>
      <c r="AH301" s="79"/>
      <c r="AI301" s="53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</row>
    <row r="302" spans="1:110" ht="20.399999999999999" x14ac:dyDescent="0.25">
      <c r="A302" s="24">
        <v>1201014</v>
      </c>
      <c r="B302" s="26" t="s">
        <v>589</v>
      </c>
      <c r="C302" s="25" t="s">
        <v>595</v>
      </c>
      <c r="D302" s="26" t="s">
        <v>583</v>
      </c>
      <c r="E302" s="10" t="s">
        <v>584</v>
      </c>
      <c r="F302" s="10" t="s">
        <v>34</v>
      </c>
      <c r="G302" s="55" t="str">
        <f t="shared" si="9"/>
        <v>Obsolete</v>
      </c>
      <c r="H302" s="10">
        <v>4</v>
      </c>
      <c r="I302" s="13">
        <v>39</v>
      </c>
      <c r="J302" s="56"/>
      <c r="K302" s="57"/>
      <c r="M302" s="14">
        <v>19.329999999999998</v>
      </c>
      <c r="N302" s="14"/>
      <c r="O302" s="14"/>
      <c r="P302" s="14"/>
      <c r="Q302" s="14"/>
      <c r="R302" s="14"/>
      <c r="S302" s="14"/>
      <c r="T302" s="70"/>
      <c r="U302" s="76" t="s">
        <v>54</v>
      </c>
      <c r="V302" s="76"/>
      <c r="W302" s="76" t="s">
        <v>54</v>
      </c>
      <c r="X302" s="76"/>
      <c r="Y302" s="97"/>
      <c r="Z302" s="78" t="s">
        <v>585</v>
      </c>
      <c r="AA302" s="79" t="s">
        <v>64</v>
      </c>
      <c r="AB302" s="79" t="s">
        <v>37</v>
      </c>
      <c r="AC302" s="79" t="s">
        <v>37</v>
      </c>
      <c r="AD302" s="79"/>
      <c r="AE302" s="79" t="s">
        <v>586</v>
      </c>
      <c r="AF302" s="106" t="s">
        <v>587</v>
      </c>
      <c r="AG302" s="106" t="s">
        <v>588</v>
      </c>
      <c r="AH302" s="79"/>
      <c r="AI302" s="53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</row>
    <row r="303" spans="1:110" ht="20.399999999999999" x14ac:dyDescent="0.25">
      <c r="A303" s="24">
        <v>1201015</v>
      </c>
      <c r="B303" s="26" t="s">
        <v>567</v>
      </c>
      <c r="C303" s="25" t="s">
        <v>596</v>
      </c>
      <c r="D303" s="26"/>
      <c r="E303" s="10" t="s">
        <v>597</v>
      </c>
      <c r="F303" s="10" t="s">
        <v>34</v>
      </c>
      <c r="G303" s="55" t="str">
        <f t="shared" si="9"/>
        <v>Obsolete</v>
      </c>
      <c r="H303" s="10"/>
      <c r="I303" s="13"/>
      <c r="J303" s="56"/>
      <c r="K303" s="57"/>
      <c r="M303" s="14"/>
      <c r="N303" s="14"/>
      <c r="O303" s="14"/>
      <c r="P303" s="14"/>
      <c r="Q303" s="14"/>
      <c r="R303" s="14"/>
      <c r="S303" s="14"/>
      <c r="T303" s="70"/>
      <c r="U303" s="76" t="s">
        <v>54</v>
      </c>
      <c r="V303" s="76"/>
      <c r="W303" s="76" t="s">
        <v>54</v>
      </c>
      <c r="X303" s="76"/>
      <c r="Y303" s="97"/>
      <c r="Z303" s="87"/>
      <c r="AA303" s="79" t="s">
        <v>64</v>
      </c>
      <c r="AB303" s="79" t="s">
        <v>37</v>
      </c>
      <c r="AC303" s="79" t="s">
        <v>37</v>
      </c>
      <c r="AD303" s="79"/>
      <c r="AE303" s="79"/>
      <c r="AF303" s="79"/>
      <c r="AG303" s="79"/>
      <c r="AH303" s="79"/>
      <c r="AI303" s="53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</row>
    <row r="304" spans="1:110" ht="20.399999999999999" x14ac:dyDescent="0.25">
      <c r="A304" s="24">
        <v>1201016</v>
      </c>
      <c r="B304" s="26" t="s">
        <v>567</v>
      </c>
      <c r="C304" s="25" t="s">
        <v>598</v>
      </c>
      <c r="D304" s="26"/>
      <c r="E304" s="10" t="s">
        <v>597</v>
      </c>
      <c r="F304" s="10" t="s">
        <v>34</v>
      </c>
      <c r="G304" s="55" t="str">
        <f t="shared" si="9"/>
        <v>Obsolete</v>
      </c>
      <c r="H304" s="10"/>
      <c r="I304" s="13"/>
      <c r="J304" s="56"/>
      <c r="K304" s="57"/>
      <c r="M304" s="14">
        <v>20.329999999999998</v>
      </c>
      <c r="N304" s="14"/>
      <c r="O304" s="14"/>
      <c r="P304" s="14"/>
      <c r="Q304" s="14"/>
      <c r="R304" s="14"/>
      <c r="S304" s="14"/>
      <c r="T304" s="70"/>
      <c r="U304" s="76" t="s">
        <v>54</v>
      </c>
      <c r="V304" s="76"/>
      <c r="W304" s="76" t="s">
        <v>54</v>
      </c>
      <c r="X304" s="76"/>
      <c r="Y304" s="97"/>
      <c r="Z304" s="87"/>
      <c r="AA304" s="79" t="s">
        <v>64</v>
      </c>
      <c r="AB304" s="79" t="s">
        <v>37</v>
      </c>
      <c r="AC304" s="79" t="s">
        <v>37</v>
      </c>
      <c r="AD304" s="79"/>
      <c r="AE304" s="79"/>
      <c r="AF304" s="79"/>
      <c r="AG304" s="79"/>
      <c r="AH304" s="79"/>
      <c r="AI304" s="53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</row>
    <row r="305" spans="1:110" ht="13.8" x14ac:dyDescent="0.25">
      <c r="A305" s="24">
        <v>1201017</v>
      </c>
      <c r="B305" s="26"/>
      <c r="C305" s="25" t="s">
        <v>599</v>
      </c>
      <c r="D305" s="26"/>
      <c r="E305" s="10" t="s">
        <v>597</v>
      </c>
      <c r="F305" s="10" t="s">
        <v>34</v>
      </c>
      <c r="G305" s="55" t="str">
        <f t="shared" si="9"/>
        <v>Obsolete</v>
      </c>
      <c r="H305" s="10"/>
      <c r="I305" s="13"/>
      <c r="J305" s="56"/>
      <c r="K305" s="57"/>
      <c r="M305" s="14">
        <v>19.559999999999999</v>
      </c>
      <c r="N305" s="14"/>
      <c r="O305" s="14"/>
      <c r="P305" s="14"/>
      <c r="Q305" s="14"/>
      <c r="R305" s="14"/>
      <c r="S305" s="14"/>
      <c r="T305" s="70"/>
      <c r="U305" s="76" t="s">
        <v>54</v>
      </c>
      <c r="V305" s="76"/>
      <c r="W305" s="76" t="s">
        <v>54</v>
      </c>
      <c r="X305" s="76"/>
      <c r="Y305" s="97"/>
      <c r="Z305" s="87"/>
      <c r="AA305" s="79" t="s">
        <v>64</v>
      </c>
      <c r="AB305" s="79" t="s">
        <v>37</v>
      </c>
      <c r="AC305" s="79" t="s">
        <v>37</v>
      </c>
      <c r="AD305" s="79"/>
      <c r="AE305" s="79"/>
      <c r="AF305" s="79"/>
      <c r="AG305" s="79"/>
      <c r="AH305" s="79"/>
      <c r="AI305" s="53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</row>
    <row r="306" spans="1:110" ht="13.8" x14ac:dyDescent="0.25">
      <c r="A306" s="24">
        <v>1201018</v>
      </c>
      <c r="B306" s="26" t="s">
        <v>600</v>
      </c>
      <c r="C306" s="25" t="s">
        <v>601</v>
      </c>
      <c r="D306" s="26"/>
      <c r="E306" s="10" t="s">
        <v>597</v>
      </c>
      <c r="F306" s="10" t="s">
        <v>34</v>
      </c>
      <c r="G306" s="55" t="str">
        <f t="shared" si="9"/>
        <v>Obsolete</v>
      </c>
      <c r="H306" s="10"/>
      <c r="I306" s="13"/>
      <c r="J306" s="56"/>
      <c r="K306" s="57"/>
      <c r="M306" s="14"/>
      <c r="N306" s="14"/>
      <c r="O306" s="14"/>
      <c r="P306" s="14"/>
      <c r="Q306" s="14"/>
      <c r="R306" s="14"/>
      <c r="S306" s="14"/>
      <c r="T306" s="70"/>
      <c r="U306" s="76" t="s">
        <v>54</v>
      </c>
      <c r="V306" s="76"/>
      <c r="W306" s="76" t="s">
        <v>54</v>
      </c>
      <c r="X306" s="76"/>
      <c r="Y306" s="97"/>
      <c r="Z306" s="87"/>
      <c r="AA306" s="79" t="s">
        <v>64</v>
      </c>
      <c r="AB306" s="79" t="s">
        <v>37</v>
      </c>
      <c r="AC306" s="79" t="s">
        <v>37</v>
      </c>
      <c r="AD306" s="79"/>
      <c r="AE306" s="79"/>
      <c r="AF306" s="79"/>
      <c r="AG306" s="79"/>
      <c r="AH306" s="79"/>
      <c r="AI306" s="53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</row>
    <row r="307" spans="1:110" ht="20.399999999999999" x14ac:dyDescent="0.25">
      <c r="A307" s="24">
        <v>1201019</v>
      </c>
      <c r="B307" s="26" t="s">
        <v>567</v>
      </c>
      <c r="C307" s="25" t="s">
        <v>602</v>
      </c>
      <c r="D307" s="26" t="s">
        <v>496</v>
      </c>
      <c r="E307" s="10" t="s">
        <v>584</v>
      </c>
      <c r="F307" s="10" t="s">
        <v>34</v>
      </c>
      <c r="G307" s="55" t="str">
        <f t="shared" si="9"/>
        <v>Obsolete</v>
      </c>
      <c r="H307" s="10"/>
      <c r="I307" s="13" t="s">
        <v>603</v>
      </c>
      <c r="J307" s="56"/>
      <c r="K307" s="57"/>
      <c r="M307" s="14">
        <v>20.329999999999998</v>
      </c>
      <c r="N307" s="14"/>
      <c r="O307" s="14"/>
      <c r="P307" s="14"/>
      <c r="Q307" s="14"/>
      <c r="R307" s="14"/>
      <c r="S307" s="14"/>
      <c r="T307" s="70"/>
      <c r="U307" s="76" t="s">
        <v>54</v>
      </c>
      <c r="V307" s="76"/>
      <c r="W307" s="76" t="s">
        <v>54</v>
      </c>
      <c r="X307" s="76"/>
      <c r="Y307" s="97"/>
      <c r="Z307" s="87"/>
      <c r="AA307" s="79" t="s">
        <v>496</v>
      </c>
      <c r="AB307" s="79" t="s">
        <v>37</v>
      </c>
      <c r="AC307" s="79" t="s">
        <v>37</v>
      </c>
      <c r="AD307" s="79"/>
      <c r="AE307" s="79" t="s">
        <v>586</v>
      </c>
      <c r="AF307" s="106" t="s">
        <v>587</v>
      </c>
      <c r="AG307" s="106" t="s">
        <v>588</v>
      </c>
      <c r="AH307" s="79"/>
      <c r="AI307" s="53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</row>
    <row r="308" spans="1:110" ht="30.6" x14ac:dyDescent="0.25">
      <c r="A308" s="24">
        <v>1201020</v>
      </c>
      <c r="B308" s="26" t="s">
        <v>567</v>
      </c>
      <c r="C308" s="25" t="s">
        <v>604</v>
      </c>
      <c r="D308" s="26"/>
      <c r="E308" s="10" t="s">
        <v>584</v>
      </c>
      <c r="F308" s="10" t="s">
        <v>34</v>
      </c>
      <c r="G308" s="55" t="str">
        <f t="shared" si="9"/>
        <v>Obsolete</v>
      </c>
      <c r="H308" s="10"/>
      <c r="I308" s="13" t="s">
        <v>603</v>
      </c>
      <c r="J308" s="56"/>
      <c r="K308" s="57"/>
      <c r="M308" s="14">
        <v>19.559999999999999</v>
      </c>
      <c r="N308" s="14"/>
      <c r="O308" s="14"/>
      <c r="P308" s="14"/>
      <c r="Q308" s="14"/>
      <c r="R308" s="14"/>
      <c r="S308" s="14"/>
      <c r="T308" s="70"/>
      <c r="U308" s="76" t="s">
        <v>54</v>
      </c>
      <c r="V308" s="76"/>
      <c r="W308" s="76" t="s">
        <v>54</v>
      </c>
      <c r="X308" s="76"/>
      <c r="Y308" s="97"/>
      <c r="Z308" s="87"/>
      <c r="AA308" s="79" t="s">
        <v>496</v>
      </c>
      <c r="AB308" s="79" t="s">
        <v>37</v>
      </c>
      <c r="AC308" s="79" t="s">
        <v>37</v>
      </c>
      <c r="AD308" s="79"/>
      <c r="AE308" s="79" t="s">
        <v>586</v>
      </c>
      <c r="AF308" s="106" t="s">
        <v>587</v>
      </c>
      <c r="AG308" s="106" t="s">
        <v>588</v>
      </c>
      <c r="AH308" s="79"/>
      <c r="AI308" s="53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</row>
    <row r="309" spans="1:110" ht="20.399999999999999" x14ac:dyDescent="0.25">
      <c r="A309" s="24">
        <v>1201021</v>
      </c>
      <c r="B309" s="26" t="s">
        <v>567</v>
      </c>
      <c r="C309" s="25" t="s">
        <v>605</v>
      </c>
      <c r="D309" s="26" t="s">
        <v>606</v>
      </c>
      <c r="E309" s="10" t="s">
        <v>584</v>
      </c>
      <c r="F309" s="10" t="s">
        <v>607</v>
      </c>
      <c r="G309" s="55">
        <f t="shared" si="9"/>
        <v>52.2</v>
      </c>
      <c r="H309" s="10">
        <v>4</v>
      </c>
      <c r="I309" s="13" t="s">
        <v>608</v>
      </c>
      <c r="J309" s="56"/>
      <c r="K309" s="57"/>
      <c r="M309" s="14">
        <v>29.53</v>
      </c>
      <c r="N309" s="14"/>
      <c r="O309" s="14"/>
      <c r="P309" s="14"/>
      <c r="Q309" s="14"/>
      <c r="R309" s="14"/>
      <c r="S309" s="14"/>
      <c r="T309" s="70"/>
      <c r="U309" s="76">
        <v>29.53</v>
      </c>
      <c r="V309" s="76">
        <v>22.67</v>
      </c>
      <c r="W309" s="76">
        <v>29.53</v>
      </c>
      <c r="X309" s="76">
        <v>22.67</v>
      </c>
      <c r="Y309" s="77" t="s">
        <v>37</v>
      </c>
      <c r="Z309" s="98" t="s">
        <v>608</v>
      </c>
      <c r="AA309" s="79" t="s">
        <v>58</v>
      </c>
      <c r="AB309" s="79" t="s">
        <v>35</v>
      </c>
      <c r="AC309" s="79" t="s">
        <v>35</v>
      </c>
      <c r="AD309" s="79"/>
      <c r="AE309" s="79" t="s">
        <v>609</v>
      </c>
      <c r="AF309" s="106" t="s">
        <v>610</v>
      </c>
      <c r="AG309" s="105" t="s">
        <v>611</v>
      </c>
      <c r="AH309" s="79"/>
      <c r="AI309" s="53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</row>
    <row r="310" spans="1:110" ht="20.399999999999999" x14ac:dyDescent="0.25">
      <c r="A310" s="24">
        <v>1201022</v>
      </c>
      <c r="B310" s="26" t="s">
        <v>567</v>
      </c>
      <c r="C310" s="25" t="s">
        <v>612</v>
      </c>
      <c r="D310" s="26" t="s">
        <v>606</v>
      </c>
      <c r="E310" s="10" t="s">
        <v>584</v>
      </c>
      <c r="F310" s="10" t="s">
        <v>607</v>
      </c>
      <c r="G310" s="55">
        <f t="shared" si="9"/>
        <v>71.98</v>
      </c>
      <c r="H310" s="10">
        <v>4</v>
      </c>
      <c r="I310" s="13" t="s">
        <v>608</v>
      </c>
      <c r="J310" s="56"/>
      <c r="K310" s="57"/>
      <c r="M310" s="14">
        <v>49.31</v>
      </c>
      <c r="N310" s="14"/>
      <c r="O310" s="14"/>
      <c r="P310" s="14"/>
      <c r="Q310" s="14"/>
      <c r="R310" s="14"/>
      <c r="S310" s="14"/>
      <c r="T310" s="70"/>
      <c r="U310" s="76">
        <v>49.31</v>
      </c>
      <c r="V310" s="76">
        <v>22.67</v>
      </c>
      <c r="W310" s="76">
        <v>49.31</v>
      </c>
      <c r="X310" s="76">
        <v>22.67</v>
      </c>
      <c r="Y310" s="77" t="s">
        <v>37</v>
      </c>
      <c r="Z310" s="98" t="s">
        <v>608</v>
      </c>
      <c r="AA310" s="79" t="s">
        <v>58</v>
      </c>
      <c r="AB310" s="79" t="s">
        <v>35</v>
      </c>
      <c r="AC310" s="79" t="s">
        <v>35</v>
      </c>
      <c r="AD310" s="79"/>
      <c r="AE310" s="79" t="s">
        <v>609</v>
      </c>
      <c r="AF310" s="106" t="s">
        <v>610</v>
      </c>
      <c r="AG310" s="105" t="s">
        <v>611</v>
      </c>
      <c r="AH310" s="79"/>
      <c r="AI310" s="53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</row>
    <row r="311" spans="1:110" ht="13.8" x14ac:dyDescent="0.25">
      <c r="A311" s="24">
        <v>1201023</v>
      </c>
      <c r="B311" s="26" t="s">
        <v>567</v>
      </c>
      <c r="C311" s="25" t="s">
        <v>613</v>
      </c>
      <c r="D311" s="26"/>
      <c r="E311" s="10" t="s">
        <v>614</v>
      </c>
      <c r="F311" s="10" t="s">
        <v>607</v>
      </c>
      <c r="G311" s="55">
        <f t="shared" si="9"/>
        <v>0</v>
      </c>
      <c r="H311" s="10">
        <v>4</v>
      </c>
      <c r="I311" s="13">
        <v>16.2</v>
      </c>
      <c r="J311" s="56"/>
      <c r="K311" s="57"/>
      <c r="M311" s="14"/>
      <c r="N311" s="14"/>
      <c r="O311" s="14"/>
      <c r="P311" s="14"/>
      <c r="Q311" s="14"/>
      <c r="R311" s="14"/>
      <c r="S311" s="14"/>
      <c r="T311" s="70"/>
      <c r="U311" s="76">
        <v>0</v>
      </c>
      <c r="V311" s="76">
        <v>0</v>
      </c>
      <c r="W311" s="76">
        <v>0</v>
      </c>
      <c r="X311" s="76">
        <v>0</v>
      </c>
      <c r="Y311" s="97" t="s">
        <v>35</v>
      </c>
      <c r="Z311" s="98" t="s">
        <v>615</v>
      </c>
      <c r="AA311" s="79" t="s">
        <v>272</v>
      </c>
      <c r="AB311" s="79" t="s">
        <v>35</v>
      </c>
      <c r="AC311" s="79" t="s">
        <v>35</v>
      </c>
      <c r="AD311" s="79"/>
      <c r="AE311" s="79"/>
      <c r="AF311" s="106"/>
      <c r="AG311" s="79"/>
      <c r="AH311" s="79"/>
      <c r="AI311" s="53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</row>
    <row r="312" spans="1:110" ht="20.399999999999999" x14ac:dyDescent="0.25">
      <c r="A312" s="24">
        <v>1201024</v>
      </c>
      <c r="B312" s="26" t="s">
        <v>567</v>
      </c>
      <c r="C312" s="25" t="s">
        <v>616</v>
      </c>
      <c r="D312" s="26"/>
      <c r="E312" s="10" t="s">
        <v>617</v>
      </c>
      <c r="F312" s="10" t="s">
        <v>618</v>
      </c>
      <c r="G312" s="55">
        <f t="shared" si="9"/>
        <v>47.367864693446087</v>
      </c>
      <c r="H312" s="10">
        <v>2</v>
      </c>
      <c r="I312" s="36">
        <v>0.94599999999999995</v>
      </c>
      <c r="J312" s="56"/>
      <c r="K312" s="57"/>
      <c r="M312" s="14"/>
      <c r="N312" s="14"/>
      <c r="O312" s="14"/>
      <c r="P312" s="14"/>
      <c r="Q312" s="14"/>
      <c r="R312" s="14"/>
      <c r="S312" s="14"/>
      <c r="T312" s="70"/>
      <c r="U312" s="76">
        <v>47.367864693446087</v>
      </c>
      <c r="V312" s="76">
        <v>0</v>
      </c>
      <c r="W312" s="76">
        <v>47.367864693446087</v>
      </c>
      <c r="X312" s="76">
        <v>0</v>
      </c>
      <c r="Y312" s="97"/>
      <c r="Z312" s="107">
        <v>0.94599999999999995</v>
      </c>
      <c r="AA312" s="79" t="s">
        <v>121</v>
      </c>
      <c r="AB312" s="79" t="s">
        <v>35</v>
      </c>
      <c r="AC312" s="79"/>
      <c r="AD312" s="79" t="s">
        <v>38</v>
      </c>
      <c r="AE312" s="79" t="s">
        <v>619</v>
      </c>
      <c r="AF312" s="106"/>
      <c r="AG312" s="108" t="s">
        <v>620</v>
      </c>
      <c r="AH312" s="79"/>
      <c r="AI312" s="53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</row>
    <row r="313" spans="1:110" ht="13.8" x14ac:dyDescent="0.25">
      <c r="A313" s="24">
        <v>1201100</v>
      </c>
      <c r="B313" s="26" t="s">
        <v>567</v>
      </c>
      <c r="C313" s="25" t="s">
        <v>621</v>
      </c>
      <c r="D313" s="26"/>
      <c r="E313" s="10" t="s">
        <v>622</v>
      </c>
      <c r="F313" s="10" t="s">
        <v>623</v>
      </c>
      <c r="G313" s="55">
        <f t="shared" si="9"/>
        <v>7.84</v>
      </c>
      <c r="H313" s="10"/>
      <c r="I313" s="13"/>
      <c r="J313" s="56"/>
      <c r="K313" s="57"/>
      <c r="M313" s="14"/>
      <c r="N313" s="14"/>
      <c r="O313" s="14"/>
      <c r="P313" s="14"/>
      <c r="Q313" s="14"/>
      <c r="R313" s="14"/>
      <c r="S313" s="14"/>
      <c r="T313" s="70"/>
      <c r="U313" s="76">
        <v>7.84</v>
      </c>
      <c r="V313" s="76"/>
      <c r="W313" s="76">
        <v>7.84</v>
      </c>
      <c r="X313" s="76"/>
      <c r="Y313" s="97"/>
      <c r="Z313" s="87"/>
      <c r="AA313" s="79"/>
      <c r="AB313" s="79" t="s">
        <v>37</v>
      </c>
      <c r="AC313" s="79" t="s">
        <v>37</v>
      </c>
      <c r="AD313" s="79"/>
      <c r="AE313" s="79"/>
      <c r="AF313" s="106"/>
      <c r="AG313" s="106"/>
      <c r="AH313" s="79"/>
      <c r="AI313" s="53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</row>
    <row r="314" spans="1:110" ht="20.399999999999999" x14ac:dyDescent="0.25">
      <c r="A314" s="24">
        <v>1201025</v>
      </c>
      <c r="B314" s="26" t="s">
        <v>567</v>
      </c>
      <c r="C314" s="25" t="s">
        <v>624</v>
      </c>
      <c r="D314" s="26"/>
      <c r="E314" s="10" t="s">
        <v>289</v>
      </c>
      <c r="F314" s="10"/>
      <c r="G314" s="55"/>
      <c r="H314" s="10"/>
      <c r="I314" s="13"/>
      <c r="J314" s="56"/>
      <c r="K314" s="57"/>
      <c r="M314" s="14"/>
      <c r="N314" s="14"/>
      <c r="O314" s="14"/>
      <c r="P314" s="14"/>
      <c r="Q314" s="14"/>
      <c r="R314" s="14"/>
      <c r="S314" s="14"/>
      <c r="T314" s="70"/>
      <c r="U314" s="76"/>
      <c r="V314" s="76"/>
      <c r="W314" s="76"/>
      <c r="X314" s="76"/>
      <c r="Y314" s="97"/>
      <c r="Z314" s="87"/>
      <c r="AA314" s="79"/>
      <c r="AB314" s="79"/>
      <c r="AC314" s="79"/>
      <c r="AD314" s="79"/>
      <c r="AE314" s="79"/>
      <c r="AF314" s="106"/>
      <c r="AG314" s="106"/>
      <c r="AH314" s="79"/>
      <c r="AI314" s="53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</row>
    <row r="315" spans="1:110" ht="13.8" x14ac:dyDescent="0.25">
      <c r="A315" s="24">
        <v>1201026</v>
      </c>
      <c r="B315" s="26" t="s">
        <v>567</v>
      </c>
      <c r="C315" s="25" t="s">
        <v>625</v>
      </c>
      <c r="D315" s="26"/>
      <c r="E315" s="10" t="s">
        <v>289</v>
      </c>
      <c r="F315" s="10"/>
      <c r="G315" s="55"/>
      <c r="H315" s="10"/>
      <c r="I315" s="13"/>
      <c r="J315" s="56"/>
      <c r="K315" s="57"/>
      <c r="M315" s="14"/>
      <c r="N315" s="14"/>
      <c r="O315" s="14"/>
      <c r="P315" s="14"/>
      <c r="Q315" s="14"/>
      <c r="R315" s="14"/>
      <c r="S315" s="14"/>
      <c r="T315" s="70"/>
      <c r="U315" s="76"/>
      <c r="V315" s="76"/>
      <c r="W315" s="76"/>
      <c r="X315" s="76"/>
      <c r="Y315" s="97"/>
      <c r="Z315" s="87"/>
      <c r="AA315" s="79"/>
      <c r="AB315" s="79"/>
      <c r="AC315" s="79"/>
      <c r="AD315" s="79"/>
      <c r="AE315" s="79"/>
      <c r="AF315" s="106"/>
      <c r="AG315" s="106"/>
      <c r="AH315" s="79"/>
      <c r="AI315" s="53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</row>
    <row r="316" spans="1:110" ht="20.399999999999999" x14ac:dyDescent="0.25">
      <c r="A316" s="24">
        <v>1202001</v>
      </c>
      <c r="B316" s="18" t="s">
        <v>567</v>
      </c>
      <c r="C316" s="31" t="s">
        <v>626</v>
      </c>
      <c r="D316" s="26" t="s">
        <v>627</v>
      </c>
      <c r="E316" s="10" t="s">
        <v>628</v>
      </c>
      <c r="F316" s="10" t="s">
        <v>607</v>
      </c>
      <c r="G316" s="55">
        <f t="shared" ref="G316:G359" si="10">IF(U316="Obsolete",U316,U316+V316)</f>
        <v>536.5</v>
      </c>
      <c r="H316" s="10" t="s">
        <v>629</v>
      </c>
      <c r="I316" s="13" t="s">
        <v>630</v>
      </c>
      <c r="J316" s="56"/>
      <c r="K316" s="57"/>
      <c r="M316" s="14"/>
      <c r="N316" s="14"/>
      <c r="O316" s="14"/>
      <c r="P316" s="14"/>
      <c r="Q316" s="14"/>
      <c r="R316" s="14"/>
      <c r="S316" s="14"/>
      <c r="T316" s="70"/>
      <c r="U316" s="76">
        <v>16.5</v>
      </c>
      <c r="V316" s="76">
        <v>520</v>
      </c>
      <c r="W316" s="76">
        <v>16.5</v>
      </c>
      <c r="X316" s="76">
        <v>520</v>
      </c>
      <c r="Y316" s="77" t="s">
        <v>37</v>
      </c>
      <c r="Z316" s="78" t="s">
        <v>631</v>
      </c>
      <c r="AA316" s="79" t="s">
        <v>277</v>
      </c>
      <c r="AB316" s="79" t="s">
        <v>35</v>
      </c>
      <c r="AC316" s="79" t="s">
        <v>35</v>
      </c>
      <c r="AD316" s="79"/>
      <c r="AE316" s="79" t="s">
        <v>632</v>
      </c>
      <c r="AF316" s="106" t="s">
        <v>633</v>
      </c>
      <c r="AG316" s="79" t="s">
        <v>634</v>
      </c>
      <c r="AH316" s="79"/>
      <c r="AI316" s="53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</row>
    <row r="317" spans="1:110" ht="20.399999999999999" x14ac:dyDescent="0.25">
      <c r="A317" s="24">
        <v>1202002</v>
      </c>
      <c r="B317" s="18" t="s">
        <v>567</v>
      </c>
      <c r="C317" s="31" t="s">
        <v>635</v>
      </c>
      <c r="D317" s="26" t="s">
        <v>627</v>
      </c>
      <c r="E317" s="10" t="s">
        <v>628</v>
      </c>
      <c r="F317" s="10" t="s">
        <v>607</v>
      </c>
      <c r="G317" s="55">
        <f t="shared" si="10"/>
        <v>545</v>
      </c>
      <c r="H317" s="10" t="s">
        <v>629</v>
      </c>
      <c r="I317" s="13" t="s">
        <v>630</v>
      </c>
      <c r="J317" s="56"/>
      <c r="K317" s="57"/>
      <c r="M317" s="14"/>
      <c r="N317" s="14"/>
      <c r="O317" s="14"/>
      <c r="P317" s="14"/>
      <c r="Q317" s="14"/>
      <c r="R317" s="14"/>
      <c r="S317" s="14"/>
      <c r="T317" s="70"/>
      <c r="U317" s="76">
        <v>25</v>
      </c>
      <c r="V317" s="76">
        <v>520</v>
      </c>
      <c r="W317" s="76">
        <v>25</v>
      </c>
      <c r="X317" s="76">
        <v>520</v>
      </c>
      <c r="Y317" s="77" t="s">
        <v>37</v>
      </c>
      <c r="Z317" s="78" t="s">
        <v>631</v>
      </c>
      <c r="AA317" s="79" t="s">
        <v>277</v>
      </c>
      <c r="AB317" s="79" t="s">
        <v>35</v>
      </c>
      <c r="AC317" s="79" t="s">
        <v>35</v>
      </c>
      <c r="AD317" s="79"/>
      <c r="AE317" s="79" t="s">
        <v>632</v>
      </c>
      <c r="AF317" s="106" t="s">
        <v>633</v>
      </c>
      <c r="AG317" s="79" t="s">
        <v>634</v>
      </c>
      <c r="AH317" s="79"/>
      <c r="AI317" s="53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</row>
    <row r="318" spans="1:110" ht="20.399999999999999" x14ac:dyDescent="0.25">
      <c r="A318" s="24">
        <v>1202003</v>
      </c>
      <c r="B318" s="18" t="s">
        <v>567</v>
      </c>
      <c r="C318" s="31" t="s">
        <v>636</v>
      </c>
      <c r="D318" s="26" t="s">
        <v>627</v>
      </c>
      <c r="E318" s="10" t="s">
        <v>628</v>
      </c>
      <c r="F318" s="10" t="s">
        <v>607</v>
      </c>
      <c r="G318" s="55">
        <f t="shared" si="10"/>
        <v>545.29999999999995</v>
      </c>
      <c r="H318" s="10" t="s">
        <v>629</v>
      </c>
      <c r="I318" s="13" t="s">
        <v>630</v>
      </c>
      <c r="J318" s="56"/>
      <c r="K318" s="57"/>
      <c r="M318" s="14"/>
      <c r="N318" s="14"/>
      <c r="O318" s="14"/>
      <c r="P318" s="14"/>
      <c r="Q318" s="14"/>
      <c r="R318" s="14"/>
      <c r="S318" s="14"/>
      <c r="T318" s="70"/>
      <c r="U318" s="76">
        <v>25.3</v>
      </c>
      <c r="V318" s="76">
        <v>520</v>
      </c>
      <c r="W318" s="76">
        <v>25.3</v>
      </c>
      <c r="X318" s="76">
        <v>520</v>
      </c>
      <c r="Y318" s="77" t="s">
        <v>37</v>
      </c>
      <c r="Z318" s="78" t="s">
        <v>631</v>
      </c>
      <c r="AA318" s="79" t="s">
        <v>277</v>
      </c>
      <c r="AB318" s="79" t="s">
        <v>35</v>
      </c>
      <c r="AC318" s="79" t="s">
        <v>35</v>
      </c>
      <c r="AD318" s="79"/>
      <c r="AE318" s="79" t="s">
        <v>632</v>
      </c>
      <c r="AF318" s="106" t="s">
        <v>633</v>
      </c>
      <c r="AG318" s="79" t="s">
        <v>634</v>
      </c>
      <c r="AH318" s="79"/>
      <c r="AI318" s="53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</row>
    <row r="319" spans="1:110" ht="20.399999999999999" x14ac:dyDescent="0.25">
      <c r="A319" s="24">
        <v>1202004</v>
      </c>
      <c r="B319" s="18" t="s">
        <v>567</v>
      </c>
      <c r="C319" s="31" t="s">
        <v>637</v>
      </c>
      <c r="D319" s="26" t="s">
        <v>627</v>
      </c>
      <c r="E319" s="10" t="s">
        <v>628</v>
      </c>
      <c r="F319" s="10" t="s">
        <v>607</v>
      </c>
      <c r="G319" s="55">
        <f t="shared" si="10"/>
        <v>541</v>
      </c>
      <c r="H319" s="10" t="s">
        <v>629</v>
      </c>
      <c r="I319" s="13" t="s">
        <v>630</v>
      </c>
      <c r="J319" s="56"/>
      <c r="K319" s="57"/>
      <c r="M319" s="14"/>
      <c r="N319" s="14"/>
      <c r="O319" s="14"/>
      <c r="P319" s="14"/>
      <c r="Q319" s="14"/>
      <c r="R319" s="14"/>
      <c r="S319" s="14"/>
      <c r="T319" s="70"/>
      <c r="U319" s="76">
        <v>21</v>
      </c>
      <c r="V319" s="76">
        <v>520</v>
      </c>
      <c r="W319" s="76">
        <v>21</v>
      </c>
      <c r="X319" s="76">
        <v>520</v>
      </c>
      <c r="Y319" s="77" t="s">
        <v>37</v>
      </c>
      <c r="Z319" s="78" t="s">
        <v>631</v>
      </c>
      <c r="AA319" s="79" t="s">
        <v>277</v>
      </c>
      <c r="AB319" s="79" t="s">
        <v>35</v>
      </c>
      <c r="AC319" s="79" t="s">
        <v>35</v>
      </c>
      <c r="AD319" s="79"/>
      <c r="AE319" s="79" t="s">
        <v>632</v>
      </c>
      <c r="AF319" s="106" t="s">
        <v>633</v>
      </c>
      <c r="AG319" s="79" t="s">
        <v>634</v>
      </c>
      <c r="AH319" s="79"/>
      <c r="AI319" s="53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</row>
    <row r="320" spans="1:110" ht="20.399999999999999" x14ac:dyDescent="0.25">
      <c r="A320" s="24">
        <v>1202005</v>
      </c>
      <c r="B320" s="18" t="s">
        <v>567</v>
      </c>
      <c r="C320" s="31" t="s">
        <v>638</v>
      </c>
      <c r="D320" s="26" t="s">
        <v>627</v>
      </c>
      <c r="E320" s="10" t="s">
        <v>628</v>
      </c>
      <c r="F320" s="10" t="s">
        <v>607</v>
      </c>
      <c r="G320" s="55">
        <f t="shared" si="10"/>
        <v>534.70000000000005</v>
      </c>
      <c r="H320" s="10" t="s">
        <v>629</v>
      </c>
      <c r="I320" s="13" t="s">
        <v>630</v>
      </c>
      <c r="J320" s="56"/>
      <c r="K320" s="57"/>
      <c r="M320" s="14"/>
      <c r="N320" s="14"/>
      <c r="O320" s="14"/>
      <c r="P320" s="14"/>
      <c r="Q320" s="14"/>
      <c r="R320" s="14"/>
      <c r="S320" s="14"/>
      <c r="T320" s="70"/>
      <c r="U320" s="76">
        <v>14.7</v>
      </c>
      <c r="V320" s="76">
        <v>520</v>
      </c>
      <c r="W320" s="76">
        <v>14.7</v>
      </c>
      <c r="X320" s="76">
        <v>520</v>
      </c>
      <c r="Y320" s="77" t="s">
        <v>37</v>
      </c>
      <c r="Z320" s="78" t="s">
        <v>631</v>
      </c>
      <c r="AA320" s="79" t="s">
        <v>277</v>
      </c>
      <c r="AB320" s="79" t="s">
        <v>35</v>
      </c>
      <c r="AC320" s="79" t="s">
        <v>35</v>
      </c>
      <c r="AD320" s="79"/>
      <c r="AE320" s="79" t="s">
        <v>632</v>
      </c>
      <c r="AF320" s="106" t="s">
        <v>633</v>
      </c>
      <c r="AG320" s="79" t="s">
        <v>634</v>
      </c>
      <c r="AH320" s="79"/>
      <c r="AI320" s="53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</row>
    <row r="321" spans="1:110" ht="20.399999999999999" x14ac:dyDescent="0.25">
      <c r="A321" s="24">
        <v>1202006</v>
      </c>
      <c r="B321" s="18" t="s">
        <v>567</v>
      </c>
      <c r="C321" s="31" t="s">
        <v>639</v>
      </c>
      <c r="D321" s="26" t="s">
        <v>627</v>
      </c>
      <c r="E321" s="10" t="s">
        <v>628</v>
      </c>
      <c r="F321" s="10" t="s">
        <v>607</v>
      </c>
      <c r="G321" s="55">
        <f t="shared" si="10"/>
        <v>541.5</v>
      </c>
      <c r="H321" s="10" t="s">
        <v>629</v>
      </c>
      <c r="I321" s="13" t="s">
        <v>630</v>
      </c>
      <c r="J321" s="56"/>
      <c r="K321" s="57"/>
      <c r="M321" s="14"/>
      <c r="N321" s="14"/>
      <c r="O321" s="14"/>
      <c r="P321" s="14"/>
      <c r="Q321" s="14"/>
      <c r="R321" s="14"/>
      <c r="S321" s="14"/>
      <c r="T321" s="70"/>
      <c r="U321" s="76">
        <v>21.5</v>
      </c>
      <c r="V321" s="76">
        <v>520</v>
      </c>
      <c r="W321" s="76">
        <v>21.5</v>
      </c>
      <c r="X321" s="76">
        <v>520</v>
      </c>
      <c r="Y321" s="77" t="s">
        <v>37</v>
      </c>
      <c r="Z321" s="78" t="s">
        <v>631</v>
      </c>
      <c r="AA321" s="79" t="s">
        <v>277</v>
      </c>
      <c r="AB321" s="79" t="s">
        <v>35</v>
      </c>
      <c r="AC321" s="79" t="s">
        <v>35</v>
      </c>
      <c r="AD321" s="79"/>
      <c r="AE321" s="79" t="s">
        <v>632</v>
      </c>
      <c r="AF321" s="106" t="s">
        <v>633</v>
      </c>
      <c r="AG321" s="79" t="s">
        <v>634</v>
      </c>
      <c r="AH321" s="79"/>
      <c r="AI321" s="53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</row>
    <row r="322" spans="1:110" ht="20.399999999999999" x14ac:dyDescent="0.25">
      <c r="A322" s="24">
        <v>1202007</v>
      </c>
      <c r="B322" s="18" t="s">
        <v>567</v>
      </c>
      <c r="C322" s="31" t="s">
        <v>640</v>
      </c>
      <c r="D322" s="26" t="s">
        <v>627</v>
      </c>
      <c r="E322" s="10" t="s">
        <v>628</v>
      </c>
      <c r="F322" s="10" t="s">
        <v>607</v>
      </c>
      <c r="G322" s="55">
        <f t="shared" si="10"/>
        <v>543.5</v>
      </c>
      <c r="H322" s="10" t="s">
        <v>629</v>
      </c>
      <c r="I322" s="13" t="s">
        <v>630</v>
      </c>
      <c r="J322" s="56"/>
      <c r="K322" s="57"/>
      <c r="M322" s="14"/>
      <c r="N322" s="14"/>
      <c r="O322" s="14"/>
      <c r="P322" s="14"/>
      <c r="Q322" s="14"/>
      <c r="R322" s="14"/>
      <c r="S322" s="14"/>
      <c r="T322" s="70"/>
      <c r="U322" s="76">
        <v>23.5</v>
      </c>
      <c r="V322" s="76">
        <v>520</v>
      </c>
      <c r="W322" s="76">
        <v>23.5</v>
      </c>
      <c r="X322" s="76">
        <v>520</v>
      </c>
      <c r="Y322" s="77" t="s">
        <v>37</v>
      </c>
      <c r="Z322" s="78" t="s">
        <v>631</v>
      </c>
      <c r="AA322" s="79" t="s">
        <v>277</v>
      </c>
      <c r="AB322" s="79" t="s">
        <v>35</v>
      </c>
      <c r="AC322" s="79" t="s">
        <v>35</v>
      </c>
      <c r="AD322" s="79"/>
      <c r="AE322" s="79" t="s">
        <v>632</v>
      </c>
      <c r="AF322" s="106" t="s">
        <v>633</v>
      </c>
      <c r="AG322" s="79" t="s">
        <v>634</v>
      </c>
      <c r="AH322" s="79"/>
      <c r="AI322" s="53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</row>
    <row r="323" spans="1:110" ht="20.399999999999999" x14ac:dyDescent="0.25">
      <c r="A323" s="24">
        <v>1202008</v>
      </c>
      <c r="B323" s="18" t="s">
        <v>589</v>
      </c>
      <c r="C323" s="31" t="s">
        <v>641</v>
      </c>
      <c r="D323" s="26" t="s">
        <v>627</v>
      </c>
      <c r="E323" s="10" t="s">
        <v>628</v>
      </c>
      <c r="F323" s="10" t="s">
        <v>607</v>
      </c>
      <c r="G323" s="55">
        <f t="shared" si="10"/>
        <v>537</v>
      </c>
      <c r="H323" s="10" t="s">
        <v>629</v>
      </c>
      <c r="I323" s="13" t="s">
        <v>630</v>
      </c>
      <c r="J323" s="56"/>
      <c r="K323" s="57"/>
      <c r="M323" s="14"/>
      <c r="N323" s="14"/>
      <c r="O323" s="14"/>
      <c r="P323" s="14"/>
      <c r="Q323" s="14"/>
      <c r="R323" s="14"/>
      <c r="S323" s="14"/>
      <c r="T323" s="70"/>
      <c r="U323" s="76">
        <v>17</v>
      </c>
      <c r="V323" s="76">
        <v>520</v>
      </c>
      <c r="W323" s="76">
        <v>17</v>
      </c>
      <c r="X323" s="76">
        <v>520</v>
      </c>
      <c r="Y323" s="77" t="s">
        <v>37</v>
      </c>
      <c r="Z323" s="78" t="s">
        <v>631</v>
      </c>
      <c r="AA323" s="79" t="s">
        <v>277</v>
      </c>
      <c r="AB323" s="79" t="s">
        <v>35</v>
      </c>
      <c r="AC323" s="79" t="s">
        <v>35</v>
      </c>
      <c r="AD323" s="79"/>
      <c r="AE323" s="79" t="s">
        <v>632</v>
      </c>
      <c r="AF323" s="106" t="s">
        <v>633</v>
      </c>
      <c r="AG323" s="79" t="s">
        <v>634</v>
      </c>
      <c r="AH323" s="79"/>
      <c r="AI323" s="53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</row>
    <row r="324" spans="1:110" ht="13.8" x14ac:dyDescent="0.25">
      <c r="A324" s="24">
        <v>1202009</v>
      </c>
      <c r="B324" s="18" t="s">
        <v>567</v>
      </c>
      <c r="C324" s="31" t="s">
        <v>642</v>
      </c>
      <c r="D324" s="26"/>
      <c r="E324" s="10" t="s">
        <v>628</v>
      </c>
      <c r="F324" s="10" t="s">
        <v>607</v>
      </c>
      <c r="G324" s="55">
        <f t="shared" si="10"/>
        <v>547</v>
      </c>
      <c r="H324" s="10" t="s">
        <v>629</v>
      </c>
      <c r="I324" s="13" t="s">
        <v>630</v>
      </c>
      <c r="J324" s="56"/>
      <c r="K324" s="57"/>
      <c r="M324" s="14"/>
      <c r="N324" s="14"/>
      <c r="O324" s="14"/>
      <c r="P324" s="14"/>
      <c r="Q324" s="14"/>
      <c r="R324" s="14"/>
      <c r="S324" s="14"/>
      <c r="T324" s="70"/>
      <c r="U324" s="76">
        <v>27</v>
      </c>
      <c r="V324" s="76">
        <v>520</v>
      </c>
      <c r="W324" s="76">
        <v>27</v>
      </c>
      <c r="X324" s="76">
        <v>520</v>
      </c>
      <c r="Y324" s="77" t="s">
        <v>37</v>
      </c>
      <c r="Z324" s="78" t="s">
        <v>631</v>
      </c>
      <c r="AA324" s="79" t="s">
        <v>277</v>
      </c>
      <c r="AB324" s="79" t="s">
        <v>35</v>
      </c>
      <c r="AC324" s="79" t="s">
        <v>35</v>
      </c>
      <c r="AD324" s="79"/>
      <c r="AE324" s="79" t="s">
        <v>632</v>
      </c>
      <c r="AF324" s="106" t="s">
        <v>633</v>
      </c>
      <c r="AG324" s="79" t="s">
        <v>634</v>
      </c>
      <c r="AH324" s="79"/>
      <c r="AI324" s="53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</row>
    <row r="325" spans="1:110" ht="13.8" x14ac:dyDescent="0.25">
      <c r="A325" s="24">
        <v>1202010</v>
      </c>
      <c r="B325" s="18" t="s">
        <v>567</v>
      </c>
      <c r="C325" s="31" t="s">
        <v>643</v>
      </c>
      <c r="D325" s="26"/>
      <c r="E325" s="10" t="s">
        <v>189</v>
      </c>
      <c r="F325" s="10" t="s">
        <v>623</v>
      </c>
      <c r="G325" s="55" t="str">
        <f t="shared" si="10"/>
        <v>Obsolete</v>
      </c>
      <c r="H325" s="10"/>
      <c r="I325" s="13"/>
      <c r="J325" s="56"/>
      <c r="K325" s="57"/>
      <c r="M325" s="14"/>
      <c r="N325" s="14"/>
      <c r="O325" s="14"/>
      <c r="P325" s="14"/>
      <c r="Q325" s="14"/>
      <c r="R325" s="14"/>
      <c r="S325" s="14"/>
      <c r="T325" s="70"/>
      <c r="U325" s="76" t="s">
        <v>54</v>
      </c>
      <c r="V325" s="76">
        <v>0</v>
      </c>
      <c r="W325" s="76" t="s">
        <v>54</v>
      </c>
      <c r="X325" s="76">
        <v>0</v>
      </c>
      <c r="Y325" s="77" t="s">
        <v>37</v>
      </c>
      <c r="Z325" s="78"/>
      <c r="AA325" s="79" t="s">
        <v>189</v>
      </c>
      <c r="AB325" s="79" t="s">
        <v>37</v>
      </c>
      <c r="AC325" s="79" t="s">
        <v>35</v>
      </c>
      <c r="AD325" s="91" t="s">
        <v>57</v>
      </c>
      <c r="AE325" s="79"/>
      <c r="AF325" s="106"/>
      <c r="AG325" s="79"/>
      <c r="AH325" s="79"/>
      <c r="AI325" s="53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</row>
    <row r="326" spans="1:110" ht="13.8" x14ac:dyDescent="0.25">
      <c r="A326" s="24">
        <v>1202011</v>
      </c>
      <c r="B326" s="18" t="s">
        <v>567</v>
      </c>
      <c r="C326" s="31" t="s">
        <v>644</v>
      </c>
      <c r="D326" s="26"/>
      <c r="E326" s="10" t="s">
        <v>189</v>
      </c>
      <c r="F326" s="10" t="s">
        <v>623</v>
      </c>
      <c r="G326" s="55" t="str">
        <f t="shared" si="10"/>
        <v>Obsolete</v>
      </c>
      <c r="H326" s="10"/>
      <c r="I326" s="13"/>
      <c r="J326" s="56"/>
      <c r="K326" s="57"/>
      <c r="M326" s="14"/>
      <c r="N326" s="14"/>
      <c r="O326" s="14"/>
      <c r="P326" s="14"/>
      <c r="Q326" s="14"/>
      <c r="R326" s="14"/>
      <c r="S326" s="14"/>
      <c r="T326" s="70"/>
      <c r="U326" s="76" t="s">
        <v>54</v>
      </c>
      <c r="V326" s="76">
        <v>0</v>
      </c>
      <c r="W326" s="76" t="s">
        <v>54</v>
      </c>
      <c r="X326" s="76">
        <v>0</v>
      </c>
      <c r="Y326" s="77" t="s">
        <v>37</v>
      </c>
      <c r="Z326" s="78"/>
      <c r="AA326" s="79" t="s">
        <v>189</v>
      </c>
      <c r="AB326" s="79" t="s">
        <v>37</v>
      </c>
      <c r="AC326" s="79" t="s">
        <v>35</v>
      </c>
      <c r="AD326" s="91" t="s">
        <v>57</v>
      </c>
      <c r="AE326" s="79"/>
      <c r="AF326" s="106"/>
      <c r="AG326" s="79"/>
      <c r="AH326" s="79"/>
      <c r="AI326" s="53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</row>
    <row r="327" spans="1:110" ht="13.8" x14ac:dyDescent="0.25">
      <c r="A327" s="24">
        <v>1203001</v>
      </c>
      <c r="B327" s="11" t="s">
        <v>567</v>
      </c>
      <c r="C327" s="12" t="s">
        <v>645</v>
      </c>
      <c r="D327" s="11"/>
      <c r="E327" s="10" t="s">
        <v>569</v>
      </c>
      <c r="F327" s="10" t="s">
        <v>34</v>
      </c>
      <c r="G327" s="55">
        <f t="shared" si="10"/>
        <v>6</v>
      </c>
      <c r="H327" s="10"/>
      <c r="I327" s="13"/>
      <c r="J327" s="56"/>
      <c r="K327" s="57"/>
      <c r="M327" s="14"/>
      <c r="N327" s="14"/>
      <c r="O327" s="14"/>
      <c r="P327" s="14"/>
      <c r="Q327" s="14"/>
      <c r="R327" s="14"/>
      <c r="S327" s="14"/>
      <c r="T327" s="70"/>
      <c r="U327" s="76">
        <v>6</v>
      </c>
      <c r="V327" s="76"/>
      <c r="W327" s="76">
        <v>6</v>
      </c>
      <c r="X327" s="76"/>
      <c r="Y327" s="97"/>
      <c r="Z327" s="78"/>
      <c r="AA327" s="79" t="s">
        <v>55</v>
      </c>
      <c r="AB327" s="79" t="s">
        <v>37</v>
      </c>
      <c r="AC327" s="79" t="s">
        <v>37</v>
      </c>
      <c r="AD327" s="79"/>
      <c r="AE327" s="79"/>
      <c r="AF327" s="79"/>
      <c r="AG327" s="79"/>
      <c r="AH327" s="79"/>
      <c r="AI327" s="53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</row>
    <row r="328" spans="1:110" ht="13.8" x14ac:dyDescent="0.25">
      <c r="A328" s="24">
        <v>1203002</v>
      </c>
      <c r="B328" s="11" t="s">
        <v>567</v>
      </c>
      <c r="C328" s="12" t="s">
        <v>646</v>
      </c>
      <c r="D328" s="11"/>
      <c r="E328" s="10" t="s">
        <v>569</v>
      </c>
      <c r="F328" s="10" t="s">
        <v>34</v>
      </c>
      <c r="G328" s="55">
        <f t="shared" si="10"/>
        <v>6</v>
      </c>
      <c r="H328" s="10"/>
      <c r="I328" s="13"/>
      <c r="J328" s="56"/>
      <c r="K328" s="57"/>
      <c r="M328" s="14"/>
      <c r="N328" s="14"/>
      <c r="O328" s="14"/>
      <c r="P328" s="14"/>
      <c r="Q328" s="14"/>
      <c r="R328" s="14"/>
      <c r="S328" s="14"/>
      <c r="T328" s="70"/>
      <c r="U328" s="76">
        <v>6</v>
      </c>
      <c r="V328" s="76"/>
      <c r="W328" s="76">
        <v>6</v>
      </c>
      <c r="X328" s="76"/>
      <c r="Y328" s="97"/>
      <c r="Z328" s="78"/>
      <c r="AA328" s="79" t="s">
        <v>55</v>
      </c>
      <c r="AB328" s="79" t="s">
        <v>37</v>
      </c>
      <c r="AC328" s="79" t="s">
        <v>37</v>
      </c>
      <c r="AD328" s="79"/>
      <c r="AE328" s="79"/>
      <c r="AF328" s="79"/>
      <c r="AG328" s="79"/>
      <c r="AH328" s="79"/>
      <c r="AI328" s="53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</row>
    <row r="329" spans="1:110" ht="20.399999999999999" x14ac:dyDescent="0.25">
      <c r="A329" s="24">
        <v>1203003</v>
      </c>
      <c r="B329" s="11" t="s">
        <v>567</v>
      </c>
      <c r="C329" s="25" t="s">
        <v>647</v>
      </c>
      <c r="D329" s="26"/>
      <c r="E329" s="10" t="s">
        <v>648</v>
      </c>
      <c r="F329" s="10" t="s">
        <v>34</v>
      </c>
      <c r="G329" s="55">
        <f t="shared" si="10"/>
        <v>35</v>
      </c>
      <c r="H329" s="10">
        <v>2</v>
      </c>
      <c r="I329" s="13"/>
      <c r="J329" s="56"/>
      <c r="K329" s="57"/>
      <c r="M329" s="14"/>
      <c r="N329" s="14"/>
      <c r="O329" s="14"/>
      <c r="P329" s="14"/>
      <c r="Q329" s="14"/>
      <c r="R329" s="14"/>
      <c r="S329" s="14"/>
      <c r="T329" s="70"/>
      <c r="U329" s="76">
        <v>35</v>
      </c>
      <c r="V329" s="76"/>
      <c r="W329" s="76">
        <v>35</v>
      </c>
      <c r="X329" s="76"/>
      <c r="Y329" s="97"/>
      <c r="Z329" s="107"/>
      <c r="AA329" s="79"/>
      <c r="AB329" s="79" t="s">
        <v>37</v>
      </c>
      <c r="AC329" s="79" t="s">
        <v>37</v>
      </c>
      <c r="AD329" s="79"/>
      <c r="AE329" s="79"/>
      <c r="AF329" s="79"/>
      <c r="AG329" s="79"/>
      <c r="AH329" s="79"/>
      <c r="AI329" s="53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</row>
    <row r="330" spans="1:110" ht="20.399999999999999" x14ac:dyDescent="0.25">
      <c r="A330" s="24">
        <v>1203004</v>
      </c>
      <c r="B330" s="11" t="s">
        <v>567</v>
      </c>
      <c r="C330" s="25" t="s">
        <v>649</v>
      </c>
      <c r="D330" s="26"/>
      <c r="E330" s="10" t="s">
        <v>648</v>
      </c>
      <c r="F330" s="10" t="s">
        <v>34</v>
      </c>
      <c r="G330" s="55">
        <f t="shared" si="10"/>
        <v>35</v>
      </c>
      <c r="H330" s="10">
        <v>2</v>
      </c>
      <c r="I330" s="13"/>
      <c r="J330" s="56"/>
      <c r="K330" s="57"/>
      <c r="M330" s="14"/>
      <c r="N330" s="14"/>
      <c r="O330" s="14"/>
      <c r="P330" s="14"/>
      <c r="Q330" s="14"/>
      <c r="R330" s="14"/>
      <c r="S330" s="14"/>
      <c r="T330" s="70"/>
      <c r="U330" s="76">
        <v>35</v>
      </c>
      <c r="V330" s="76"/>
      <c r="W330" s="76">
        <v>35</v>
      </c>
      <c r="X330" s="76"/>
      <c r="Y330" s="97"/>
      <c r="Z330" s="107"/>
      <c r="AA330" s="79"/>
      <c r="AB330" s="79" t="s">
        <v>37</v>
      </c>
      <c r="AC330" s="79" t="s">
        <v>37</v>
      </c>
      <c r="AD330" s="79"/>
      <c r="AE330" s="79"/>
      <c r="AF330" s="79"/>
      <c r="AG330" s="79"/>
      <c r="AH330" s="79"/>
      <c r="AI330" s="53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</row>
    <row r="331" spans="1:110" ht="13.8" x14ac:dyDescent="0.25">
      <c r="A331" s="24">
        <v>1203005</v>
      </c>
      <c r="B331" s="11" t="s">
        <v>589</v>
      </c>
      <c r="C331" s="12" t="s">
        <v>650</v>
      </c>
      <c r="D331" s="11"/>
      <c r="E331" s="17" t="s">
        <v>57</v>
      </c>
      <c r="F331" s="10" t="s">
        <v>34</v>
      </c>
      <c r="G331" s="55" t="str">
        <f t="shared" si="10"/>
        <v>Obsolete</v>
      </c>
      <c r="H331" s="10"/>
      <c r="I331" s="13"/>
      <c r="J331" s="56"/>
      <c r="K331" s="57"/>
      <c r="M331" s="14"/>
      <c r="N331" s="14"/>
      <c r="O331" s="14"/>
      <c r="P331" s="14"/>
      <c r="Q331" s="14"/>
      <c r="R331" s="14"/>
      <c r="S331" s="14"/>
      <c r="T331" s="70"/>
      <c r="U331" s="76" t="s">
        <v>54</v>
      </c>
      <c r="V331" s="76"/>
      <c r="W331" s="76" t="s">
        <v>54</v>
      </c>
      <c r="X331" s="76"/>
      <c r="Y331" s="97"/>
      <c r="Z331" s="78"/>
      <c r="AA331" s="79" t="s">
        <v>55</v>
      </c>
      <c r="AB331" s="79" t="s">
        <v>37</v>
      </c>
      <c r="AC331" s="79" t="s">
        <v>37</v>
      </c>
      <c r="AD331" s="79"/>
      <c r="AE331" s="79"/>
      <c r="AF331" s="79"/>
      <c r="AG331" s="79"/>
      <c r="AH331" s="79"/>
      <c r="AI331" s="53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</row>
    <row r="332" spans="1:110" ht="13.8" x14ac:dyDescent="0.25">
      <c r="A332" s="24">
        <v>1203006</v>
      </c>
      <c r="B332" s="11"/>
      <c r="C332" s="12" t="s">
        <v>651</v>
      </c>
      <c r="D332" s="11"/>
      <c r="E332" s="17" t="s">
        <v>57</v>
      </c>
      <c r="F332" s="10" t="s">
        <v>557</v>
      </c>
      <c r="G332" s="55" t="str">
        <f t="shared" si="10"/>
        <v>Obsolete</v>
      </c>
      <c r="H332" s="10"/>
      <c r="I332" s="13"/>
      <c r="J332" s="56"/>
      <c r="K332" s="57"/>
      <c r="M332" s="14"/>
      <c r="N332" s="14"/>
      <c r="O332" s="14"/>
      <c r="P332" s="14"/>
      <c r="Q332" s="14"/>
      <c r="R332" s="14"/>
      <c r="S332" s="14"/>
      <c r="T332" s="70"/>
      <c r="U332" s="76" t="s">
        <v>54</v>
      </c>
      <c r="V332" s="76"/>
      <c r="W332" s="76" t="s">
        <v>54</v>
      </c>
      <c r="X332" s="76"/>
      <c r="Y332" s="97"/>
      <c r="Z332" s="78"/>
      <c r="AA332" s="79" t="s">
        <v>55</v>
      </c>
      <c r="AB332" s="79" t="s">
        <v>37</v>
      </c>
      <c r="AC332" s="79" t="s">
        <v>37</v>
      </c>
      <c r="AD332" s="79"/>
      <c r="AE332" s="79"/>
      <c r="AF332" s="79"/>
      <c r="AG332" s="79"/>
      <c r="AH332" s="79"/>
      <c r="AI332" s="53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</row>
    <row r="333" spans="1:110" ht="13.8" x14ac:dyDescent="0.25">
      <c r="A333" s="24">
        <v>1203007</v>
      </c>
      <c r="B333" s="11"/>
      <c r="C333" s="12" t="s">
        <v>652</v>
      </c>
      <c r="D333" s="11"/>
      <c r="E333" s="17" t="s">
        <v>57</v>
      </c>
      <c r="F333" s="10" t="s">
        <v>557</v>
      </c>
      <c r="G333" s="55" t="str">
        <f t="shared" si="10"/>
        <v>Obsolete</v>
      </c>
      <c r="H333" s="10"/>
      <c r="I333" s="13"/>
      <c r="J333" s="56"/>
      <c r="K333" s="57"/>
      <c r="M333" s="14"/>
      <c r="N333" s="14"/>
      <c r="O333" s="14"/>
      <c r="P333" s="14"/>
      <c r="Q333" s="14"/>
      <c r="R333" s="14"/>
      <c r="S333" s="14"/>
      <c r="T333" s="70"/>
      <c r="U333" s="76" t="s">
        <v>54</v>
      </c>
      <c r="V333" s="76"/>
      <c r="W333" s="76" t="s">
        <v>54</v>
      </c>
      <c r="X333" s="76"/>
      <c r="Y333" s="97"/>
      <c r="Z333" s="78"/>
      <c r="AA333" s="79" t="s">
        <v>55</v>
      </c>
      <c r="AB333" s="79" t="s">
        <v>37</v>
      </c>
      <c r="AC333" s="79" t="s">
        <v>37</v>
      </c>
      <c r="AD333" s="79"/>
      <c r="AE333" s="79"/>
      <c r="AF333" s="79"/>
      <c r="AG333" s="79"/>
      <c r="AH333" s="79"/>
      <c r="AI333" s="53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</row>
    <row r="334" spans="1:110" ht="13.8" x14ac:dyDescent="0.25">
      <c r="A334" s="24">
        <v>1203008</v>
      </c>
      <c r="B334" s="11"/>
      <c r="C334" s="12" t="s">
        <v>653</v>
      </c>
      <c r="D334" s="11"/>
      <c r="E334" s="17" t="s">
        <v>57</v>
      </c>
      <c r="F334" s="10" t="s">
        <v>557</v>
      </c>
      <c r="G334" s="55" t="str">
        <f t="shared" si="10"/>
        <v>Obsolete</v>
      </c>
      <c r="H334" s="10"/>
      <c r="I334" s="13"/>
      <c r="J334" s="56"/>
      <c r="K334" s="57"/>
      <c r="M334" s="14"/>
      <c r="N334" s="14"/>
      <c r="O334" s="14"/>
      <c r="P334" s="14"/>
      <c r="Q334" s="14"/>
      <c r="R334" s="14"/>
      <c r="S334" s="14"/>
      <c r="T334" s="70"/>
      <c r="U334" s="76" t="s">
        <v>54</v>
      </c>
      <c r="V334" s="76"/>
      <c r="W334" s="76" t="s">
        <v>54</v>
      </c>
      <c r="X334" s="76"/>
      <c r="Y334" s="97"/>
      <c r="Z334" s="78"/>
      <c r="AA334" s="79" t="s">
        <v>55</v>
      </c>
      <c r="AB334" s="79" t="s">
        <v>37</v>
      </c>
      <c r="AC334" s="79" t="s">
        <v>37</v>
      </c>
      <c r="AD334" s="79"/>
      <c r="AE334" s="79"/>
      <c r="AF334" s="79"/>
      <c r="AG334" s="79"/>
      <c r="AH334" s="79"/>
      <c r="AI334" s="53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</row>
    <row r="335" spans="1:110" ht="13.8" x14ac:dyDescent="0.25">
      <c r="A335" s="24">
        <v>1203009</v>
      </c>
      <c r="B335" s="11"/>
      <c r="C335" s="12" t="s">
        <v>654</v>
      </c>
      <c r="D335" s="11"/>
      <c r="E335" s="17" t="s">
        <v>57</v>
      </c>
      <c r="F335" s="10" t="s">
        <v>34</v>
      </c>
      <c r="G335" s="55" t="str">
        <f t="shared" si="10"/>
        <v>Obsolete</v>
      </c>
      <c r="H335" s="10"/>
      <c r="I335" s="13"/>
      <c r="J335" s="56"/>
      <c r="K335" s="57"/>
      <c r="M335" s="14"/>
      <c r="N335" s="14"/>
      <c r="O335" s="14"/>
      <c r="P335" s="14"/>
      <c r="Q335" s="14"/>
      <c r="R335" s="14"/>
      <c r="S335" s="14"/>
      <c r="T335" s="70"/>
      <c r="U335" s="76" t="s">
        <v>54</v>
      </c>
      <c r="V335" s="76"/>
      <c r="W335" s="76" t="s">
        <v>54</v>
      </c>
      <c r="X335" s="76"/>
      <c r="Y335" s="97"/>
      <c r="Z335" s="78"/>
      <c r="AA335" s="79" t="s">
        <v>55</v>
      </c>
      <c r="AB335" s="79" t="s">
        <v>37</v>
      </c>
      <c r="AC335" s="79" t="s">
        <v>37</v>
      </c>
      <c r="AD335" s="79"/>
      <c r="AE335" s="79"/>
      <c r="AF335" s="79"/>
      <c r="AG335" s="79"/>
      <c r="AH335" s="79"/>
      <c r="AI335" s="53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</row>
    <row r="336" spans="1:110" ht="13.8" x14ac:dyDescent="0.25">
      <c r="A336" s="24">
        <v>1203010</v>
      </c>
      <c r="B336" s="11"/>
      <c r="C336" s="12" t="s">
        <v>655</v>
      </c>
      <c r="D336" s="11"/>
      <c r="E336" s="17" t="s">
        <v>57</v>
      </c>
      <c r="F336" s="10" t="s">
        <v>34</v>
      </c>
      <c r="G336" s="55" t="str">
        <f t="shared" si="10"/>
        <v>Obsolete</v>
      </c>
      <c r="H336" s="10"/>
      <c r="I336" s="13"/>
      <c r="J336" s="56"/>
      <c r="K336" s="57"/>
      <c r="M336" s="14"/>
      <c r="N336" s="14"/>
      <c r="O336" s="14"/>
      <c r="P336" s="14"/>
      <c r="Q336" s="14"/>
      <c r="R336" s="14"/>
      <c r="S336" s="14"/>
      <c r="T336" s="70"/>
      <c r="U336" s="76" t="s">
        <v>54</v>
      </c>
      <c r="V336" s="76"/>
      <c r="W336" s="76" t="s">
        <v>54</v>
      </c>
      <c r="X336" s="76"/>
      <c r="Y336" s="97"/>
      <c r="Z336" s="78"/>
      <c r="AA336" s="79" t="s">
        <v>55</v>
      </c>
      <c r="AB336" s="79" t="s">
        <v>37</v>
      </c>
      <c r="AC336" s="79" t="s">
        <v>37</v>
      </c>
      <c r="AD336" s="79"/>
      <c r="AE336" s="79"/>
      <c r="AF336" s="79"/>
      <c r="AG336" s="79"/>
      <c r="AH336" s="79"/>
      <c r="AI336" s="53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</row>
    <row r="337" spans="1:110" ht="13.8" x14ac:dyDescent="0.25">
      <c r="A337" s="24">
        <v>1203011</v>
      </c>
      <c r="B337" s="26"/>
      <c r="C337" s="25" t="s">
        <v>656</v>
      </c>
      <c r="D337" s="26"/>
      <c r="E337" s="17" t="s">
        <v>57</v>
      </c>
      <c r="F337" s="10" t="s">
        <v>34</v>
      </c>
      <c r="G337" s="55" t="str">
        <f t="shared" si="10"/>
        <v>Obsolete</v>
      </c>
      <c r="H337" s="10"/>
      <c r="I337" s="13"/>
      <c r="J337" s="56"/>
      <c r="K337" s="57"/>
      <c r="M337" s="14"/>
      <c r="N337" s="14"/>
      <c r="O337" s="14"/>
      <c r="P337" s="14"/>
      <c r="Q337" s="14"/>
      <c r="R337" s="14"/>
      <c r="S337" s="14"/>
      <c r="T337" s="70"/>
      <c r="U337" s="76" t="s">
        <v>54</v>
      </c>
      <c r="V337" s="76"/>
      <c r="W337" s="76" t="s">
        <v>54</v>
      </c>
      <c r="X337" s="76"/>
      <c r="Y337" s="97"/>
      <c r="Z337" s="87"/>
      <c r="AA337" s="79"/>
      <c r="AB337" s="79" t="s">
        <v>37</v>
      </c>
      <c r="AC337" s="79" t="s">
        <v>37</v>
      </c>
      <c r="AD337" s="79"/>
      <c r="AE337" s="79"/>
      <c r="AF337" s="79"/>
      <c r="AG337" s="79"/>
      <c r="AH337" s="79"/>
      <c r="AI337" s="53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</row>
    <row r="338" spans="1:110" ht="13.8" x14ac:dyDescent="0.25">
      <c r="A338" s="24">
        <v>1203012</v>
      </c>
      <c r="B338" s="11" t="s">
        <v>657</v>
      </c>
      <c r="C338" s="12" t="s">
        <v>658</v>
      </c>
      <c r="D338" s="11"/>
      <c r="E338" s="10" t="s">
        <v>55</v>
      </c>
      <c r="F338" s="10" t="s">
        <v>34</v>
      </c>
      <c r="G338" s="55" t="str">
        <f t="shared" si="10"/>
        <v>Obsolete</v>
      </c>
      <c r="H338" s="10">
        <v>1</v>
      </c>
      <c r="I338" s="13"/>
      <c r="J338" s="56"/>
      <c r="K338" s="57"/>
      <c r="M338" s="14">
        <v>42.2</v>
      </c>
      <c r="N338" s="14"/>
      <c r="O338" s="14"/>
      <c r="P338" s="14"/>
      <c r="Q338" s="14"/>
      <c r="R338" s="14"/>
      <c r="S338" s="14"/>
      <c r="T338" s="70"/>
      <c r="U338" s="76" t="s">
        <v>54</v>
      </c>
      <c r="V338" s="76"/>
      <c r="W338" s="76" t="s">
        <v>54</v>
      </c>
      <c r="X338" s="76"/>
      <c r="Y338" s="97"/>
      <c r="Z338" s="78"/>
      <c r="AA338" s="79" t="s">
        <v>55</v>
      </c>
      <c r="AB338" s="79" t="s">
        <v>37</v>
      </c>
      <c r="AC338" s="79" t="s">
        <v>37</v>
      </c>
      <c r="AD338" s="79"/>
      <c r="AE338" s="79"/>
      <c r="AF338" s="79"/>
      <c r="AG338" s="79"/>
      <c r="AH338" s="79"/>
      <c r="AI338" s="53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</row>
    <row r="339" spans="1:110" ht="13.8" x14ac:dyDescent="0.25">
      <c r="A339" s="24">
        <v>1203013</v>
      </c>
      <c r="B339" s="11"/>
      <c r="C339" s="12" t="s">
        <v>659</v>
      </c>
      <c r="D339" s="11"/>
      <c r="E339" s="17" t="s">
        <v>57</v>
      </c>
      <c r="F339" s="10" t="s">
        <v>34</v>
      </c>
      <c r="G339" s="55" t="str">
        <f t="shared" si="10"/>
        <v>Obsolete</v>
      </c>
      <c r="H339" s="10"/>
      <c r="I339" s="13"/>
      <c r="J339" s="56"/>
      <c r="K339" s="57"/>
      <c r="M339" s="14"/>
      <c r="N339" s="14"/>
      <c r="O339" s="14"/>
      <c r="P339" s="14"/>
      <c r="Q339" s="14"/>
      <c r="R339" s="14"/>
      <c r="S339" s="14"/>
      <c r="T339" s="70"/>
      <c r="U339" s="76" t="s">
        <v>54</v>
      </c>
      <c r="V339" s="76"/>
      <c r="W339" s="76" t="s">
        <v>54</v>
      </c>
      <c r="X339" s="76"/>
      <c r="Y339" s="97"/>
      <c r="Z339" s="78"/>
      <c r="AA339" s="79" t="s">
        <v>55</v>
      </c>
      <c r="AB339" s="79" t="s">
        <v>37</v>
      </c>
      <c r="AC339" s="79" t="s">
        <v>37</v>
      </c>
      <c r="AD339" s="79"/>
      <c r="AE339" s="79"/>
      <c r="AF339" s="79"/>
      <c r="AG339" s="79"/>
      <c r="AH339" s="79"/>
      <c r="AI339" s="53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</row>
    <row r="340" spans="1:110" ht="13.8" x14ac:dyDescent="0.25">
      <c r="A340" s="24">
        <v>1203014</v>
      </c>
      <c r="B340" s="11"/>
      <c r="C340" s="12" t="s">
        <v>660</v>
      </c>
      <c r="D340" s="11"/>
      <c r="E340" s="17" t="s">
        <v>57</v>
      </c>
      <c r="F340" s="10" t="s">
        <v>34</v>
      </c>
      <c r="G340" s="55" t="str">
        <f t="shared" si="10"/>
        <v>Obsolete</v>
      </c>
      <c r="H340" s="10"/>
      <c r="I340" s="13"/>
      <c r="J340" s="56"/>
      <c r="K340" s="57"/>
      <c r="M340" s="14"/>
      <c r="N340" s="14"/>
      <c r="O340" s="14"/>
      <c r="P340" s="14"/>
      <c r="Q340" s="14"/>
      <c r="R340" s="14"/>
      <c r="S340" s="14"/>
      <c r="T340" s="70"/>
      <c r="U340" s="76" t="s">
        <v>54</v>
      </c>
      <c r="V340" s="76"/>
      <c r="W340" s="76" t="s">
        <v>54</v>
      </c>
      <c r="X340" s="76"/>
      <c r="Y340" s="97"/>
      <c r="Z340" s="78"/>
      <c r="AA340" s="79" t="s">
        <v>55</v>
      </c>
      <c r="AB340" s="79" t="s">
        <v>37</v>
      </c>
      <c r="AC340" s="79" t="s">
        <v>37</v>
      </c>
      <c r="AD340" s="79"/>
      <c r="AE340" s="79"/>
      <c r="AF340" s="79"/>
      <c r="AG340" s="79"/>
      <c r="AH340" s="79"/>
      <c r="AI340" s="53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</row>
    <row r="341" spans="1:110" ht="13.8" x14ac:dyDescent="0.25">
      <c r="A341" s="24">
        <v>1203015</v>
      </c>
      <c r="B341" s="11"/>
      <c r="C341" s="12" t="s">
        <v>661</v>
      </c>
      <c r="D341" s="11"/>
      <c r="E341" s="17" t="s">
        <v>57</v>
      </c>
      <c r="F341" s="10" t="s">
        <v>34</v>
      </c>
      <c r="G341" s="55" t="str">
        <f t="shared" si="10"/>
        <v>Obsolete</v>
      </c>
      <c r="H341" s="10"/>
      <c r="I341" s="13"/>
      <c r="J341" s="56"/>
      <c r="K341" s="57"/>
      <c r="M341" s="14"/>
      <c r="N341" s="14"/>
      <c r="O341" s="14"/>
      <c r="P341" s="14"/>
      <c r="Q341" s="14"/>
      <c r="R341" s="14"/>
      <c r="S341" s="14"/>
      <c r="T341" s="70"/>
      <c r="U341" s="76" t="s">
        <v>54</v>
      </c>
      <c r="V341" s="76"/>
      <c r="W341" s="76" t="s">
        <v>54</v>
      </c>
      <c r="X341" s="76"/>
      <c r="Y341" s="97"/>
      <c r="Z341" s="78"/>
      <c r="AA341" s="79" t="s">
        <v>55</v>
      </c>
      <c r="AB341" s="79" t="s">
        <v>37</v>
      </c>
      <c r="AC341" s="79" t="s">
        <v>37</v>
      </c>
      <c r="AD341" s="79"/>
      <c r="AE341" s="79"/>
      <c r="AF341" s="79"/>
      <c r="AG341" s="79"/>
      <c r="AH341" s="79"/>
      <c r="AI341" s="53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</row>
    <row r="342" spans="1:110" ht="20.399999999999999" x14ac:dyDescent="0.25">
      <c r="A342" s="24">
        <v>1203016</v>
      </c>
      <c r="B342" s="26"/>
      <c r="C342" s="25" t="s">
        <v>662</v>
      </c>
      <c r="D342" s="26"/>
      <c r="E342" s="17" t="s">
        <v>57</v>
      </c>
      <c r="F342" s="10" t="s">
        <v>34</v>
      </c>
      <c r="G342" s="55" t="str">
        <f t="shared" si="10"/>
        <v>Obsolete</v>
      </c>
      <c r="H342" s="10"/>
      <c r="I342" s="13"/>
      <c r="J342" s="56"/>
      <c r="K342" s="57"/>
      <c r="M342" s="14"/>
      <c r="N342" s="14"/>
      <c r="O342" s="14"/>
      <c r="P342" s="14"/>
      <c r="Q342" s="14"/>
      <c r="R342" s="14"/>
      <c r="S342" s="14"/>
      <c r="T342" s="70"/>
      <c r="U342" s="76" t="s">
        <v>54</v>
      </c>
      <c r="V342" s="76"/>
      <c r="W342" s="76" t="s">
        <v>54</v>
      </c>
      <c r="X342" s="76"/>
      <c r="Y342" s="97"/>
      <c r="Z342" s="87"/>
      <c r="AA342" s="79"/>
      <c r="AB342" s="79" t="s">
        <v>37</v>
      </c>
      <c r="AC342" s="79" t="s">
        <v>37</v>
      </c>
      <c r="AD342" s="79"/>
      <c r="AE342" s="79"/>
      <c r="AF342" s="79"/>
      <c r="AG342" s="79"/>
      <c r="AH342" s="79"/>
      <c r="AI342" s="53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</row>
    <row r="343" spans="1:110" ht="13.8" x14ac:dyDescent="0.25">
      <c r="A343" s="24">
        <v>1203017</v>
      </c>
      <c r="B343" s="11"/>
      <c r="C343" s="12" t="s">
        <v>663</v>
      </c>
      <c r="D343" s="11"/>
      <c r="E343" s="17" t="s">
        <v>57</v>
      </c>
      <c r="F343" s="10" t="s">
        <v>557</v>
      </c>
      <c r="G343" s="55" t="str">
        <f t="shared" si="10"/>
        <v>Obsolete</v>
      </c>
      <c r="H343" s="10"/>
      <c r="I343" s="13"/>
      <c r="J343" s="56"/>
      <c r="K343" s="57"/>
      <c r="M343" s="14"/>
      <c r="N343" s="14"/>
      <c r="O343" s="14"/>
      <c r="P343" s="14"/>
      <c r="Q343" s="14"/>
      <c r="R343" s="14"/>
      <c r="S343" s="14"/>
      <c r="T343" s="70"/>
      <c r="U343" s="76" t="s">
        <v>54</v>
      </c>
      <c r="V343" s="76"/>
      <c r="W343" s="76" t="s">
        <v>54</v>
      </c>
      <c r="X343" s="76"/>
      <c r="Y343" s="97"/>
      <c r="Z343" s="78"/>
      <c r="AA343" s="79" t="s">
        <v>55</v>
      </c>
      <c r="AB343" s="79" t="s">
        <v>37</v>
      </c>
      <c r="AC343" s="79" t="s">
        <v>37</v>
      </c>
      <c r="AD343" s="79"/>
      <c r="AE343" s="79"/>
      <c r="AF343" s="79"/>
      <c r="AG343" s="79"/>
      <c r="AH343" s="79"/>
      <c r="AI343" s="53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</row>
    <row r="344" spans="1:110" ht="13.8" x14ac:dyDescent="0.25">
      <c r="A344" s="24">
        <v>1203018</v>
      </c>
      <c r="B344" s="11"/>
      <c r="C344" s="12" t="s">
        <v>664</v>
      </c>
      <c r="D344" s="11"/>
      <c r="E344" s="17" t="s">
        <v>57</v>
      </c>
      <c r="F344" s="10" t="s">
        <v>34</v>
      </c>
      <c r="G344" s="55" t="str">
        <f t="shared" si="10"/>
        <v>Obsolete</v>
      </c>
      <c r="H344" s="10"/>
      <c r="I344" s="13"/>
      <c r="J344" s="56"/>
      <c r="K344" s="57"/>
      <c r="M344" s="14"/>
      <c r="N344" s="14"/>
      <c r="O344" s="14"/>
      <c r="P344" s="14"/>
      <c r="Q344" s="14"/>
      <c r="R344" s="14"/>
      <c r="S344" s="14"/>
      <c r="T344" s="70"/>
      <c r="U344" s="76" t="s">
        <v>54</v>
      </c>
      <c r="V344" s="76"/>
      <c r="W344" s="76" t="s">
        <v>54</v>
      </c>
      <c r="X344" s="76"/>
      <c r="Y344" s="97"/>
      <c r="Z344" s="78"/>
      <c r="AA344" s="79" t="s">
        <v>55</v>
      </c>
      <c r="AB344" s="79" t="s">
        <v>37</v>
      </c>
      <c r="AC344" s="79" t="s">
        <v>37</v>
      </c>
      <c r="AD344" s="79"/>
      <c r="AE344" s="79"/>
      <c r="AF344" s="79"/>
      <c r="AG344" s="79"/>
      <c r="AH344" s="79"/>
      <c r="AI344" s="53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</row>
    <row r="345" spans="1:110" ht="13.8" x14ac:dyDescent="0.25">
      <c r="A345" s="24">
        <v>1203020</v>
      </c>
      <c r="B345" s="11"/>
      <c r="C345" s="12" t="s">
        <v>665</v>
      </c>
      <c r="D345" s="11"/>
      <c r="E345" s="17" t="s">
        <v>57</v>
      </c>
      <c r="F345" s="10" t="s">
        <v>34</v>
      </c>
      <c r="G345" s="55" t="str">
        <f t="shared" si="10"/>
        <v>Obsolete</v>
      </c>
      <c r="H345" s="10"/>
      <c r="I345" s="13"/>
      <c r="J345" s="56"/>
      <c r="K345" s="57"/>
      <c r="M345" s="14"/>
      <c r="N345" s="14"/>
      <c r="O345" s="14"/>
      <c r="P345" s="14"/>
      <c r="Q345" s="14"/>
      <c r="R345" s="14"/>
      <c r="S345" s="14"/>
      <c r="T345" s="70"/>
      <c r="U345" s="76" t="s">
        <v>54</v>
      </c>
      <c r="V345" s="76"/>
      <c r="W345" s="76" t="s">
        <v>54</v>
      </c>
      <c r="X345" s="76"/>
      <c r="Y345" s="97"/>
      <c r="Z345" s="78"/>
      <c r="AA345" s="79" t="s">
        <v>55</v>
      </c>
      <c r="AB345" s="79" t="s">
        <v>37</v>
      </c>
      <c r="AC345" s="79" t="s">
        <v>37</v>
      </c>
      <c r="AD345" s="79"/>
      <c r="AE345" s="79"/>
      <c r="AF345" s="79"/>
      <c r="AG345" s="79"/>
      <c r="AH345" s="79"/>
      <c r="AI345" s="53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</row>
    <row r="346" spans="1:110" ht="20.399999999999999" x14ac:dyDescent="0.25">
      <c r="A346" s="24">
        <v>1203021</v>
      </c>
      <c r="B346" s="26"/>
      <c r="C346" s="25" t="s">
        <v>666</v>
      </c>
      <c r="D346" s="26"/>
      <c r="E346" s="17" t="s">
        <v>57</v>
      </c>
      <c r="F346" s="10" t="s">
        <v>34</v>
      </c>
      <c r="G346" s="55" t="str">
        <f t="shared" si="10"/>
        <v>Obsolete</v>
      </c>
      <c r="H346" s="10"/>
      <c r="I346" s="13"/>
      <c r="J346" s="56"/>
      <c r="K346" s="57"/>
      <c r="M346" s="14"/>
      <c r="N346" s="14"/>
      <c r="O346" s="14"/>
      <c r="P346" s="14"/>
      <c r="Q346" s="14"/>
      <c r="R346" s="14"/>
      <c r="S346" s="14"/>
      <c r="T346" s="70"/>
      <c r="U346" s="76" t="s">
        <v>54</v>
      </c>
      <c r="V346" s="76"/>
      <c r="W346" s="76" t="s">
        <v>54</v>
      </c>
      <c r="X346" s="76"/>
      <c r="Y346" s="97"/>
      <c r="Z346" s="87"/>
      <c r="AA346" s="79"/>
      <c r="AB346" s="79" t="s">
        <v>37</v>
      </c>
      <c r="AC346" s="79" t="s">
        <v>37</v>
      </c>
      <c r="AD346" s="79"/>
      <c r="AE346" s="79"/>
      <c r="AF346" s="79"/>
      <c r="AG346" s="79"/>
      <c r="AH346" s="79"/>
      <c r="AI346" s="53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</row>
    <row r="347" spans="1:110" ht="13.8" x14ac:dyDescent="0.25">
      <c r="A347" s="24">
        <v>1203022</v>
      </c>
      <c r="B347" s="11"/>
      <c r="C347" s="12" t="s">
        <v>667</v>
      </c>
      <c r="D347" s="11"/>
      <c r="E347" s="17" t="s">
        <v>57</v>
      </c>
      <c r="F347" s="10" t="s">
        <v>557</v>
      </c>
      <c r="G347" s="55" t="str">
        <f t="shared" si="10"/>
        <v>Obsolete</v>
      </c>
      <c r="H347" s="10"/>
      <c r="I347" s="13"/>
      <c r="J347" s="56"/>
      <c r="K347" s="57"/>
      <c r="M347" s="14"/>
      <c r="N347" s="14"/>
      <c r="O347" s="14"/>
      <c r="P347" s="14"/>
      <c r="Q347" s="14"/>
      <c r="R347" s="14"/>
      <c r="S347" s="14"/>
      <c r="T347" s="70"/>
      <c r="U347" s="76" t="s">
        <v>54</v>
      </c>
      <c r="V347" s="76"/>
      <c r="W347" s="76" t="s">
        <v>54</v>
      </c>
      <c r="X347" s="76"/>
      <c r="Y347" s="97"/>
      <c r="Z347" s="78"/>
      <c r="AA347" s="79" t="s">
        <v>55</v>
      </c>
      <c r="AB347" s="79" t="s">
        <v>37</v>
      </c>
      <c r="AC347" s="79" t="s">
        <v>37</v>
      </c>
      <c r="AD347" s="79"/>
      <c r="AE347" s="79"/>
      <c r="AF347" s="79"/>
      <c r="AG347" s="79"/>
      <c r="AH347" s="79"/>
      <c r="AI347" s="53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</row>
    <row r="348" spans="1:110" ht="13.8" x14ac:dyDescent="0.25">
      <c r="A348" s="24">
        <v>1203023</v>
      </c>
      <c r="B348" s="11"/>
      <c r="C348" s="12" t="s">
        <v>668</v>
      </c>
      <c r="D348" s="11"/>
      <c r="E348" s="10" t="s">
        <v>55</v>
      </c>
      <c r="F348" s="10" t="s">
        <v>34</v>
      </c>
      <c r="G348" s="55" t="str">
        <f t="shared" si="10"/>
        <v>Obsolete</v>
      </c>
      <c r="H348" s="10">
        <v>1</v>
      </c>
      <c r="I348" s="13"/>
      <c r="J348" s="56"/>
      <c r="K348" s="57"/>
      <c r="M348" s="14"/>
      <c r="N348" s="14"/>
      <c r="O348" s="14"/>
      <c r="P348" s="14"/>
      <c r="Q348" s="14"/>
      <c r="R348" s="14"/>
      <c r="S348" s="14"/>
      <c r="T348" s="70"/>
      <c r="U348" s="76" t="s">
        <v>54</v>
      </c>
      <c r="V348" s="76"/>
      <c r="W348" s="76" t="s">
        <v>54</v>
      </c>
      <c r="X348" s="76"/>
      <c r="Y348" s="97"/>
      <c r="Z348" s="78"/>
      <c r="AA348" s="79" t="s">
        <v>55</v>
      </c>
      <c r="AB348" s="79" t="s">
        <v>37</v>
      </c>
      <c r="AC348" s="79" t="s">
        <v>37</v>
      </c>
      <c r="AD348" s="79"/>
      <c r="AE348" s="79"/>
      <c r="AF348" s="79"/>
      <c r="AG348" s="79"/>
      <c r="AH348" s="79"/>
      <c r="AI348" s="53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</row>
    <row r="349" spans="1:110" ht="20.399999999999999" x14ac:dyDescent="0.25">
      <c r="A349" s="24">
        <v>1203024</v>
      </c>
      <c r="B349" s="26"/>
      <c r="C349" s="25" t="s">
        <v>669</v>
      </c>
      <c r="D349" s="26"/>
      <c r="E349" s="17" t="s">
        <v>57</v>
      </c>
      <c r="F349" s="10" t="s">
        <v>34</v>
      </c>
      <c r="G349" s="55" t="str">
        <f t="shared" si="10"/>
        <v>Obsolete</v>
      </c>
      <c r="H349" s="10"/>
      <c r="I349" s="13"/>
      <c r="J349" s="56"/>
      <c r="K349" s="57"/>
      <c r="M349" s="14"/>
      <c r="N349" s="14"/>
      <c r="O349" s="14"/>
      <c r="P349" s="14"/>
      <c r="Q349" s="14"/>
      <c r="R349" s="14"/>
      <c r="S349" s="14"/>
      <c r="T349" s="70"/>
      <c r="U349" s="76" t="s">
        <v>54</v>
      </c>
      <c r="V349" s="76"/>
      <c r="W349" s="76" t="s">
        <v>54</v>
      </c>
      <c r="X349" s="76"/>
      <c r="Y349" s="97"/>
      <c r="Z349" s="87"/>
      <c r="AA349" s="79"/>
      <c r="AB349" s="79" t="s">
        <v>37</v>
      </c>
      <c r="AC349" s="79" t="s">
        <v>37</v>
      </c>
      <c r="AD349" s="79"/>
      <c r="AE349" s="79"/>
      <c r="AF349" s="79"/>
      <c r="AG349" s="79"/>
      <c r="AH349" s="79"/>
      <c r="AI349" s="53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</row>
    <row r="350" spans="1:110" ht="13.8" x14ac:dyDescent="0.25">
      <c r="A350" s="24">
        <v>1203027</v>
      </c>
      <c r="B350" s="26" t="s">
        <v>589</v>
      </c>
      <c r="C350" s="25" t="s">
        <v>670</v>
      </c>
      <c r="D350" s="26"/>
      <c r="E350" s="17" t="s">
        <v>57</v>
      </c>
      <c r="F350" s="10" t="s">
        <v>34</v>
      </c>
      <c r="G350" s="55" t="str">
        <f t="shared" si="10"/>
        <v>Obsolete</v>
      </c>
      <c r="H350" s="10"/>
      <c r="I350" s="13"/>
      <c r="J350" s="56"/>
      <c r="K350" s="57"/>
      <c r="M350" s="14"/>
      <c r="N350" s="14"/>
      <c r="O350" s="14"/>
      <c r="P350" s="14"/>
      <c r="Q350" s="14"/>
      <c r="R350" s="14"/>
      <c r="S350" s="14"/>
      <c r="T350" s="70"/>
      <c r="U350" s="76" t="s">
        <v>54</v>
      </c>
      <c r="V350" s="76"/>
      <c r="W350" s="76" t="s">
        <v>54</v>
      </c>
      <c r="X350" s="76"/>
      <c r="Y350" s="97"/>
      <c r="Z350" s="87"/>
      <c r="AA350" s="79"/>
      <c r="AB350" s="79" t="s">
        <v>37</v>
      </c>
      <c r="AC350" s="79" t="s">
        <v>37</v>
      </c>
      <c r="AD350" s="79"/>
      <c r="AE350" s="79"/>
      <c r="AF350" s="79"/>
      <c r="AG350" s="79"/>
      <c r="AH350" s="79"/>
      <c r="AI350" s="53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</row>
    <row r="351" spans="1:110" ht="13.8" x14ac:dyDescent="0.25">
      <c r="A351" s="24">
        <v>1203028</v>
      </c>
      <c r="B351" s="26" t="s">
        <v>589</v>
      </c>
      <c r="C351" s="25" t="s">
        <v>671</v>
      </c>
      <c r="D351" s="26"/>
      <c r="E351" s="17" t="s">
        <v>57</v>
      </c>
      <c r="F351" s="10" t="s">
        <v>34</v>
      </c>
      <c r="G351" s="55" t="str">
        <f t="shared" si="10"/>
        <v>Obsolete</v>
      </c>
      <c r="H351" s="10"/>
      <c r="I351" s="13"/>
      <c r="J351" s="56"/>
      <c r="K351" s="57"/>
      <c r="M351" s="14"/>
      <c r="N351" s="14"/>
      <c r="O351" s="14"/>
      <c r="P351" s="14"/>
      <c r="Q351" s="14"/>
      <c r="R351" s="14"/>
      <c r="S351" s="14"/>
      <c r="T351" s="70"/>
      <c r="U351" s="76" t="s">
        <v>54</v>
      </c>
      <c r="V351" s="76"/>
      <c r="W351" s="76" t="s">
        <v>54</v>
      </c>
      <c r="X351" s="76"/>
      <c r="Y351" s="97"/>
      <c r="Z351" s="87"/>
      <c r="AA351" s="79"/>
      <c r="AB351" s="79" t="s">
        <v>37</v>
      </c>
      <c r="AC351" s="79" t="s">
        <v>37</v>
      </c>
      <c r="AD351" s="79"/>
      <c r="AE351" s="79"/>
      <c r="AF351" s="79"/>
      <c r="AG351" s="79"/>
      <c r="AH351" s="96"/>
      <c r="AI351" s="73"/>
      <c r="AJ351" s="27"/>
      <c r="AK351" s="28"/>
      <c r="AL351" s="27"/>
      <c r="AM351" s="28"/>
      <c r="AN351" s="27"/>
      <c r="AO351" s="28"/>
      <c r="AP351" s="27"/>
      <c r="AQ351" s="28"/>
      <c r="AR351" s="27"/>
      <c r="AS351" s="28"/>
      <c r="AT351" s="27"/>
      <c r="AU351" s="28"/>
      <c r="AV351" s="27"/>
      <c r="AW351" s="28"/>
      <c r="AX351" s="27"/>
      <c r="AY351" s="28"/>
      <c r="AZ351" s="27"/>
      <c r="BA351" s="28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</row>
    <row r="352" spans="1:110" ht="13.8" x14ac:dyDescent="0.25">
      <c r="A352" s="24">
        <v>1203029</v>
      </c>
      <c r="B352" s="26" t="s">
        <v>589</v>
      </c>
      <c r="C352" s="25" t="s">
        <v>672</v>
      </c>
      <c r="D352" s="26"/>
      <c r="E352" s="17" t="s">
        <v>57</v>
      </c>
      <c r="F352" s="10" t="s">
        <v>34</v>
      </c>
      <c r="G352" s="55" t="str">
        <f t="shared" si="10"/>
        <v>Obsolete</v>
      </c>
      <c r="H352" s="10"/>
      <c r="I352" s="13"/>
      <c r="J352" s="56"/>
      <c r="K352" s="57"/>
      <c r="M352" s="14"/>
      <c r="N352" s="14"/>
      <c r="O352" s="14"/>
      <c r="P352" s="14"/>
      <c r="Q352" s="14"/>
      <c r="R352" s="14"/>
      <c r="S352" s="14"/>
      <c r="T352" s="70"/>
      <c r="U352" s="76" t="s">
        <v>54</v>
      </c>
      <c r="V352" s="76"/>
      <c r="W352" s="76" t="s">
        <v>54</v>
      </c>
      <c r="X352" s="76"/>
      <c r="Y352" s="97"/>
      <c r="Z352" s="87"/>
      <c r="AA352" s="79"/>
      <c r="AB352" s="79" t="s">
        <v>37</v>
      </c>
      <c r="AC352" s="79" t="s">
        <v>37</v>
      </c>
      <c r="AD352" s="79"/>
      <c r="AE352" s="79"/>
      <c r="AF352" s="79"/>
      <c r="AG352" s="79"/>
      <c r="AH352" s="79"/>
      <c r="AI352" s="53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</row>
    <row r="353" spans="1:110" ht="13.8" x14ac:dyDescent="0.25">
      <c r="A353" s="24">
        <v>1203030</v>
      </c>
      <c r="B353" s="26" t="s">
        <v>589</v>
      </c>
      <c r="C353" s="25" t="s">
        <v>673</v>
      </c>
      <c r="D353" s="26"/>
      <c r="E353" s="10" t="s">
        <v>674</v>
      </c>
      <c r="F353" s="10" t="s">
        <v>675</v>
      </c>
      <c r="G353" s="55" t="str">
        <f t="shared" si="10"/>
        <v>Obsolete</v>
      </c>
      <c r="H353" s="10">
        <v>1</v>
      </c>
      <c r="I353" s="13">
        <v>5</v>
      </c>
      <c r="J353" s="56"/>
      <c r="K353" s="57"/>
      <c r="M353" s="14"/>
      <c r="N353" s="14"/>
      <c r="O353" s="14"/>
      <c r="P353" s="14"/>
      <c r="Q353" s="14"/>
      <c r="R353" s="14"/>
      <c r="S353" s="14"/>
      <c r="T353" s="70"/>
      <c r="U353" s="76" t="s">
        <v>54</v>
      </c>
      <c r="V353" s="76"/>
      <c r="W353" s="76" t="s">
        <v>54</v>
      </c>
      <c r="X353" s="76"/>
      <c r="Y353" s="97"/>
      <c r="Z353" s="87">
        <v>5</v>
      </c>
      <c r="AA353" s="79" t="s">
        <v>676</v>
      </c>
      <c r="AB353" s="79" t="s">
        <v>37</v>
      </c>
      <c r="AC353" s="79" t="s">
        <v>37</v>
      </c>
      <c r="AD353" s="91" t="s">
        <v>57</v>
      </c>
      <c r="AE353" s="91" t="s">
        <v>57</v>
      </c>
      <c r="AF353" s="91" t="s">
        <v>57</v>
      </c>
      <c r="AG353" s="91" t="s">
        <v>57</v>
      </c>
      <c r="AH353" s="79"/>
      <c r="AI353" s="53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</row>
    <row r="354" spans="1:110" ht="13.8" x14ac:dyDescent="0.25">
      <c r="A354" s="24">
        <v>1203031</v>
      </c>
      <c r="B354" s="26" t="s">
        <v>589</v>
      </c>
      <c r="C354" s="25" t="s">
        <v>677</v>
      </c>
      <c r="D354" s="26"/>
      <c r="E354" s="10" t="s">
        <v>674</v>
      </c>
      <c r="F354" s="10" t="s">
        <v>678</v>
      </c>
      <c r="G354" s="55" t="str">
        <f t="shared" si="10"/>
        <v>Obsolete</v>
      </c>
      <c r="H354" s="10">
        <v>1</v>
      </c>
      <c r="I354" s="13">
        <v>5</v>
      </c>
      <c r="J354" s="56"/>
      <c r="K354" s="57"/>
      <c r="M354" s="14"/>
      <c r="N354" s="14"/>
      <c r="O354" s="14"/>
      <c r="P354" s="14"/>
      <c r="Q354" s="14"/>
      <c r="R354" s="14"/>
      <c r="S354" s="14"/>
      <c r="T354" s="70"/>
      <c r="U354" s="76" t="s">
        <v>54</v>
      </c>
      <c r="V354" s="76"/>
      <c r="W354" s="76" t="s">
        <v>54</v>
      </c>
      <c r="X354" s="76"/>
      <c r="Y354" s="97"/>
      <c r="Z354" s="87">
        <v>5</v>
      </c>
      <c r="AA354" s="79" t="s">
        <v>676</v>
      </c>
      <c r="AB354" s="79" t="s">
        <v>37</v>
      </c>
      <c r="AC354" s="79" t="s">
        <v>37</v>
      </c>
      <c r="AD354" s="91" t="s">
        <v>57</v>
      </c>
      <c r="AE354" s="91" t="s">
        <v>57</v>
      </c>
      <c r="AF354" s="91" t="s">
        <v>57</v>
      </c>
      <c r="AG354" s="91" t="s">
        <v>57</v>
      </c>
      <c r="AH354" s="79"/>
      <c r="AI354" s="53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</row>
    <row r="355" spans="1:110" ht="13.8" x14ac:dyDescent="0.25">
      <c r="A355" s="24">
        <v>1203032</v>
      </c>
      <c r="B355" s="11" t="s">
        <v>567</v>
      </c>
      <c r="C355" s="12" t="s">
        <v>679</v>
      </c>
      <c r="D355" s="11"/>
      <c r="E355" s="17" t="s">
        <v>57</v>
      </c>
      <c r="F355" s="10" t="s">
        <v>34</v>
      </c>
      <c r="G355" s="55" t="str">
        <f t="shared" si="10"/>
        <v>Obsolete</v>
      </c>
      <c r="H355" s="10"/>
      <c r="I355" s="13"/>
      <c r="J355" s="56"/>
      <c r="K355" s="57"/>
      <c r="M355" s="14"/>
      <c r="N355" s="14"/>
      <c r="O355" s="14"/>
      <c r="P355" s="14"/>
      <c r="Q355" s="14"/>
      <c r="R355" s="14"/>
      <c r="S355" s="14"/>
      <c r="T355" s="70"/>
      <c r="U355" s="76" t="s">
        <v>54</v>
      </c>
      <c r="V355" s="76"/>
      <c r="W355" s="76" t="s">
        <v>54</v>
      </c>
      <c r="X355" s="76"/>
      <c r="Y355" s="97"/>
      <c r="Z355" s="78"/>
      <c r="AA355" s="79" t="s">
        <v>55</v>
      </c>
      <c r="AB355" s="79" t="s">
        <v>37</v>
      </c>
      <c r="AC355" s="79" t="s">
        <v>37</v>
      </c>
      <c r="AD355" s="79"/>
      <c r="AE355" s="79"/>
      <c r="AF355" s="79"/>
      <c r="AG355" s="79"/>
      <c r="AH355" s="79"/>
      <c r="AI355" s="53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</row>
    <row r="356" spans="1:110" ht="13.8" x14ac:dyDescent="0.25">
      <c r="A356" s="24">
        <v>1203033</v>
      </c>
      <c r="B356" s="26" t="s">
        <v>589</v>
      </c>
      <c r="C356" s="12" t="s">
        <v>680</v>
      </c>
      <c r="D356" s="11"/>
      <c r="E356" s="10" t="s">
        <v>617</v>
      </c>
      <c r="F356" s="10" t="s">
        <v>618</v>
      </c>
      <c r="G356" s="55">
        <f t="shared" si="10"/>
        <v>49.376321353065542</v>
      </c>
      <c r="H356" s="10">
        <v>2</v>
      </c>
      <c r="I356" s="36">
        <v>0.94599999999999995</v>
      </c>
      <c r="J356" s="56"/>
      <c r="K356" s="57"/>
      <c r="M356" s="14"/>
      <c r="N356" s="14"/>
      <c r="O356" s="14"/>
      <c r="P356" s="14"/>
      <c r="Q356" s="14"/>
      <c r="R356" s="14"/>
      <c r="S356" s="14"/>
      <c r="T356" s="70"/>
      <c r="U356" s="76">
        <v>49.376321353065542</v>
      </c>
      <c r="V356" s="76">
        <v>0</v>
      </c>
      <c r="W356" s="76">
        <v>49.376321353065542</v>
      </c>
      <c r="X356" s="76">
        <v>0</v>
      </c>
      <c r="Y356" s="97"/>
      <c r="Z356" s="107">
        <v>0.94599999999999995</v>
      </c>
      <c r="AA356" s="79" t="s">
        <v>121</v>
      </c>
      <c r="AB356" s="79" t="s">
        <v>35</v>
      </c>
      <c r="AC356" s="79"/>
      <c r="AD356" s="79" t="s">
        <v>38</v>
      </c>
      <c r="AE356" s="79" t="s">
        <v>619</v>
      </c>
      <c r="AF356" s="106"/>
      <c r="AG356" s="108" t="s">
        <v>620</v>
      </c>
      <c r="AH356" s="79"/>
      <c r="AI356" s="53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</row>
    <row r="357" spans="1:110" ht="13.8" x14ac:dyDescent="0.25">
      <c r="A357" s="24">
        <v>1204001</v>
      </c>
      <c r="B357" s="11" t="s">
        <v>567</v>
      </c>
      <c r="C357" s="12" t="s">
        <v>681</v>
      </c>
      <c r="D357" s="11"/>
      <c r="E357" s="17" t="s">
        <v>57</v>
      </c>
      <c r="F357" s="10" t="s">
        <v>34</v>
      </c>
      <c r="G357" s="55" t="str">
        <f t="shared" si="10"/>
        <v>Obsolete</v>
      </c>
      <c r="H357" s="10"/>
      <c r="I357" s="13"/>
      <c r="J357" s="56"/>
      <c r="K357" s="57"/>
      <c r="M357" s="14"/>
      <c r="N357" s="14"/>
      <c r="O357" s="14"/>
      <c r="P357" s="14"/>
      <c r="Q357" s="14"/>
      <c r="R357" s="14"/>
      <c r="S357" s="14"/>
      <c r="T357" s="70"/>
      <c r="U357" s="76" t="s">
        <v>54</v>
      </c>
      <c r="V357" s="76"/>
      <c r="W357" s="76" t="s">
        <v>54</v>
      </c>
      <c r="X357" s="76"/>
      <c r="Y357" s="97"/>
      <c r="Z357" s="78"/>
      <c r="AA357" s="79" t="s">
        <v>55</v>
      </c>
      <c r="AB357" s="79" t="s">
        <v>37</v>
      </c>
      <c r="AC357" s="79" t="s">
        <v>37</v>
      </c>
      <c r="AD357" s="79"/>
      <c r="AE357" s="79"/>
      <c r="AF357" s="79"/>
      <c r="AG357" s="79"/>
      <c r="AH357" s="79"/>
      <c r="AI357" s="53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</row>
    <row r="358" spans="1:110" ht="13.8" x14ac:dyDescent="0.25">
      <c r="A358" s="24">
        <v>1204002</v>
      </c>
      <c r="B358" s="11" t="s">
        <v>567</v>
      </c>
      <c r="C358" s="25" t="s">
        <v>682</v>
      </c>
      <c r="D358" s="26"/>
      <c r="E358" s="17" t="s">
        <v>57</v>
      </c>
      <c r="F358" s="10" t="s">
        <v>34</v>
      </c>
      <c r="G358" s="55" t="str">
        <f t="shared" si="10"/>
        <v>Obsolete</v>
      </c>
      <c r="H358" s="10"/>
      <c r="I358" s="13"/>
      <c r="J358" s="56"/>
      <c r="K358" s="57"/>
      <c r="M358" s="14"/>
      <c r="N358" s="14"/>
      <c r="O358" s="14"/>
      <c r="P358" s="14"/>
      <c r="Q358" s="14"/>
      <c r="R358" s="14"/>
      <c r="S358" s="14"/>
      <c r="T358" s="70"/>
      <c r="U358" s="76" t="s">
        <v>54</v>
      </c>
      <c r="V358" s="76"/>
      <c r="W358" s="76" t="s">
        <v>54</v>
      </c>
      <c r="X358" s="76"/>
      <c r="Y358" s="97"/>
      <c r="Z358" s="87"/>
      <c r="AA358" s="79"/>
      <c r="AB358" s="79" t="s">
        <v>37</v>
      </c>
      <c r="AC358" s="79" t="s">
        <v>37</v>
      </c>
      <c r="AD358" s="79"/>
      <c r="AE358" s="79"/>
      <c r="AF358" s="79"/>
      <c r="AG358" s="79"/>
      <c r="AH358" s="79"/>
      <c r="AI358" s="53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</row>
    <row r="359" spans="1:110" ht="13.8" x14ac:dyDescent="0.25">
      <c r="A359" s="24">
        <v>1204003</v>
      </c>
      <c r="B359" s="11" t="s">
        <v>567</v>
      </c>
      <c r="C359" s="12" t="s">
        <v>683</v>
      </c>
      <c r="D359" s="11"/>
      <c r="E359" s="10" t="s">
        <v>684</v>
      </c>
      <c r="F359" s="10" t="s">
        <v>607</v>
      </c>
      <c r="G359" s="55">
        <f t="shared" si="10"/>
        <v>108.24</v>
      </c>
      <c r="H359" s="10">
        <v>2</v>
      </c>
      <c r="I359" s="13">
        <v>1</v>
      </c>
      <c r="J359" s="56">
        <v>44487</v>
      </c>
      <c r="K359" s="57">
        <v>103.44</v>
      </c>
      <c r="M359" s="14"/>
      <c r="N359" s="14"/>
      <c r="O359" s="14"/>
      <c r="P359" s="14"/>
      <c r="Q359" s="14"/>
      <c r="R359" s="14"/>
      <c r="S359" s="14"/>
      <c r="T359" s="70"/>
      <c r="U359" s="76">
        <v>102.72</v>
      </c>
      <c r="V359" s="76">
        <v>5.52</v>
      </c>
      <c r="W359" s="76">
        <v>102.72</v>
      </c>
      <c r="X359" s="76">
        <v>5.52</v>
      </c>
      <c r="Y359" s="77" t="s">
        <v>37</v>
      </c>
      <c r="Z359" s="78">
        <v>1</v>
      </c>
      <c r="AA359" s="79" t="s">
        <v>36</v>
      </c>
      <c r="AB359" s="79" t="s">
        <v>35</v>
      </c>
      <c r="AC359" s="79" t="s">
        <v>37</v>
      </c>
      <c r="AD359" s="79" t="s">
        <v>38</v>
      </c>
      <c r="AE359" s="79" t="s">
        <v>685</v>
      </c>
      <c r="AF359" s="79" t="s">
        <v>686</v>
      </c>
      <c r="AG359" s="79" t="s">
        <v>687</v>
      </c>
      <c r="AH359" s="79"/>
      <c r="AI359" s="53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</row>
    <row r="360" spans="1:110" ht="20.399999999999999" x14ac:dyDescent="0.25">
      <c r="A360" s="24">
        <v>1204004</v>
      </c>
      <c r="B360" s="11" t="s">
        <v>567</v>
      </c>
      <c r="C360" s="25" t="s">
        <v>688</v>
      </c>
      <c r="D360" s="11"/>
      <c r="E360" s="10" t="s">
        <v>684</v>
      </c>
      <c r="F360" s="10" t="s">
        <v>607</v>
      </c>
      <c r="G360" s="55">
        <f>U360+V360</f>
        <v>107.52</v>
      </c>
      <c r="H360" s="10">
        <v>1</v>
      </c>
      <c r="I360" s="13">
        <v>1</v>
      </c>
      <c r="J360" s="56">
        <v>44348</v>
      </c>
      <c r="K360" s="57">
        <v>91.52</v>
      </c>
      <c r="M360" s="14"/>
      <c r="N360" s="14"/>
      <c r="O360" s="14"/>
      <c r="P360" s="14"/>
      <c r="Q360" s="14"/>
      <c r="R360" s="14"/>
      <c r="S360" s="14"/>
      <c r="T360" s="70"/>
      <c r="U360" s="76">
        <v>102</v>
      </c>
      <c r="V360" s="76">
        <v>5.52</v>
      </c>
      <c r="W360" s="76">
        <v>102</v>
      </c>
      <c r="X360" s="76">
        <v>5.52</v>
      </c>
      <c r="Y360" s="77" t="s">
        <v>37</v>
      </c>
      <c r="Z360" s="78">
        <v>1</v>
      </c>
      <c r="AA360" s="79" t="s">
        <v>36</v>
      </c>
      <c r="AB360" s="79" t="s">
        <v>37</v>
      </c>
      <c r="AC360" s="79" t="s">
        <v>37</v>
      </c>
      <c r="AD360" s="79" t="s">
        <v>38</v>
      </c>
      <c r="AE360" s="79" t="s">
        <v>685</v>
      </c>
      <c r="AF360" s="79" t="s">
        <v>686</v>
      </c>
      <c r="AG360" s="79" t="s">
        <v>687</v>
      </c>
      <c r="AH360" s="79"/>
      <c r="AI360" s="53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</row>
    <row r="361" spans="1:110" ht="20.399999999999999" x14ac:dyDescent="0.25">
      <c r="A361" s="24">
        <v>1204005</v>
      </c>
      <c r="B361" s="26" t="s">
        <v>567</v>
      </c>
      <c r="C361" s="25" t="s">
        <v>689</v>
      </c>
      <c r="D361" s="26"/>
      <c r="E361" s="17" t="s">
        <v>57</v>
      </c>
      <c r="F361" s="10" t="s">
        <v>34</v>
      </c>
      <c r="G361" s="55" t="str">
        <f t="shared" ref="G361:G410" si="11">IF(U361="Obsolete",U361,U361+V361)</f>
        <v>Obsolete</v>
      </c>
      <c r="H361" s="10"/>
      <c r="I361" s="13"/>
      <c r="J361" s="56"/>
      <c r="K361" s="57"/>
      <c r="M361" s="14"/>
      <c r="N361" s="14"/>
      <c r="O361" s="14"/>
      <c r="P361" s="14"/>
      <c r="Q361" s="14"/>
      <c r="R361" s="14"/>
      <c r="S361" s="14"/>
      <c r="T361" s="70"/>
      <c r="U361" s="76" t="s">
        <v>54</v>
      </c>
      <c r="V361" s="76"/>
      <c r="W361" s="76" t="s">
        <v>54</v>
      </c>
      <c r="X361" s="76"/>
      <c r="Y361" s="97"/>
      <c r="Z361" s="87"/>
      <c r="AA361" s="79"/>
      <c r="AB361" s="79" t="s">
        <v>37</v>
      </c>
      <c r="AC361" s="79" t="s">
        <v>37</v>
      </c>
      <c r="AD361" s="79"/>
      <c r="AE361" s="79"/>
      <c r="AF361" s="79"/>
      <c r="AG361" s="79"/>
      <c r="AH361" s="79"/>
      <c r="AI361" s="53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</row>
    <row r="362" spans="1:110" ht="20.399999999999999" x14ac:dyDescent="0.25">
      <c r="A362" s="24">
        <v>1204006</v>
      </c>
      <c r="B362" s="26" t="s">
        <v>567</v>
      </c>
      <c r="C362" s="25" t="s">
        <v>690</v>
      </c>
      <c r="D362" s="26"/>
      <c r="E362" s="17" t="s">
        <v>57</v>
      </c>
      <c r="F362" s="10" t="s">
        <v>34</v>
      </c>
      <c r="G362" s="55" t="str">
        <f t="shared" si="11"/>
        <v>Obsolete</v>
      </c>
      <c r="H362" s="10"/>
      <c r="I362" s="13"/>
      <c r="J362" s="56"/>
      <c r="K362" s="57"/>
      <c r="M362" s="14"/>
      <c r="N362" s="14"/>
      <c r="O362" s="14"/>
      <c r="P362" s="14"/>
      <c r="Q362" s="14"/>
      <c r="R362" s="14"/>
      <c r="S362" s="14"/>
      <c r="T362" s="70"/>
      <c r="U362" s="76" t="s">
        <v>54</v>
      </c>
      <c r="V362" s="76"/>
      <c r="W362" s="76" t="s">
        <v>54</v>
      </c>
      <c r="X362" s="76"/>
      <c r="Y362" s="97"/>
      <c r="Z362" s="87"/>
      <c r="AA362" s="79"/>
      <c r="AB362" s="79" t="s">
        <v>37</v>
      </c>
      <c r="AC362" s="79" t="s">
        <v>37</v>
      </c>
      <c r="AD362" s="79"/>
      <c r="AE362" s="79"/>
      <c r="AF362" s="79"/>
      <c r="AG362" s="79"/>
      <c r="AH362" s="79"/>
      <c r="AI362" s="53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</row>
    <row r="363" spans="1:110" ht="13.8" x14ac:dyDescent="0.25">
      <c r="A363" s="24">
        <v>1204007</v>
      </c>
      <c r="B363" s="26" t="s">
        <v>567</v>
      </c>
      <c r="C363" s="12" t="s">
        <v>691</v>
      </c>
      <c r="D363" s="11"/>
      <c r="E363" s="17" t="s">
        <v>57</v>
      </c>
      <c r="F363" s="10" t="s">
        <v>34</v>
      </c>
      <c r="G363" s="55" t="str">
        <f t="shared" si="11"/>
        <v>Obsolete</v>
      </c>
      <c r="H363" s="10"/>
      <c r="I363" s="13"/>
      <c r="J363" s="56"/>
      <c r="K363" s="57"/>
      <c r="M363" s="14"/>
      <c r="N363" s="14"/>
      <c r="O363" s="14"/>
      <c r="P363" s="14"/>
      <c r="Q363" s="14"/>
      <c r="R363" s="14"/>
      <c r="S363" s="14"/>
      <c r="T363" s="70"/>
      <c r="U363" s="76" t="s">
        <v>54</v>
      </c>
      <c r="V363" s="76"/>
      <c r="W363" s="76" t="s">
        <v>54</v>
      </c>
      <c r="X363" s="76"/>
      <c r="Y363" s="97"/>
      <c r="Z363" s="78"/>
      <c r="AA363" s="79" t="s">
        <v>692</v>
      </c>
      <c r="AB363" s="79" t="s">
        <v>37</v>
      </c>
      <c r="AC363" s="79" t="s">
        <v>37</v>
      </c>
      <c r="AD363" s="79"/>
      <c r="AE363" s="79"/>
      <c r="AF363" s="79"/>
      <c r="AG363" s="79"/>
      <c r="AH363" s="79"/>
      <c r="AI363" s="53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</row>
    <row r="364" spans="1:110" ht="13.8" x14ac:dyDescent="0.25">
      <c r="A364" s="24">
        <v>1204008</v>
      </c>
      <c r="B364" s="26" t="s">
        <v>567</v>
      </c>
      <c r="C364" s="12" t="s">
        <v>693</v>
      </c>
      <c r="D364" s="11"/>
      <c r="E364" s="17" t="s">
        <v>57</v>
      </c>
      <c r="F364" s="10" t="s">
        <v>34</v>
      </c>
      <c r="G364" s="55" t="str">
        <f t="shared" si="11"/>
        <v>Obsolete</v>
      </c>
      <c r="H364" s="10"/>
      <c r="I364" s="13"/>
      <c r="J364" s="56"/>
      <c r="K364" s="57"/>
      <c r="M364" s="14"/>
      <c r="N364" s="14"/>
      <c r="O364" s="14"/>
      <c r="P364" s="14"/>
      <c r="Q364" s="14"/>
      <c r="R364" s="14"/>
      <c r="S364" s="14"/>
      <c r="T364" s="70"/>
      <c r="U364" s="76" t="s">
        <v>54</v>
      </c>
      <c r="V364" s="76"/>
      <c r="W364" s="76" t="s">
        <v>54</v>
      </c>
      <c r="X364" s="76"/>
      <c r="Y364" s="97"/>
      <c r="Z364" s="78"/>
      <c r="AA364" s="79" t="s">
        <v>55</v>
      </c>
      <c r="AB364" s="79" t="s">
        <v>37</v>
      </c>
      <c r="AC364" s="79" t="s">
        <v>37</v>
      </c>
      <c r="AD364" s="79"/>
      <c r="AE364" s="79"/>
      <c r="AF364" s="79"/>
      <c r="AG364" s="79"/>
      <c r="AH364" s="79"/>
      <c r="AI364" s="53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</row>
    <row r="365" spans="1:110" ht="13.8" x14ac:dyDescent="0.25">
      <c r="A365" s="24">
        <v>1204009</v>
      </c>
      <c r="B365" s="26" t="s">
        <v>567</v>
      </c>
      <c r="C365" s="12" t="s">
        <v>694</v>
      </c>
      <c r="D365" s="11"/>
      <c r="E365" s="10" t="s">
        <v>684</v>
      </c>
      <c r="F365" s="10" t="s">
        <v>607</v>
      </c>
      <c r="G365" s="55">
        <f t="shared" si="11"/>
        <v>231.52</v>
      </c>
      <c r="H365" s="10">
        <v>2</v>
      </c>
      <c r="I365" s="13">
        <v>1</v>
      </c>
      <c r="J365" s="56"/>
      <c r="K365" s="57"/>
      <c r="M365" s="14"/>
      <c r="N365" s="14"/>
      <c r="O365" s="14"/>
      <c r="P365" s="14"/>
      <c r="Q365" s="14"/>
      <c r="R365" s="14"/>
      <c r="S365" s="14"/>
      <c r="T365" s="70"/>
      <c r="U365" s="76">
        <v>226</v>
      </c>
      <c r="V365" s="76">
        <v>5.52</v>
      </c>
      <c r="W365" s="76">
        <v>226</v>
      </c>
      <c r="X365" s="76">
        <v>5.52</v>
      </c>
      <c r="Y365" s="77" t="s">
        <v>37</v>
      </c>
      <c r="Z365" s="78">
        <v>1</v>
      </c>
      <c r="AA365" s="79" t="s">
        <v>36</v>
      </c>
      <c r="AB365" s="79" t="s">
        <v>35</v>
      </c>
      <c r="AC365" s="79" t="s">
        <v>37</v>
      </c>
      <c r="AD365" s="79" t="s">
        <v>38</v>
      </c>
      <c r="AE365" s="79" t="s">
        <v>685</v>
      </c>
      <c r="AF365" s="79" t="s">
        <v>686</v>
      </c>
      <c r="AG365" s="79" t="s">
        <v>687</v>
      </c>
      <c r="AH365" s="79"/>
      <c r="AI365" s="53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</row>
    <row r="366" spans="1:110" ht="13.8" x14ac:dyDescent="0.25">
      <c r="A366" s="24">
        <v>1204010</v>
      </c>
      <c r="B366" s="26" t="s">
        <v>567</v>
      </c>
      <c r="C366" s="25" t="s">
        <v>695</v>
      </c>
      <c r="D366" s="26"/>
      <c r="E366" s="17" t="s">
        <v>57</v>
      </c>
      <c r="F366" s="10" t="s">
        <v>34</v>
      </c>
      <c r="G366" s="55" t="str">
        <f t="shared" si="11"/>
        <v>Obsolete</v>
      </c>
      <c r="H366" s="10"/>
      <c r="I366" s="13"/>
      <c r="J366" s="56"/>
      <c r="K366" s="57"/>
      <c r="M366" s="14"/>
      <c r="N366" s="14"/>
      <c r="O366" s="14"/>
      <c r="P366" s="14"/>
      <c r="Q366" s="14"/>
      <c r="R366" s="14"/>
      <c r="S366" s="14"/>
      <c r="T366" s="70"/>
      <c r="U366" s="76" t="s">
        <v>54</v>
      </c>
      <c r="V366" s="76"/>
      <c r="W366" s="76" t="s">
        <v>54</v>
      </c>
      <c r="X366" s="76"/>
      <c r="Y366" s="97"/>
      <c r="Z366" s="87"/>
      <c r="AA366" s="79"/>
      <c r="AB366" s="79" t="s">
        <v>37</v>
      </c>
      <c r="AC366" s="79" t="s">
        <v>37</v>
      </c>
      <c r="AD366" s="79"/>
      <c r="AE366" s="79"/>
      <c r="AF366" s="79"/>
      <c r="AG366" s="79"/>
      <c r="AH366" s="79"/>
      <c r="AI366" s="53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</row>
    <row r="367" spans="1:110" ht="13.8" x14ac:dyDescent="0.25">
      <c r="A367" s="24">
        <v>1204011</v>
      </c>
      <c r="B367" s="26" t="s">
        <v>567</v>
      </c>
      <c r="C367" s="12" t="s">
        <v>696</v>
      </c>
      <c r="D367" s="11"/>
      <c r="E367" s="17" t="s">
        <v>57</v>
      </c>
      <c r="F367" s="10" t="s">
        <v>34</v>
      </c>
      <c r="G367" s="55" t="str">
        <f t="shared" si="11"/>
        <v>Obsolete</v>
      </c>
      <c r="H367" s="10"/>
      <c r="I367" s="13"/>
      <c r="J367" s="56"/>
      <c r="K367" s="57"/>
      <c r="M367" s="14"/>
      <c r="N367" s="14"/>
      <c r="O367" s="14"/>
      <c r="P367" s="14"/>
      <c r="Q367" s="14"/>
      <c r="R367" s="14"/>
      <c r="S367" s="14"/>
      <c r="T367" s="70"/>
      <c r="U367" s="76" t="s">
        <v>54</v>
      </c>
      <c r="V367" s="76"/>
      <c r="W367" s="76" t="s">
        <v>54</v>
      </c>
      <c r="X367" s="76"/>
      <c r="Y367" s="97"/>
      <c r="Z367" s="78"/>
      <c r="AA367" s="79" t="s">
        <v>55</v>
      </c>
      <c r="AB367" s="79" t="s">
        <v>37</v>
      </c>
      <c r="AC367" s="79" t="s">
        <v>37</v>
      </c>
      <c r="AD367" s="79"/>
      <c r="AE367" s="79"/>
      <c r="AF367" s="79"/>
      <c r="AG367" s="79"/>
      <c r="AH367" s="79"/>
      <c r="AI367" s="53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</row>
    <row r="368" spans="1:110" ht="13.8" x14ac:dyDescent="0.25">
      <c r="A368" s="24">
        <v>1204012</v>
      </c>
      <c r="B368" s="26" t="s">
        <v>567</v>
      </c>
      <c r="C368" s="12" t="s">
        <v>697</v>
      </c>
      <c r="D368" s="11"/>
      <c r="E368" s="17" t="s">
        <v>57</v>
      </c>
      <c r="F368" s="10" t="s">
        <v>34</v>
      </c>
      <c r="G368" s="55" t="str">
        <f t="shared" si="11"/>
        <v>Obsolete</v>
      </c>
      <c r="H368" s="10"/>
      <c r="I368" s="13"/>
      <c r="J368" s="56"/>
      <c r="K368" s="57"/>
      <c r="M368" s="14"/>
      <c r="N368" s="14"/>
      <c r="O368" s="14"/>
      <c r="P368" s="14"/>
      <c r="Q368" s="14"/>
      <c r="R368" s="14"/>
      <c r="S368" s="14"/>
      <c r="T368" s="70"/>
      <c r="U368" s="76" t="s">
        <v>54</v>
      </c>
      <c r="V368" s="76"/>
      <c r="W368" s="76" t="s">
        <v>54</v>
      </c>
      <c r="X368" s="76"/>
      <c r="Y368" s="97"/>
      <c r="Z368" s="78"/>
      <c r="AA368" s="79" t="s">
        <v>692</v>
      </c>
      <c r="AB368" s="79" t="s">
        <v>37</v>
      </c>
      <c r="AC368" s="79" t="s">
        <v>37</v>
      </c>
      <c r="AD368" s="79"/>
      <c r="AE368" s="79"/>
      <c r="AF368" s="79"/>
      <c r="AG368" s="79"/>
      <c r="AH368" s="79"/>
      <c r="AI368" s="53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</row>
    <row r="369" spans="1:110" ht="13.8" x14ac:dyDescent="0.25">
      <c r="A369" s="24">
        <v>1204014</v>
      </c>
      <c r="B369" s="26" t="s">
        <v>567</v>
      </c>
      <c r="C369" s="12" t="s">
        <v>698</v>
      </c>
      <c r="D369" s="11"/>
      <c r="E369" s="17" t="s">
        <v>57</v>
      </c>
      <c r="F369" s="10" t="s">
        <v>34</v>
      </c>
      <c r="G369" s="55" t="str">
        <f t="shared" si="11"/>
        <v>Obsolete</v>
      </c>
      <c r="H369" s="10"/>
      <c r="I369" s="13"/>
      <c r="J369" s="56"/>
      <c r="K369" s="57"/>
      <c r="M369" s="14"/>
      <c r="N369" s="14"/>
      <c r="O369" s="14"/>
      <c r="P369" s="14"/>
      <c r="Q369" s="14"/>
      <c r="R369" s="14"/>
      <c r="S369" s="14"/>
      <c r="T369" s="70"/>
      <c r="U369" s="76" t="s">
        <v>54</v>
      </c>
      <c r="V369" s="76"/>
      <c r="W369" s="76" t="s">
        <v>54</v>
      </c>
      <c r="X369" s="76"/>
      <c r="Y369" s="97"/>
      <c r="Z369" s="78"/>
      <c r="AA369" s="79" t="s">
        <v>55</v>
      </c>
      <c r="AB369" s="79" t="s">
        <v>37</v>
      </c>
      <c r="AC369" s="79" t="s">
        <v>37</v>
      </c>
      <c r="AD369" s="79"/>
      <c r="AE369" s="79"/>
      <c r="AF369" s="79"/>
      <c r="AG369" s="79"/>
      <c r="AH369" s="79"/>
      <c r="AI369" s="53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</row>
    <row r="370" spans="1:110" ht="13.8" x14ac:dyDescent="0.25">
      <c r="A370" s="24">
        <v>1204015</v>
      </c>
      <c r="B370" s="26" t="s">
        <v>567</v>
      </c>
      <c r="C370" s="12" t="s">
        <v>699</v>
      </c>
      <c r="D370" s="11"/>
      <c r="E370" s="17" t="s">
        <v>57</v>
      </c>
      <c r="F370" s="10" t="s">
        <v>34</v>
      </c>
      <c r="G370" s="55" t="str">
        <f t="shared" si="11"/>
        <v>Obsolete</v>
      </c>
      <c r="H370" s="10"/>
      <c r="I370" s="13"/>
      <c r="J370" s="56"/>
      <c r="K370" s="57"/>
      <c r="M370" s="14"/>
      <c r="N370" s="14"/>
      <c r="O370" s="14"/>
      <c r="P370" s="14"/>
      <c r="Q370" s="14"/>
      <c r="R370" s="14"/>
      <c r="S370" s="14"/>
      <c r="T370" s="70"/>
      <c r="U370" s="76" t="s">
        <v>54</v>
      </c>
      <c r="V370" s="76"/>
      <c r="W370" s="76" t="s">
        <v>54</v>
      </c>
      <c r="X370" s="76"/>
      <c r="Y370" s="97"/>
      <c r="Z370" s="78"/>
      <c r="AA370" s="79" t="s">
        <v>55</v>
      </c>
      <c r="AB370" s="79" t="s">
        <v>37</v>
      </c>
      <c r="AC370" s="79" t="s">
        <v>37</v>
      </c>
      <c r="AD370" s="79"/>
      <c r="AE370" s="79"/>
      <c r="AF370" s="79"/>
      <c r="AG370" s="79"/>
      <c r="AH370" s="79"/>
      <c r="AI370" s="53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</row>
    <row r="371" spans="1:110" ht="13.8" x14ac:dyDescent="0.25">
      <c r="A371" s="24">
        <v>1204016</v>
      </c>
      <c r="B371" s="26" t="s">
        <v>567</v>
      </c>
      <c r="C371" s="12" t="s">
        <v>700</v>
      </c>
      <c r="D371" s="11"/>
      <c r="E371" s="17" t="s">
        <v>57</v>
      </c>
      <c r="F371" s="10" t="s">
        <v>34</v>
      </c>
      <c r="G371" s="55" t="str">
        <f t="shared" si="11"/>
        <v>Obsolete</v>
      </c>
      <c r="H371" s="10"/>
      <c r="I371" s="13"/>
      <c r="J371" s="56"/>
      <c r="K371" s="57"/>
      <c r="M371" s="14"/>
      <c r="N371" s="14"/>
      <c r="O371" s="14"/>
      <c r="P371" s="14"/>
      <c r="Q371" s="14"/>
      <c r="R371" s="14"/>
      <c r="S371" s="14"/>
      <c r="T371" s="70"/>
      <c r="U371" s="76" t="s">
        <v>54</v>
      </c>
      <c r="V371" s="76"/>
      <c r="W371" s="76" t="s">
        <v>54</v>
      </c>
      <c r="X371" s="76"/>
      <c r="Y371" s="97"/>
      <c r="Z371" s="78"/>
      <c r="AA371" s="79" t="s">
        <v>55</v>
      </c>
      <c r="AB371" s="79" t="s">
        <v>37</v>
      </c>
      <c r="AC371" s="79" t="s">
        <v>37</v>
      </c>
      <c r="AD371" s="79"/>
      <c r="AE371" s="79"/>
      <c r="AF371" s="79"/>
      <c r="AG371" s="79"/>
      <c r="AH371" s="79"/>
      <c r="AI371" s="53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</row>
    <row r="372" spans="1:110" ht="13.8" x14ac:dyDescent="0.25">
      <c r="A372" s="24">
        <v>1204017</v>
      </c>
      <c r="B372" s="26" t="s">
        <v>567</v>
      </c>
      <c r="C372" s="12" t="s">
        <v>701</v>
      </c>
      <c r="D372" s="11"/>
      <c r="E372" s="10" t="s">
        <v>684</v>
      </c>
      <c r="F372" s="10" t="s">
        <v>34</v>
      </c>
      <c r="G372" s="55">
        <f t="shared" si="11"/>
        <v>247.25</v>
      </c>
      <c r="H372" s="10">
        <v>2</v>
      </c>
      <c r="I372" s="13">
        <v>1</v>
      </c>
      <c r="J372" s="56"/>
      <c r="K372" s="57"/>
      <c r="M372" s="14"/>
      <c r="N372" s="14"/>
      <c r="O372" s="14"/>
      <c r="P372" s="14"/>
      <c r="Q372" s="14"/>
      <c r="R372" s="14"/>
      <c r="S372" s="14"/>
      <c r="T372" s="70"/>
      <c r="U372" s="76">
        <v>242</v>
      </c>
      <c r="V372" s="76">
        <v>5.25</v>
      </c>
      <c r="W372" s="76">
        <v>242</v>
      </c>
      <c r="X372" s="76">
        <v>5.25</v>
      </c>
      <c r="Y372" s="97" t="s">
        <v>37</v>
      </c>
      <c r="Z372" s="78">
        <v>1</v>
      </c>
      <c r="AA372" s="79" t="s">
        <v>44</v>
      </c>
      <c r="AB372" s="79" t="s">
        <v>35</v>
      </c>
      <c r="AC372" s="79" t="s">
        <v>37</v>
      </c>
      <c r="AD372" s="79" t="s">
        <v>38</v>
      </c>
      <c r="AE372" s="79" t="s">
        <v>685</v>
      </c>
      <c r="AF372" s="79" t="s">
        <v>686</v>
      </c>
      <c r="AG372" s="79" t="s">
        <v>687</v>
      </c>
      <c r="AH372" s="79"/>
      <c r="AI372" s="53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</row>
    <row r="373" spans="1:110" ht="13.8" x14ac:dyDescent="0.25">
      <c r="A373" s="24">
        <v>1205001</v>
      </c>
      <c r="B373" s="26" t="s">
        <v>567</v>
      </c>
      <c r="C373" s="25" t="s">
        <v>702</v>
      </c>
      <c r="D373" s="26"/>
      <c r="E373" s="17" t="s">
        <v>57</v>
      </c>
      <c r="F373" s="10" t="s">
        <v>34</v>
      </c>
      <c r="G373" s="55" t="str">
        <f t="shared" si="11"/>
        <v>Obsolete</v>
      </c>
      <c r="H373" s="10"/>
      <c r="I373" s="13"/>
      <c r="J373" s="56"/>
      <c r="K373" s="57"/>
      <c r="M373" s="14"/>
      <c r="N373" s="14"/>
      <c r="O373" s="14"/>
      <c r="P373" s="14"/>
      <c r="Q373" s="14"/>
      <c r="R373" s="14"/>
      <c r="S373" s="14"/>
      <c r="T373" s="70"/>
      <c r="U373" s="76" t="s">
        <v>54</v>
      </c>
      <c r="V373" s="76"/>
      <c r="W373" s="76" t="s">
        <v>54</v>
      </c>
      <c r="X373" s="76"/>
      <c r="Y373" s="97"/>
      <c r="Z373" s="87"/>
      <c r="AA373" s="79"/>
      <c r="AB373" s="79" t="s">
        <v>37</v>
      </c>
      <c r="AC373" s="79" t="s">
        <v>37</v>
      </c>
      <c r="AD373" s="79"/>
      <c r="AE373" s="79"/>
      <c r="AF373" s="79"/>
      <c r="AG373" s="79"/>
      <c r="AH373" s="79"/>
      <c r="AI373" s="53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</row>
    <row r="374" spans="1:110" ht="13.8" x14ac:dyDescent="0.25">
      <c r="A374" s="24">
        <v>1205002</v>
      </c>
      <c r="B374" s="26" t="s">
        <v>567</v>
      </c>
      <c r="C374" s="25" t="s">
        <v>703</v>
      </c>
      <c r="D374" s="26"/>
      <c r="E374" s="17" t="s">
        <v>57</v>
      </c>
      <c r="F374" s="10" t="s">
        <v>34</v>
      </c>
      <c r="G374" s="55" t="str">
        <f t="shared" si="11"/>
        <v>Obsolete</v>
      </c>
      <c r="H374" s="10"/>
      <c r="I374" s="13"/>
      <c r="J374" s="56"/>
      <c r="K374" s="57"/>
      <c r="M374" s="14"/>
      <c r="N374" s="14"/>
      <c r="O374" s="14"/>
      <c r="P374" s="14"/>
      <c r="Q374" s="14"/>
      <c r="R374" s="14"/>
      <c r="S374" s="14"/>
      <c r="T374" s="70"/>
      <c r="U374" s="76" t="s">
        <v>54</v>
      </c>
      <c r="V374" s="76"/>
      <c r="W374" s="76" t="s">
        <v>54</v>
      </c>
      <c r="X374" s="76"/>
      <c r="Y374" s="97"/>
      <c r="Z374" s="87"/>
      <c r="AA374" s="79"/>
      <c r="AB374" s="79" t="s">
        <v>37</v>
      </c>
      <c r="AC374" s="79" t="s">
        <v>37</v>
      </c>
      <c r="AD374" s="79"/>
      <c r="AE374" s="79"/>
      <c r="AF374" s="79"/>
      <c r="AG374" s="79"/>
      <c r="AH374" s="79"/>
      <c r="AI374" s="53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</row>
    <row r="375" spans="1:110" ht="13.8" x14ac:dyDescent="0.25">
      <c r="A375" s="24">
        <v>1205003</v>
      </c>
      <c r="B375" s="26" t="s">
        <v>567</v>
      </c>
      <c r="C375" s="12" t="s">
        <v>704</v>
      </c>
      <c r="D375" s="11"/>
      <c r="E375" s="17" t="s">
        <v>57</v>
      </c>
      <c r="F375" s="10" t="s">
        <v>34</v>
      </c>
      <c r="G375" s="55" t="str">
        <f t="shared" si="11"/>
        <v>Obsolete</v>
      </c>
      <c r="H375" s="10"/>
      <c r="I375" s="13"/>
      <c r="J375" s="56"/>
      <c r="K375" s="57"/>
      <c r="M375" s="14"/>
      <c r="N375" s="14"/>
      <c r="O375" s="14"/>
      <c r="P375" s="14"/>
      <c r="Q375" s="14"/>
      <c r="R375" s="14"/>
      <c r="S375" s="14"/>
      <c r="T375" s="70"/>
      <c r="U375" s="76" t="s">
        <v>54</v>
      </c>
      <c r="V375" s="76"/>
      <c r="W375" s="76" t="s">
        <v>54</v>
      </c>
      <c r="X375" s="76"/>
      <c r="Y375" s="97"/>
      <c r="Z375" s="78"/>
      <c r="AA375" s="79" t="s">
        <v>55</v>
      </c>
      <c r="AB375" s="79" t="s">
        <v>37</v>
      </c>
      <c r="AC375" s="79" t="s">
        <v>37</v>
      </c>
      <c r="AD375" s="79"/>
      <c r="AE375" s="79"/>
      <c r="AF375" s="79"/>
      <c r="AG375" s="79"/>
      <c r="AH375" s="79"/>
      <c r="AI375" s="53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</row>
    <row r="376" spans="1:110" ht="13.8" x14ac:dyDescent="0.25">
      <c r="A376" s="24">
        <v>1205004</v>
      </c>
      <c r="B376" s="26" t="s">
        <v>567</v>
      </c>
      <c r="C376" s="25" t="s">
        <v>705</v>
      </c>
      <c r="D376" s="26"/>
      <c r="E376" s="17" t="s">
        <v>57</v>
      </c>
      <c r="F376" s="10" t="s">
        <v>34</v>
      </c>
      <c r="G376" s="55" t="str">
        <f t="shared" si="11"/>
        <v>Obsolete</v>
      </c>
      <c r="H376" s="10"/>
      <c r="I376" s="13"/>
      <c r="J376" s="56"/>
      <c r="K376" s="57"/>
      <c r="M376" s="14"/>
      <c r="N376" s="14"/>
      <c r="O376" s="14"/>
      <c r="P376" s="14"/>
      <c r="Q376" s="14"/>
      <c r="R376" s="14"/>
      <c r="S376" s="14"/>
      <c r="T376" s="70"/>
      <c r="U376" s="76" t="s">
        <v>54</v>
      </c>
      <c r="V376" s="76"/>
      <c r="W376" s="76" t="s">
        <v>54</v>
      </c>
      <c r="X376" s="76"/>
      <c r="Y376" s="97"/>
      <c r="Z376" s="87"/>
      <c r="AA376" s="79"/>
      <c r="AB376" s="79" t="s">
        <v>37</v>
      </c>
      <c r="AC376" s="79" t="s">
        <v>37</v>
      </c>
      <c r="AD376" s="79"/>
      <c r="AE376" s="79"/>
      <c r="AF376" s="79"/>
      <c r="AG376" s="79"/>
      <c r="AH376" s="79"/>
      <c r="AI376" s="53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</row>
    <row r="377" spans="1:110" ht="13.8" x14ac:dyDescent="0.25">
      <c r="A377" s="24">
        <v>1205005</v>
      </c>
      <c r="B377" s="26" t="s">
        <v>567</v>
      </c>
      <c r="C377" s="25" t="s">
        <v>706</v>
      </c>
      <c r="D377" s="26"/>
      <c r="E377" s="17" t="s">
        <v>57</v>
      </c>
      <c r="F377" s="10" t="s">
        <v>34</v>
      </c>
      <c r="G377" s="55" t="str">
        <f t="shared" si="11"/>
        <v>Obsolete</v>
      </c>
      <c r="H377" s="10"/>
      <c r="I377" s="13"/>
      <c r="J377" s="56"/>
      <c r="K377" s="57"/>
      <c r="M377" s="14"/>
      <c r="N377" s="14"/>
      <c r="O377" s="14"/>
      <c r="P377" s="14"/>
      <c r="Q377" s="14"/>
      <c r="R377" s="14"/>
      <c r="S377" s="14"/>
      <c r="T377" s="70"/>
      <c r="U377" s="76" t="s">
        <v>54</v>
      </c>
      <c r="V377" s="76"/>
      <c r="W377" s="76" t="s">
        <v>54</v>
      </c>
      <c r="X377" s="76"/>
      <c r="Y377" s="97"/>
      <c r="Z377" s="87"/>
      <c r="AA377" s="79"/>
      <c r="AB377" s="79" t="s">
        <v>37</v>
      </c>
      <c r="AC377" s="79" t="s">
        <v>37</v>
      </c>
      <c r="AD377" s="79"/>
      <c r="AE377" s="79"/>
      <c r="AF377" s="79"/>
      <c r="AG377" s="79"/>
      <c r="AH377" s="79"/>
      <c r="AI377" s="53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</row>
    <row r="378" spans="1:110" ht="13.8" x14ac:dyDescent="0.25">
      <c r="A378" s="24">
        <v>1205006</v>
      </c>
      <c r="B378" s="26" t="s">
        <v>567</v>
      </c>
      <c r="C378" s="25" t="s">
        <v>707</v>
      </c>
      <c r="D378" s="26"/>
      <c r="E378" s="17" t="s">
        <v>57</v>
      </c>
      <c r="F378" s="10" t="s">
        <v>34</v>
      </c>
      <c r="G378" s="55" t="str">
        <f t="shared" si="11"/>
        <v>Obsolete</v>
      </c>
      <c r="H378" s="10"/>
      <c r="I378" s="13"/>
      <c r="J378" s="56"/>
      <c r="K378" s="57"/>
      <c r="M378" s="14"/>
      <c r="N378" s="14"/>
      <c r="O378" s="14"/>
      <c r="P378" s="14"/>
      <c r="Q378" s="14"/>
      <c r="R378" s="14"/>
      <c r="S378" s="14"/>
      <c r="T378" s="70"/>
      <c r="U378" s="76" t="s">
        <v>54</v>
      </c>
      <c r="V378" s="76"/>
      <c r="W378" s="76" t="s">
        <v>54</v>
      </c>
      <c r="X378" s="76"/>
      <c r="Y378" s="97"/>
      <c r="Z378" s="87"/>
      <c r="AA378" s="79"/>
      <c r="AB378" s="79" t="s">
        <v>37</v>
      </c>
      <c r="AC378" s="79" t="s">
        <v>37</v>
      </c>
      <c r="AD378" s="79"/>
      <c r="AE378" s="79"/>
      <c r="AF378" s="79"/>
      <c r="AG378" s="79"/>
      <c r="AH378" s="79"/>
      <c r="AI378" s="53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</row>
    <row r="379" spans="1:110" ht="13.8" x14ac:dyDescent="0.25">
      <c r="A379" s="24">
        <v>1205007</v>
      </c>
      <c r="B379" s="26" t="s">
        <v>567</v>
      </c>
      <c r="C379" s="25" t="s">
        <v>708</v>
      </c>
      <c r="D379" s="26"/>
      <c r="E379" s="17" t="s">
        <v>57</v>
      </c>
      <c r="F379" s="10" t="s">
        <v>34</v>
      </c>
      <c r="G379" s="55" t="str">
        <f t="shared" si="11"/>
        <v>Obsolete</v>
      </c>
      <c r="H379" s="10"/>
      <c r="I379" s="13"/>
      <c r="J379" s="56"/>
      <c r="K379" s="57"/>
      <c r="M379" s="14"/>
      <c r="N379" s="14"/>
      <c r="O379" s="14"/>
      <c r="P379" s="14"/>
      <c r="Q379" s="14"/>
      <c r="R379" s="14"/>
      <c r="S379" s="14"/>
      <c r="T379" s="70"/>
      <c r="U379" s="76" t="s">
        <v>54</v>
      </c>
      <c r="V379" s="76"/>
      <c r="W379" s="76" t="s">
        <v>54</v>
      </c>
      <c r="X379" s="76"/>
      <c r="Y379" s="97"/>
      <c r="Z379" s="87"/>
      <c r="AA379" s="79"/>
      <c r="AB379" s="79" t="s">
        <v>37</v>
      </c>
      <c r="AC379" s="79" t="s">
        <v>37</v>
      </c>
      <c r="AD379" s="79"/>
      <c r="AE379" s="79"/>
      <c r="AF379" s="79"/>
      <c r="AG379" s="79"/>
      <c r="AH379" s="79"/>
      <c r="AI379" s="53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</row>
    <row r="380" spans="1:110" ht="13.8" x14ac:dyDescent="0.25">
      <c r="A380" s="24">
        <v>1205008</v>
      </c>
      <c r="B380" s="26" t="s">
        <v>567</v>
      </c>
      <c r="C380" s="25" t="s">
        <v>709</v>
      </c>
      <c r="D380" s="26"/>
      <c r="E380" s="17" t="s">
        <v>57</v>
      </c>
      <c r="F380" s="10" t="s">
        <v>34</v>
      </c>
      <c r="G380" s="55" t="str">
        <f t="shared" si="11"/>
        <v>Obsolete</v>
      </c>
      <c r="H380" s="10"/>
      <c r="I380" s="13"/>
      <c r="J380" s="56"/>
      <c r="K380" s="57"/>
      <c r="M380" s="14"/>
      <c r="N380" s="14"/>
      <c r="O380" s="14"/>
      <c r="P380" s="14"/>
      <c r="Q380" s="14"/>
      <c r="R380" s="14"/>
      <c r="S380" s="14"/>
      <c r="T380" s="70"/>
      <c r="U380" s="76" t="s">
        <v>54</v>
      </c>
      <c r="V380" s="76"/>
      <c r="W380" s="76" t="s">
        <v>54</v>
      </c>
      <c r="X380" s="76"/>
      <c r="Y380" s="97"/>
      <c r="Z380" s="87"/>
      <c r="AA380" s="79"/>
      <c r="AB380" s="79" t="s">
        <v>37</v>
      </c>
      <c r="AC380" s="79" t="s">
        <v>37</v>
      </c>
      <c r="AD380" s="79"/>
      <c r="AE380" s="79"/>
      <c r="AF380" s="79"/>
      <c r="AG380" s="79"/>
      <c r="AH380" s="79"/>
      <c r="AI380" s="53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</row>
    <row r="381" spans="1:110" ht="13.8" x14ac:dyDescent="0.25">
      <c r="A381" s="24">
        <v>1205009</v>
      </c>
      <c r="B381" s="26" t="s">
        <v>567</v>
      </c>
      <c r="C381" s="25" t="s">
        <v>710</v>
      </c>
      <c r="D381" s="26"/>
      <c r="E381" s="17" t="s">
        <v>57</v>
      </c>
      <c r="F381" s="10" t="s">
        <v>34</v>
      </c>
      <c r="G381" s="55" t="str">
        <f t="shared" si="11"/>
        <v>Obsolete</v>
      </c>
      <c r="H381" s="10"/>
      <c r="I381" s="13"/>
      <c r="J381" s="56"/>
      <c r="K381" s="57"/>
      <c r="M381" s="14"/>
      <c r="N381" s="14"/>
      <c r="O381" s="14"/>
      <c r="P381" s="14"/>
      <c r="Q381" s="14"/>
      <c r="R381" s="14"/>
      <c r="S381" s="14"/>
      <c r="T381" s="70"/>
      <c r="U381" s="76" t="s">
        <v>54</v>
      </c>
      <c r="V381" s="76"/>
      <c r="W381" s="76" t="s">
        <v>54</v>
      </c>
      <c r="X381" s="76"/>
      <c r="Y381" s="97"/>
      <c r="Z381" s="87"/>
      <c r="AA381" s="79"/>
      <c r="AB381" s="79" t="s">
        <v>37</v>
      </c>
      <c r="AC381" s="79" t="s">
        <v>37</v>
      </c>
      <c r="AD381" s="79"/>
      <c r="AE381" s="79"/>
      <c r="AF381" s="79"/>
      <c r="AG381" s="79"/>
      <c r="AH381" s="79"/>
      <c r="AI381" s="53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</row>
    <row r="382" spans="1:110" ht="13.8" x14ac:dyDescent="0.25">
      <c r="A382" s="24">
        <v>1205010</v>
      </c>
      <c r="B382" s="26" t="s">
        <v>567</v>
      </c>
      <c r="C382" s="25" t="s">
        <v>711</v>
      </c>
      <c r="D382" s="26"/>
      <c r="E382" s="17" t="s">
        <v>57</v>
      </c>
      <c r="F382" s="10" t="s">
        <v>34</v>
      </c>
      <c r="G382" s="55" t="str">
        <f t="shared" si="11"/>
        <v>Obsolete</v>
      </c>
      <c r="H382" s="10"/>
      <c r="I382" s="13"/>
      <c r="J382" s="56"/>
      <c r="K382" s="57"/>
      <c r="M382" s="14"/>
      <c r="N382" s="14"/>
      <c r="O382" s="14"/>
      <c r="P382" s="14"/>
      <c r="Q382" s="14"/>
      <c r="R382" s="14"/>
      <c r="S382" s="14"/>
      <c r="T382" s="70"/>
      <c r="U382" s="76" t="s">
        <v>54</v>
      </c>
      <c r="V382" s="76"/>
      <c r="W382" s="76" t="s">
        <v>54</v>
      </c>
      <c r="X382" s="76"/>
      <c r="Y382" s="97"/>
      <c r="Z382" s="87"/>
      <c r="AA382" s="79"/>
      <c r="AB382" s="79" t="s">
        <v>37</v>
      </c>
      <c r="AC382" s="79" t="s">
        <v>37</v>
      </c>
      <c r="AD382" s="79"/>
      <c r="AE382" s="79"/>
      <c r="AF382" s="79"/>
      <c r="AG382" s="79"/>
      <c r="AH382" s="79"/>
      <c r="AI382" s="53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</row>
    <row r="383" spans="1:110" ht="13.8" x14ac:dyDescent="0.25">
      <c r="A383" s="24">
        <v>1205011</v>
      </c>
      <c r="B383" s="26" t="s">
        <v>567</v>
      </c>
      <c r="C383" s="25" t="s">
        <v>712</v>
      </c>
      <c r="D383" s="26"/>
      <c r="E383" s="17" t="s">
        <v>57</v>
      </c>
      <c r="F383" s="10" t="s">
        <v>34</v>
      </c>
      <c r="G383" s="55" t="str">
        <f t="shared" si="11"/>
        <v>Obsolete</v>
      </c>
      <c r="H383" s="10"/>
      <c r="I383" s="13"/>
      <c r="J383" s="56"/>
      <c r="K383" s="57"/>
      <c r="M383" s="14"/>
      <c r="N383" s="14"/>
      <c r="O383" s="14"/>
      <c r="P383" s="14"/>
      <c r="Q383" s="14"/>
      <c r="R383" s="14"/>
      <c r="S383" s="14"/>
      <c r="T383" s="70"/>
      <c r="U383" s="76" t="s">
        <v>54</v>
      </c>
      <c r="V383" s="76"/>
      <c r="W383" s="76" t="s">
        <v>54</v>
      </c>
      <c r="X383" s="76"/>
      <c r="Y383" s="97"/>
      <c r="Z383" s="87"/>
      <c r="AA383" s="79"/>
      <c r="AB383" s="79" t="s">
        <v>37</v>
      </c>
      <c r="AC383" s="79" t="s">
        <v>37</v>
      </c>
      <c r="AD383" s="79"/>
      <c r="AE383" s="79"/>
      <c r="AF383" s="79"/>
      <c r="AG383" s="79"/>
      <c r="AH383" s="79"/>
      <c r="AI383" s="53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</row>
    <row r="384" spans="1:110" ht="13.8" x14ac:dyDescent="0.25">
      <c r="A384" s="24">
        <v>1205012</v>
      </c>
      <c r="B384" s="26" t="s">
        <v>567</v>
      </c>
      <c r="C384" s="25" t="s">
        <v>713</v>
      </c>
      <c r="D384" s="26"/>
      <c r="E384" s="17" t="s">
        <v>57</v>
      </c>
      <c r="F384" s="10" t="s">
        <v>34</v>
      </c>
      <c r="G384" s="55" t="str">
        <f t="shared" si="11"/>
        <v>Obsolete</v>
      </c>
      <c r="H384" s="10"/>
      <c r="I384" s="13"/>
      <c r="J384" s="56"/>
      <c r="K384" s="57"/>
      <c r="M384" s="14"/>
      <c r="N384" s="14"/>
      <c r="O384" s="14"/>
      <c r="P384" s="14"/>
      <c r="Q384" s="14"/>
      <c r="R384" s="14"/>
      <c r="S384" s="14"/>
      <c r="T384" s="70"/>
      <c r="U384" s="76" t="s">
        <v>54</v>
      </c>
      <c r="V384" s="76"/>
      <c r="W384" s="76" t="s">
        <v>54</v>
      </c>
      <c r="X384" s="76"/>
      <c r="Y384" s="97"/>
      <c r="Z384" s="87"/>
      <c r="AA384" s="79"/>
      <c r="AB384" s="79" t="s">
        <v>37</v>
      </c>
      <c r="AC384" s="79" t="s">
        <v>37</v>
      </c>
      <c r="AD384" s="79"/>
      <c r="AE384" s="79"/>
      <c r="AF384" s="79"/>
      <c r="AG384" s="79"/>
      <c r="AH384" s="79"/>
      <c r="AI384" s="53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</row>
    <row r="385" spans="1:110" ht="13.8" x14ac:dyDescent="0.25">
      <c r="A385" s="24">
        <v>1205013</v>
      </c>
      <c r="B385" s="26" t="s">
        <v>567</v>
      </c>
      <c r="C385" s="25" t="s">
        <v>714</v>
      </c>
      <c r="D385" s="26"/>
      <c r="E385" s="17" t="s">
        <v>57</v>
      </c>
      <c r="F385" s="10" t="s">
        <v>34</v>
      </c>
      <c r="G385" s="55" t="str">
        <f t="shared" si="11"/>
        <v>Obsolete</v>
      </c>
      <c r="H385" s="10"/>
      <c r="I385" s="13"/>
      <c r="J385" s="56"/>
      <c r="K385" s="57"/>
      <c r="M385" s="14"/>
      <c r="N385" s="14"/>
      <c r="O385" s="14"/>
      <c r="P385" s="14"/>
      <c r="Q385" s="14"/>
      <c r="R385" s="14"/>
      <c r="S385" s="14"/>
      <c r="T385" s="70"/>
      <c r="U385" s="76" t="s">
        <v>54</v>
      </c>
      <c r="V385" s="76"/>
      <c r="W385" s="76" t="s">
        <v>54</v>
      </c>
      <c r="X385" s="76"/>
      <c r="Y385" s="97"/>
      <c r="Z385" s="87"/>
      <c r="AA385" s="79"/>
      <c r="AB385" s="79" t="s">
        <v>37</v>
      </c>
      <c r="AC385" s="79" t="s">
        <v>37</v>
      </c>
      <c r="AD385" s="79"/>
      <c r="AE385" s="79"/>
      <c r="AF385" s="79"/>
      <c r="AG385" s="79"/>
      <c r="AH385" s="79"/>
      <c r="AI385" s="53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</row>
    <row r="386" spans="1:110" ht="13.8" x14ac:dyDescent="0.25">
      <c r="A386" s="24">
        <v>1205014</v>
      </c>
      <c r="B386" s="26" t="s">
        <v>567</v>
      </c>
      <c r="C386" s="25" t="s">
        <v>715</v>
      </c>
      <c r="D386" s="26"/>
      <c r="E386" s="17" t="s">
        <v>57</v>
      </c>
      <c r="F386" s="10" t="s">
        <v>34</v>
      </c>
      <c r="G386" s="55" t="str">
        <f t="shared" si="11"/>
        <v>Obsolete</v>
      </c>
      <c r="H386" s="10"/>
      <c r="I386" s="13"/>
      <c r="J386" s="56"/>
      <c r="K386" s="57"/>
      <c r="M386" s="14"/>
      <c r="N386" s="14"/>
      <c r="O386" s="14"/>
      <c r="P386" s="14"/>
      <c r="Q386" s="14"/>
      <c r="R386" s="14"/>
      <c r="S386" s="14"/>
      <c r="T386" s="70"/>
      <c r="U386" s="76" t="s">
        <v>54</v>
      </c>
      <c r="V386" s="76"/>
      <c r="W386" s="76" t="s">
        <v>54</v>
      </c>
      <c r="X386" s="76"/>
      <c r="Y386" s="97"/>
      <c r="Z386" s="87"/>
      <c r="AA386" s="79"/>
      <c r="AB386" s="79" t="s">
        <v>37</v>
      </c>
      <c r="AC386" s="79" t="s">
        <v>37</v>
      </c>
      <c r="AD386" s="79"/>
      <c r="AE386" s="79"/>
      <c r="AF386" s="79"/>
      <c r="AG386" s="79"/>
      <c r="AH386" s="79"/>
      <c r="AI386" s="53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</row>
    <row r="387" spans="1:110" ht="13.8" x14ac:dyDescent="0.25">
      <c r="A387" s="24">
        <v>1205015</v>
      </c>
      <c r="B387" s="26" t="s">
        <v>567</v>
      </c>
      <c r="C387" s="25" t="s">
        <v>716</v>
      </c>
      <c r="D387" s="26"/>
      <c r="E387" s="17" t="s">
        <v>57</v>
      </c>
      <c r="F387" s="10" t="s">
        <v>34</v>
      </c>
      <c r="G387" s="55" t="str">
        <f t="shared" si="11"/>
        <v>Obsolete</v>
      </c>
      <c r="H387" s="10"/>
      <c r="I387" s="13"/>
      <c r="J387" s="56"/>
      <c r="K387" s="57"/>
      <c r="M387" s="14"/>
      <c r="N387" s="14"/>
      <c r="O387" s="14"/>
      <c r="P387" s="14"/>
      <c r="Q387" s="14"/>
      <c r="R387" s="14"/>
      <c r="S387" s="14"/>
      <c r="T387" s="70"/>
      <c r="U387" s="76" t="s">
        <v>54</v>
      </c>
      <c r="V387" s="76"/>
      <c r="W387" s="76" t="s">
        <v>54</v>
      </c>
      <c r="X387" s="76"/>
      <c r="Y387" s="97"/>
      <c r="Z387" s="87"/>
      <c r="AA387" s="79"/>
      <c r="AB387" s="79" t="s">
        <v>37</v>
      </c>
      <c r="AC387" s="79" t="s">
        <v>37</v>
      </c>
      <c r="AD387" s="79"/>
      <c r="AE387" s="79"/>
      <c r="AF387" s="79"/>
      <c r="AG387" s="79"/>
      <c r="AH387" s="79"/>
      <c r="AI387" s="53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</row>
    <row r="388" spans="1:110" ht="13.8" x14ac:dyDescent="0.25">
      <c r="A388" s="24">
        <v>1205016</v>
      </c>
      <c r="B388" s="26" t="s">
        <v>567</v>
      </c>
      <c r="C388" s="25" t="s">
        <v>717</v>
      </c>
      <c r="D388" s="26"/>
      <c r="E388" s="17" t="s">
        <v>57</v>
      </c>
      <c r="F388" s="10" t="s">
        <v>34</v>
      </c>
      <c r="G388" s="55" t="str">
        <f t="shared" si="11"/>
        <v>Obsolete</v>
      </c>
      <c r="H388" s="10"/>
      <c r="I388" s="13"/>
      <c r="J388" s="56"/>
      <c r="K388" s="57"/>
      <c r="M388" s="14"/>
      <c r="N388" s="14"/>
      <c r="O388" s="14"/>
      <c r="P388" s="14"/>
      <c r="Q388" s="14"/>
      <c r="R388" s="14"/>
      <c r="S388" s="14"/>
      <c r="T388" s="70"/>
      <c r="U388" s="76" t="s">
        <v>54</v>
      </c>
      <c r="V388" s="76"/>
      <c r="W388" s="76" t="s">
        <v>54</v>
      </c>
      <c r="X388" s="76"/>
      <c r="Y388" s="97"/>
      <c r="Z388" s="87"/>
      <c r="AA388" s="79"/>
      <c r="AB388" s="79" t="s">
        <v>37</v>
      </c>
      <c r="AC388" s="79" t="s">
        <v>37</v>
      </c>
      <c r="AD388" s="79"/>
      <c r="AE388" s="79"/>
      <c r="AF388" s="79"/>
      <c r="AG388" s="79"/>
      <c r="AH388" s="79"/>
      <c r="AI388" s="53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</row>
    <row r="389" spans="1:110" ht="13.8" x14ac:dyDescent="0.25">
      <c r="A389" s="24">
        <v>1205017</v>
      </c>
      <c r="B389" s="26" t="s">
        <v>567</v>
      </c>
      <c r="C389" s="25" t="s">
        <v>718</v>
      </c>
      <c r="D389" s="26"/>
      <c r="E389" s="17" t="s">
        <v>57</v>
      </c>
      <c r="F389" s="10" t="s">
        <v>34</v>
      </c>
      <c r="G389" s="55" t="str">
        <f t="shared" si="11"/>
        <v>Obsolete</v>
      </c>
      <c r="H389" s="10"/>
      <c r="I389" s="13"/>
      <c r="J389" s="56"/>
      <c r="K389" s="57"/>
      <c r="M389" s="14"/>
      <c r="N389" s="14"/>
      <c r="O389" s="14"/>
      <c r="P389" s="14"/>
      <c r="Q389" s="14"/>
      <c r="R389" s="14"/>
      <c r="S389" s="14"/>
      <c r="T389" s="70"/>
      <c r="U389" s="76" t="s">
        <v>54</v>
      </c>
      <c r="V389" s="76"/>
      <c r="W389" s="76" t="s">
        <v>54</v>
      </c>
      <c r="X389" s="76"/>
      <c r="Y389" s="97"/>
      <c r="Z389" s="87"/>
      <c r="AA389" s="79"/>
      <c r="AB389" s="79" t="s">
        <v>37</v>
      </c>
      <c r="AC389" s="79" t="s">
        <v>37</v>
      </c>
      <c r="AD389" s="79"/>
      <c r="AE389" s="79"/>
      <c r="AF389" s="79"/>
      <c r="AG389" s="79"/>
      <c r="AH389" s="79"/>
      <c r="AI389" s="53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</row>
    <row r="390" spans="1:110" ht="13.8" x14ac:dyDescent="0.25">
      <c r="A390" s="24">
        <v>1205018</v>
      </c>
      <c r="B390" s="26" t="s">
        <v>567</v>
      </c>
      <c r="C390" s="25" t="s">
        <v>719</v>
      </c>
      <c r="D390" s="26"/>
      <c r="E390" s="17" t="s">
        <v>57</v>
      </c>
      <c r="F390" s="10" t="s">
        <v>34</v>
      </c>
      <c r="G390" s="55" t="str">
        <f t="shared" si="11"/>
        <v>Obsolete</v>
      </c>
      <c r="H390" s="10"/>
      <c r="I390" s="13"/>
      <c r="J390" s="56"/>
      <c r="K390" s="57"/>
      <c r="M390" s="14"/>
      <c r="N390" s="14"/>
      <c r="O390" s="14"/>
      <c r="P390" s="14"/>
      <c r="Q390" s="14"/>
      <c r="R390" s="14"/>
      <c r="S390" s="14"/>
      <c r="T390" s="70"/>
      <c r="U390" s="76" t="s">
        <v>54</v>
      </c>
      <c r="V390" s="76"/>
      <c r="W390" s="76" t="s">
        <v>54</v>
      </c>
      <c r="X390" s="76"/>
      <c r="Y390" s="97"/>
      <c r="Z390" s="87"/>
      <c r="AA390" s="79"/>
      <c r="AB390" s="79" t="s">
        <v>37</v>
      </c>
      <c r="AC390" s="79" t="s">
        <v>37</v>
      </c>
      <c r="AD390" s="79"/>
      <c r="AE390" s="79"/>
      <c r="AF390" s="79"/>
      <c r="AG390" s="79"/>
      <c r="AH390" s="79"/>
      <c r="AI390" s="53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</row>
    <row r="391" spans="1:110" ht="13.8" x14ac:dyDescent="0.25">
      <c r="A391" s="24">
        <v>1205019</v>
      </c>
      <c r="B391" s="26" t="s">
        <v>567</v>
      </c>
      <c r="C391" s="25" t="s">
        <v>720</v>
      </c>
      <c r="D391" s="26"/>
      <c r="E391" s="17" t="s">
        <v>57</v>
      </c>
      <c r="F391" s="10" t="s">
        <v>34</v>
      </c>
      <c r="G391" s="55" t="str">
        <f t="shared" si="11"/>
        <v>Obsolete</v>
      </c>
      <c r="H391" s="10"/>
      <c r="I391" s="13"/>
      <c r="J391" s="56"/>
      <c r="K391" s="57"/>
      <c r="M391" s="14"/>
      <c r="N391" s="14"/>
      <c r="O391" s="14"/>
      <c r="P391" s="14"/>
      <c r="Q391" s="14"/>
      <c r="R391" s="14"/>
      <c r="S391" s="14"/>
      <c r="T391" s="70"/>
      <c r="U391" s="76" t="s">
        <v>54</v>
      </c>
      <c r="V391" s="76"/>
      <c r="W391" s="76" t="s">
        <v>54</v>
      </c>
      <c r="X391" s="76"/>
      <c r="Y391" s="97"/>
      <c r="Z391" s="87"/>
      <c r="AA391" s="79"/>
      <c r="AB391" s="79" t="s">
        <v>37</v>
      </c>
      <c r="AC391" s="79" t="s">
        <v>37</v>
      </c>
      <c r="AD391" s="79"/>
      <c r="AE391" s="79"/>
      <c r="AF391" s="79"/>
      <c r="AG391" s="79"/>
      <c r="AH391" s="79"/>
      <c r="AI391" s="53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</row>
    <row r="392" spans="1:110" ht="13.8" x14ac:dyDescent="0.25">
      <c r="A392" s="24">
        <v>1205020</v>
      </c>
      <c r="B392" s="26" t="s">
        <v>567</v>
      </c>
      <c r="C392" s="12" t="s">
        <v>721</v>
      </c>
      <c r="D392" s="11"/>
      <c r="E392" s="17" t="s">
        <v>57</v>
      </c>
      <c r="F392" s="10" t="s">
        <v>34</v>
      </c>
      <c r="G392" s="55" t="str">
        <f t="shared" si="11"/>
        <v>Obsolete</v>
      </c>
      <c r="H392" s="10"/>
      <c r="I392" s="13"/>
      <c r="J392" s="56"/>
      <c r="K392" s="57"/>
      <c r="M392" s="14"/>
      <c r="N392" s="14"/>
      <c r="O392" s="14"/>
      <c r="P392" s="14"/>
      <c r="Q392" s="14"/>
      <c r="R392" s="14"/>
      <c r="S392" s="14"/>
      <c r="T392" s="70"/>
      <c r="U392" s="76" t="s">
        <v>54</v>
      </c>
      <c r="V392" s="76"/>
      <c r="W392" s="76" t="s">
        <v>54</v>
      </c>
      <c r="X392" s="76"/>
      <c r="Y392" s="97"/>
      <c r="Z392" s="78"/>
      <c r="AA392" s="79" t="s">
        <v>55</v>
      </c>
      <c r="AB392" s="79" t="s">
        <v>37</v>
      </c>
      <c r="AC392" s="79" t="s">
        <v>37</v>
      </c>
      <c r="AD392" s="79"/>
      <c r="AE392" s="79"/>
      <c r="AF392" s="79"/>
      <c r="AG392" s="79"/>
      <c r="AH392" s="79"/>
      <c r="AI392" s="53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</row>
    <row r="393" spans="1:110" ht="13.8" x14ac:dyDescent="0.25">
      <c r="A393" s="24">
        <v>1205021</v>
      </c>
      <c r="B393" s="26" t="s">
        <v>567</v>
      </c>
      <c r="C393" s="12" t="s">
        <v>722</v>
      </c>
      <c r="D393" s="11"/>
      <c r="E393" s="17" t="s">
        <v>57</v>
      </c>
      <c r="F393" s="10" t="s">
        <v>34</v>
      </c>
      <c r="G393" s="55" t="str">
        <f t="shared" si="11"/>
        <v>Obsolete</v>
      </c>
      <c r="H393" s="10"/>
      <c r="I393" s="13"/>
      <c r="J393" s="56"/>
      <c r="K393" s="57"/>
      <c r="M393" s="14"/>
      <c r="N393" s="14"/>
      <c r="O393" s="14"/>
      <c r="P393" s="14"/>
      <c r="Q393" s="14"/>
      <c r="R393" s="14"/>
      <c r="S393" s="14"/>
      <c r="T393" s="70"/>
      <c r="U393" s="76" t="s">
        <v>54</v>
      </c>
      <c r="V393" s="76"/>
      <c r="W393" s="76" t="s">
        <v>54</v>
      </c>
      <c r="X393" s="76"/>
      <c r="Y393" s="97"/>
      <c r="Z393" s="78"/>
      <c r="AA393" s="79" t="s">
        <v>55</v>
      </c>
      <c r="AB393" s="79" t="s">
        <v>37</v>
      </c>
      <c r="AC393" s="79" t="s">
        <v>37</v>
      </c>
      <c r="AD393" s="79"/>
      <c r="AE393" s="79"/>
      <c r="AF393" s="79"/>
      <c r="AG393" s="79"/>
      <c r="AH393" s="79"/>
      <c r="AI393" s="53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</row>
    <row r="394" spans="1:110" ht="13.8" x14ac:dyDescent="0.25">
      <c r="A394" s="24">
        <v>1205022</v>
      </c>
      <c r="B394" s="26" t="s">
        <v>567</v>
      </c>
      <c r="C394" s="25" t="s">
        <v>723</v>
      </c>
      <c r="D394" s="26"/>
      <c r="E394" s="17" t="s">
        <v>57</v>
      </c>
      <c r="F394" s="10" t="s">
        <v>34</v>
      </c>
      <c r="G394" s="55" t="str">
        <f t="shared" si="11"/>
        <v>Obsolete</v>
      </c>
      <c r="H394" s="10"/>
      <c r="I394" s="13"/>
      <c r="J394" s="56"/>
      <c r="K394" s="57"/>
      <c r="M394" s="14"/>
      <c r="N394" s="14"/>
      <c r="O394" s="14"/>
      <c r="P394" s="14"/>
      <c r="Q394" s="14"/>
      <c r="R394" s="14"/>
      <c r="S394" s="14"/>
      <c r="T394" s="70"/>
      <c r="U394" s="76" t="s">
        <v>54</v>
      </c>
      <c r="V394" s="76"/>
      <c r="W394" s="76" t="s">
        <v>54</v>
      </c>
      <c r="X394" s="76"/>
      <c r="Y394" s="97"/>
      <c r="Z394" s="87"/>
      <c r="AA394" s="79"/>
      <c r="AB394" s="79" t="s">
        <v>37</v>
      </c>
      <c r="AC394" s="79" t="s">
        <v>37</v>
      </c>
      <c r="AD394" s="79"/>
      <c r="AE394" s="79"/>
      <c r="AF394" s="79"/>
      <c r="AG394" s="79"/>
      <c r="AH394" s="79"/>
      <c r="AI394" s="53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</row>
    <row r="395" spans="1:110" ht="13.8" x14ac:dyDescent="0.25">
      <c r="A395" s="24">
        <v>1205026</v>
      </c>
      <c r="B395" s="26" t="s">
        <v>567</v>
      </c>
      <c r="C395" s="12" t="s">
        <v>724</v>
      </c>
      <c r="D395" s="11"/>
      <c r="E395" s="17" t="s">
        <v>57</v>
      </c>
      <c r="F395" s="10" t="s">
        <v>34</v>
      </c>
      <c r="G395" s="55" t="str">
        <f t="shared" si="11"/>
        <v>Obsolete</v>
      </c>
      <c r="H395" s="10"/>
      <c r="I395" s="13"/>
      <c r="J395" s="56"/>
      <c r="K395" s="57"/>
      <c r="M395" s="14"/>
      <c r="N395" s="14"/>
      <c r="O395" s="14"/>
      <c r="P395" s="14"/>
      <c r="Q395" s="14"/>
      <c r="R395" s="14"/>
      <c r="S395" s="14"/>
      <c r="T395" s="70"/>
      <c r="U395" s="76" t="s">
        <v>54</v>
      </c>
      <c r="V395" s="76"/>
      <c r="W395" s="76" t="s">
        <v>54</v>
      </c>
      <c r="X395" s="76"/>
      <c r="Y395" s="97"/>
      <c r="Z395" s="78"/>
      <c r="AA395" s="79" t="s">
        <v>55</v>
      </c>
      <c r="AB395" s="79" t="s">
        <v>37</v>
      </c>
      <c r="AC395" s="79" t="s">
        <v>37</v>
      </c>
      <c r="AD395" s="79"/>
      <c r="AE395" s="79"/>
      <c r="AF395" s="79"/>
      <c r="AG395" s="79"/>
      <c r="AH395" s="79"/>
      <c r="AI395" s="53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</row>
    <row r="396" spans="1:110" ht="13.8" x14ac:dyDescent="0.25">
      <c r="A396" s="24">
        <v>1205027</v>
      </c>
      <c r="B396" s="26" t="s">
        <v>567</v>
      </c>
      <c r="C396" s="12" t="s">
        <v>725</v>
      </c>
      <c r="D396" s="11"/>
      <c r="E396" s="17" t="s">
        <v>57</v>
      </c>
      <c r="F396" s="10" t="s">
        <v>34</v>
      </c>
      <c r="G396" s="55" t="str">
        <f t="shared" si="11"/>
        <v>Obsolete</v>
      </c>
      <c r="H396" s="10"/>
      <c r="I396" s="13"/>
      <c r="J396" s="56"/>
      <c r="K396" s="57"/>
      <c r="M396" s="14"/>
      <c r="N396" s="14"/>
      <c r="O396" s="14"/>
      <c r="P396" s="14"/>
      <c r="Q396" s="14"/>
      <c r="R396" s="14"/>
      <c r="S396" s="14"/>
      <c r="T396" s="70"/>
      <c r="U396" s="76" t="s">
        <v>54</v>
      </c>
      <c r="V396" s="76"/>
      <c r="W396" s="76" t="s">
        <v>54</v>
      </c>
      <c r="X396" s="76"/>
      <c r="Y396" s="97"/>
      <c r="Z396" s="78"/>
      <c r="AA396" s="79" t="s">
        <v>55</v>
      </c>
      <c r="AB396" s="79" t="s">
        <v>37</v>
      </c>
      <c r="AC396" s="79" t="s">
        <v>37</v>
      </c>
      <c r="AD396" s="79"/>
      <c r="AE396" s="79"/>
      <c r="AF396" s="79"/>
      <c r="AG396" s="79"/>
      <c r="AH396" s="79"/>
      <c r="AI396" s="53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</row>
    <row r="397" spans="1:110" ht="13.8" x14ac:dyDescent="0.25">
      <c r="A397" s="24">
        <v>1205028</v>
      </c>
      <c r="B397" s="26" t="s">
        <v>567</v>
      </c>
      <c r="C397" s="12" t="s">
        <v>726</v>
      </c>
      <c r="D397" s="11"/>
      <c r="E397" s="17" t="s">
        <v>57</v>
      </c>
      <c r="F397" s="10" t="s">
        <v>34</v>
      </c>
      <c r="G397" s="55" t="str">
        <f t="shared" si="11"/>
        <v>Obsolete</v>
      </c>
      <c r="H397" s="10"/>
      <c r="I397" s="13"/>
      <c r="J397" s="56"/>
      <c r="K397" s="57"/>
      <c r="M397" s="14"/>
      <c r="N397" s="14"/>
      <c r="O397" s="14"/>
      <c r="P397" s="14"/>
      <c r="Q397" s="14"/>
      <c r="R397" s="14"/>
      <c r="S397" s="14"/>
      <c r="T397" s="70"/>
      <c r="U397" s="76" t="s">
        <v>54</v>
      </c>
      <c r="V397" s="76"/>
      <c r="W397" s="76" t="s">
        <v>54</v>
      </c>
      <c r="X397" s="76"/>
      <c r="Y397" s="97"/>
      <c r="Z397" s="78"/>
      <c r="AA397" s="79" t="s">
        <v>55</v>
      </c>
      <c r="AB397" s="79" t="s">
        <v>37</v>
      </c>
      <c r="AC397" s="79" t="s">
        <v>37</v>
      </c>
      <c r="AD397" s="79"/>
      <c r="AE397" s="79"/>
      <c r="AF397" s="79"/>
      <c r="AG397" s="79"/>
      <c r="AH397" s="79"/>
      <c r="AI397" s="53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</row>
    <row r="398" spans="1:110" ht="13.8" x14ac:dyDescent="0.25">
      <c r="A398" s="24">
        <v>1205031</v>
      </c>
      <c r="B398" s="26" t="s">
        <v>567</v>
      </c>
      <c r="C398" s="12" t="s">
        <v>727</v>
      </c>
      <c r="D398" s="11"/>
      <c r="E398" s="17" t="s">
        <v>57</v>
      </c>
      <c r="F398" s="10" t="s">
        <v>34</v>
      </c>
      <c r="G398" s="55" t="str">
        <f t="shared" si="11"/>
        <v>Obsolete</v>
      </c>
      <c r="H398" s="10"/>
      <c r="I398" s="13"/>
      <c r="J398" s="56"/>
      <c r="K398" s="57"/>
      <c r="M398" s="14"/>
      <c r="N398" s="14"/>
      <c r="O398" s="14"/>
      <c r="P398" s="14"/>
      <c r="Q398" s="14"/>
      <c r="R398" s="14"/>
      <c r="S398" s="14"/>
      <c r="T398" s="70"/>
      <c r="U398" s="76" t="s">
        <v>54</v>
      </c>
      <c r="V398" s="76"/>
      <c r="W398" s="76" t="s">
        <v>54</v>
      </c>
      <c r="X398" s="76"/>
      <c r="Y398" s="97"/>
      <c r="Z398" s="78"/>
      <c r="AA398" s="79" t="s">
        <v>55</v>
      </c>
      <c r="AB398" s="79" t="s">
        <v>37</v>
      </c>
      <c r="AC398" s="79" t="s">
        <v>37</v>
      </c>
      <c r="AD398" s="79"/>
      <c r="AE398" s="79"/>
      <c r="AF398" s="79"/>
      <c r="AG398" s="79"/>
      <c r="AH398" s="79"/>
      <c r="AI398" s="53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</row>
    <row r="399" spans="1:110" ht="13.8" x14ac:dyDescent="0.25">
      <c r="A399" s="24">
        <v>1205032</v>
      </c>
      <c r="B399" s="26" t="s">
        <v>567</v>
      </c>
      <c r="C399" s="25" t="s">
        <v>728</v>
      </c>
      <c r="D399" s="26"/>
      <c r="E399" s="17" t="s">
        <v>57</v>
      </c>
      <c r="F399" s="10" t="s">
        <v>34</v>
      </c>
      <c r="G399" s="55" t="str">
        <f t="shared" si="11"/>
        <v>Obsolete</v>
      </c>
      <c r="H399" s="10"/>
      <c r="I399" s="13"/>
      <c r="J399" s="56"/>
      <c r="K399" s="57"/>
      <c r="M399" s="14"/>
      <c r="N399" s="14"/>
      <c r="O399" s="14"/>
      <c r="P399" s="14"/>
      <c r="Q399" s="14"/>
      <c r="R399" s="14"/>
      <c r="S399" s="14"/>
      <c r="T399" s="70"/>
      <c r="U399" s="76" t="s">
        <v>54</v>
      </c>
      <c r="V399" s="76"/>
      <c r="W399" s="76" t="s">
        <v>54</v>
      </c>
      <c r="X399" s="76"/>
      <c r="Y399" s="97"/>
      <c r="Z399" s="87"/>
      <c r="AA399" s="79"/>
      <c r="AB399" s="79" t="s">
        <v>37</v>
      </c>
      <c r="AC399" s="79" t="s">
        <v>37</v>
      </c>
      <c r="AD399" s="79"/>
      <c r="AE399" s="79"/>
      <c r="AF399" s="79"/>
      <c r="AG399" s="79"/>
      <c r="AH399" s="79"/>
      <c r="AI399" s="53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</row>
    <row r="400" spans="1:110" ht="13.8" x14ac:dyDescent="0.25">
      <c r="A400" s="24">
        <v>1205036</v>
      </c>
      <c r="B400" s="26" t="s">
        <v>567</v>
      </c>
      <c r="C400" s="12" t="s">
        <v>729</v>
      </c>
      <c r="D400" s="11"/>
      <c r="E400" s="17" t="s">
        <v>57</v>
      </c>
      <c r="F400" s="10" t="s">
        <v>34</v>
      </c>
      <c r="G400" s="55" t="str">
        <f t="shared" si="11"/>
        <v>Obsolete</v>
      </c>
      <c r="H400" s="10"/>
      <c r="I400" s="13"/>
      <c r="J400" s="56"/>
      <c r="K400" s="57"/>
      <c r="M400" s="14"/>
      <c r="N400" s="14"/>
      <c r="O400" s="14"/>
      <c r="P400" s="14"/>
      <c r="Q400" s="14"/>
      <c r="R400" s="14"/>
      <c r="S400" s="14"/>
      <c r="T400" s="70"/>
      <c r="U400" s="76" t="s">
        <v>54</v>
      </c>
      <c r="V400" s="76"/>
      <c r="W400" s="76" t="s">
        <v>54</v>
      </c>
      <c r="X400" s="76"/>
      <c r="Y400" s="97"/>
      <c r="Z400" s="78"/>
      <c r="AA400" s="79" t="s">
        <v>55</v>
      </c>
      <c r="AB400" s="79" t="s">
        <v>37</v>
      </c>
      <c r="AC400" s="79" t="s">
        <v>37</v>
      </c>
      <c r="AD400" s="79"/>
      <c r="AE400" s="79"/>
      <c r="AF400" s="79"/>
      <c r="AG400" s="79"/>
      <c r="AH400" s="79"/>
      <c r="AI400" s="53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</row>
    <row r="401" spans="1:110" ht="13.8" x14ac:dyDescent="0.25">
      <c r="A401" s="24">
        <v>1205037</v>
      </c>
      <c r="B401" s="26" t="s">
        <v>567</v>
      </c>
      <c r="C401" s="12" t="s">
        <v>730</v>
      </c>
      <c r="D401" s="11"/>
      <c r="E401" s="17" t="s">
        <v>57</v>
      </c>
      <c r="F401" s="10" t="s">
        <v>34</v>
      </c>
      <c r="G401" s="55" t="str">
        <f t="shared" si="11"/>
        <v>Obsolete</v>
      </c>
      <c r="H401" s="10"/>
      <c r="I401" s="13"/>
      <c r="J401" s="56"/>
      <c r="K401" s="57"/>
      <c r="M401" s="14"/>
      <c r="N401" s="14"/>
      <c r="O401" s="14"/>
      <c r="P401" s="14"/>
      <c r="Q401" s="14"/>
      <c r="R401" s="14"/>
      <c r="S401" s="14"/>
      <c r="T401" s="70"/>
      <c r="U401" s="76" t="s">
        <v>54</v>
      </c>
      <c r="V401" s="76"/>
      <c r="W401" s="76" t="s">
        <v>54</v>
      </c>
      <c r="X401" s="76"/>
      <c r="Y401" s="97"/>
      <c r="Z401" s="78"/>
      <c r="AA401" s="79" t="s">
        <v>55</v>
      </c>
      <c r="AB401" s="79" t="s">
        <v>37</v>
      </c>
      <c r="AC401" s="79" t="s">
        <v>37</v>
      </c>
      <c r="AD401" s="79"/>
      <c r="AE401" s="79"/>
      <c r="AF401" s="79"/>
      <c r="AG401" s="79"/>
      <c r="AH401" s="79"/>
      <c r="AI401" s="53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</row>
    <row r="402" spans="1:110" ht="13.8" x14ac:dyDescent="0.25">
      <c r="A402" s="24">
        <v>1205038</v>
      </c>
      <c r="B402" s="26" t="s">
        <v>567</v>
      </c>
      <c r="C402" s="12" t="s">
        <v>731</v>
      </c>
      <c r="D402" s="11"/>
      <c r="E402" s="10" t="s">
        <v>55</v>
      </c>
      <c r="F402" s="10" t="s">
        <v>34</v>
      </c>
      <c r="G402" s="55" t="str">
        <f t="shared" si="11"/>
        <v>Obsolete</v>
      </c>
      <c r="H402" s="10">
        <v>1</v>
      </c>
      <c r="I402" s="13"/>
      <c r="J402" s="56"/>
      <c r="K402" s="57"/>
      <c r="M402" s="14">
        <v>94.9</v>
      </c>
      <c r="N402" s="14"/>
      <c r="O402" s="14"/>
      <c r="P402" s="14"/>
      <c r="Q402" s="14"/>
      <c r="R402" s="14"/>
      <c r="S402" s="14"/>
      <c r="T402" s="70"/>
      <c r="U402" s="76" t="s">
        <v>54</v>
      </c>
      <c r="V402" s="76"/>
      <c r="W402" s="76" t="s">
        <v>54</v>
      </c>
      <c r="X402" s="76"/>
      <c r="Y402" s="97"/>
      <c r="Z402" s="78"/>
      <c r="AA402" s="79" t="s">
        <v>55</v>
      </c>
      <c r="AB402" s="79" t="s">
        <v>37</v>
      </c>
      <c r="AC402" s="79" t="s">
        <v>37</v>
      </c>
      <c r="AD402" s="79"/>
      <c r="AE402" s="79"/>
      <c r="AF402" s="79"/>
      <c r="AG402" s="79"/>
      <c r="AH402" s="79"/>
      <c r="AI402" s="53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</row>
    <row r="403" spans="1:110" ht="13.8" x14ac:dyDescent="0.25">
      <c r="A403" s="24">
        <v>1205039</v>
      </c>
      <c r="B403" s="26" t="s">
        <v>567</v>
      </c>
      <c r="C403" s="25" t="s">
        <v>732</v>
      </c>
      <c r="D403" s="26"/>
      <c r="E403" s="17" t="s">
        <v>57</v>
      </c>
      <c r="F403" s="10" t="s">
        <v>34</v>
      </c>
      <c r="G403" s="55" t="str">
        <f t="shared" si="11"/>
        <v>Obsolete</v>
      </c>
      <c r="H403" s="10"/>
      <c r="I403" s="13"/>
      <c r="J403" s="56"/>
      <c r="K403" s="57"/>
      <c r="M403" s="14"/>
      <c r="N403" s="14"/>
      <c r="O403" s="14"/>
      <c r="P403" s="14"/>
      <c r="Q403" s="14"/>
      <c r="R403" s="14"/>
      <c r="S403" s="14"/>
      <c r="T403" s="70"/>
      <c r="U403" s="76" t="s">
        <v>54</v>
      </c>
      <c r="V403" s="76"/>
      <c r="W403" s="76" t="s">
        <v>54</v>
      </c>
      <c r="X403" s="76"/>
      <c r="Y403" s="97"/>
      <c r="Z403" s="87"/>
      <c r="AA403" s="79"/>
      <c r="AB403" s="79" t="s">
        <v>37</v>
      </c>
      <c r="AC403" s="79" t="s">
        <v>37</v>
      </c>
      <c r="AD403" s="79"/>
      <c r="AE403" s="79"/>
      <c r="AF403" s="79"/>
      <c r="AG403" s="79"/>
      <c r="AH403" s="79"/>
      <c r="AI403" s="53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</row>
    <row r="404" spans="1:110" ht="13.8" x14ac:dyDescent="0.25">
      <c r="A404" s="24">
        <v>1205040</v>
      </c>
      <c r="B404" s="26" t="s">
        <v>567</v>
      </c>
      <c r="C404" s="12" t="s">
        <v>733</v>
      </c>
      <c r="D404" s="11"/>
      <c r="E404" s="17" t="s">
        <v>57</v>
      </c>
      <c r="F404" s="10" t="s">
        <v>34</v>
      </c>
      <c r="G404" s="55" t="str">
        <f t="shared" si="11"/>
        <v>Obsolete</v>
      </c>
      <c r="H404" s="10"/>
      <c r="I404" s="13"/>
      <c r="J404" s="56"/>
      <c r="K404" s="57"/>
      <c r="M404" s="14"/>
      <c r="N404" s="14"/>
      <c r="O404" s="14"/>
      <c r="P404" s="14"/>
      <c r="Q404" s="14"/>
      <c r="R404" s="14"/>
      <c r="S404" s="14"/>
      <c r="T404" s="70"/>
      <c r="U404" s="76" t="s">
        <v>54</v>
      </c>
      <c r="V404" s="76"/>
      <c r="W404" s="76" t="s">
        <v>54</v>
      </c>
      <c r="X404" s="76"/>
      <c r="Y404" s="97"/>
      <c r="Z404" s="78"/>
      <c r="AA404" s="79" t="s">
        <v>55</v>
      </c>
      <c r="AB404" s="79" t="s">
        <v>37</v>
      </c>
      <c r="AC404" s="79" t="s">
        <v>37</v>
      </c>
      <c r="AD404" s="79"/>
      <c r="AE404" s="79"/>
      <c r="AF404" s="79"/>
      <c r="AG404" s="79"/>
      <c r="AH404" s="79"/>
      <c r="AI404" s="53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</row>
    <row r="405" spans="1:110" ht="13.8" x14ac:dyDescent="0.25">
      <c r="A405" s="24">
        <v>1205042</v>
      </c>
      <c r="B405" s="26" t="s">
        <v>567</v>
      </c>
      <c r="C405" s="12" t="s">
        <v>734</v>
      </c>
      <c r="D405" s="11"/>
      <c r="E405" s="17" t="s">
        <v>57</v>
      </c>
      <c r="F405" s="10" t="s">
        <v>34</v>
      </c>
      <c r="G405" s="55" t="str">
        <f t="shared" si="11"/>
        <v>Obsolete</v>
      </c>
      <c r="H405" s="10"/>
      <c r="I405" s="13"/>
      <c r="J405" s="56"/>
      <c r="K405" s="57"/>
      <c r="M405" s="14"/>
      <c r="N405" s="14"/>
      <c r="O405" s="14"/>
      <c r="P405" s="14"/>
      <c r="Q405" s="14"/>
      <c r="R405" s="14"/>
      <c r="S405" s="14"/>
      <c r="T405" s="70"/>
      <c r="U405" s="76" t="s">
        <v>54</v>
      </c>
      <c r="V405" s="76"/>
      <c r="W405" s="76" t="s">
        <v>54</v>
      </c>
      <c r="X405" s="76"/>
      <c r="Y405" s="97"/>
      <c r="Z405" s="78"/>
      <c r="AA405" s="79" t="s">
        <v>55</v>
      </c>
      <c r="AB405" s="79" t="s">
        <v>37</v>
      </c>
      <c r="AC405" s="79" t="s">
        <v>37</v>
      </c>
      <c r="AD405" s="79"/>
      <c r="AE405" s="79"/>
      <c r="AF405" s="79"/>
      <c r="AG405" s="79"/>
      <c r="AH405" s="79"/>
      <c r="AI405" s="53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</row>
    <row r="406" spans="1:110" ht="13.8" x14ac:dyDescent="0.25">
      <c r="A406" s="24">
        <v>1205048</v>
      </c>
      <c r="B406" s="26" t="s">
        <v>567</v>
      </c>
      <c r="C406" s="12" t="s">
        <v>735</v>
      </c>
      <c r="D406" s="11"/>
      <c r="E406" s="17" t="s">
        <v>57</v>
      </c>
      <c r="F406" s="10" t="s">
        <v>34</v>
      </c>
      <c r="G406" s="55" t="str">
        <f t="shared" si="11"/>
        <v>Obsolete</v>
      </c>
      <c r="H406" s="10"/>
      <c r="I406" s="13"/>
      <c r="J406" s="56"/>
      <c r="K406" s="57"/>
      <c r="M406" s="14"/>
      <c r="N406" s="14"/>
      <c r="O406" s="14"/>
      <c r="P406" s="14"/>
      <c r="Q406" s="14"/>
      <c r="R406" s="14"/>
      <c r="S406" s="14"/>
      <c r="T406" s="70"/>
      <c r="U406" s="76" t="s">
        <v>54</v>
      </c>
      <c r="V406" s="76"/>
      <c r="W406" s="76" t="s">
        <v>54</v>
      </c>
      <c r="X406" s="76"/>
      <c r="Y406" s="97"/>
      <c r="Z406" s="78"/>
      <c r="AA406" s="79" t="s">
        <v>55</v>
      </c>
      <c r="AB406" s="79" t="s">
        <v>37</v>
      </c>
      <c r="AC406" s="79" t="s">
        <v>37</v>
      </c>
      <c r="AD406" s="79"/>
      <c r="AE406" s="79"/>
      <c r="AF406" s="79"/>
      <c r="AG406" s="79"/>
      <c r="AH406" s="79"/>
      <c r="AI406" s="53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</row>
    <row r="407" spans="1:110" ht="13.8" x14ac:dyDescent="0.25">
      <c r="A407" s="24">
        <v>1206001</v>
      </c>
      <c r="B407" s="26" t="s">
        <v>567</v>
      </c>
      <c r="C407" s="12" t="s">
        <v>736</v>
      </c>
      <c r="D407" s="11"/>
      <c r="E407" s="10" t="s">
        <v>684</v>
      </c>
      <c r="F407" s="10" t="s">
        <v>34</v>
      </c>
      <c r="G407" s="55" t="str">
        <f t="shared" si="11"/>
        <v>Obsolete</v>
      </c>
      <c r="H407" s="10">
        <v>1</v>
      </c>
      <c r="I407" s="13"/>
      <c r="J407" s="56"/>
      <c r="K407" s="57"/>
      <c r="M407" s="14"/>
      <c r="N407" s="14"/>
      <c r="O407" s="14"/>
      <c r="P407" s="14"/>
      <c r="Q407" s="14"/>
      <c r="R407" s="14"/>
      <c r="S407" s="14"/>
      <c r="T407" s="70"/>
      <c r="U407" s="76" t="s">
        <v>54</v>
      </c>
      <c r="V407" s="76"/>
      <c r="W407" s="76" t="s">
        <v>54</v>
      </c>
      <c r="X407" s="76"/>
      <c r="Y407" s="97"/>
      <c r="Z407" s="78"/>
      <c r="AA407" s="79" t="s">
        <v>64</v>
      </c>
      <c r="AB407" s="79" t="s">
        <v>37</v>
      </c>
      <c r="AC407" s="79" t="s">
        <v>37</v>
      </c>
      <c r="AD407" s="79"/>
      <c r="AE407" s="79" t="s">
        <v>685</v>
      </c>
      <c r="AF407" s="79" t="s">
        <v>686</v>
      </c>
      <c r="AG407" s="79" t="s">
        <v>687</v>
      </c>
      <c r="AH407" s="79"/>
      <c r="AI407" s="53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</row>
    <row r="408" spans="1:110" ht="20.399999999999999" x14ac:dyDescent="0.25">
      <c r="A408" s="24">
        <v>1206002</v>
      </c>
      <c r="B408" s="26" t="s">
        <v>567</v>
      </c>
      <c r="C408" s="25" t="s">
        <v>737</v>
      </c>
      <c r="D408" s="11"/>
      <c r="E408" s="10" t="s">
        <v>684</v>
      </c>
      <c r="F408" s="10" t="s">
        <v>738</v>
      </c>
      <c r="G408" s="55" t="str">
        <f t="shared" si="11"/>
        <v>Obsolete</v>
      </c>
      <c r="H408" s="10"/>
      <c r="I408" s="13"/>
      <c r="J408" s="56"/>
      <c r="K408" s="57"/>
      <c r="M408" s="14"/>
      <c r="N408" s="14"/>
      <c r="O408" s="14"/>
      <c r="P408" s="14"/>
      <c r="Q408" s="14"/>
      <c r="R408" s="14"/>
      <c r="S408" s="14"/>
      <c r="T408" s="70"/>
      <c r="U408" s="76" t="s">
        <v>54</v>
      </c>
      <c r="V408" s="76"/>
      <c r="W408" s="76" t="s">
        <v>54</v>
      </c>
      <c r="X408" s="76"/>
      <c r="Y408" s="97"/>
      <c r="Z408" s="78"/>
      <c r="AA408" s="79" t="s">
        <v>36</v>
      </c>
      <c r="AB408" s="79" t="s">
        <v>37</v>
      </c>
      <c r="AC408" s="79" t="s">
        <v>37</v>
      </c>
      <c r="AD408" s="79"/>
      <c r="AE408" s="79" t="s">
        <v>685</v>
      </c>
      <c r="AF408" s="79" t="s">
        <v>686</v>
      </c>
      <c r="AG408" s="79" t="s">
        <v>687</v>
      </c>
      <c r="AH408" s="79"/>
      <c r="AI408" s="53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</row>
    <row r="409" spans="1:110" ht="20.399999999999999" x14ac:dyDescent="0.25">
      <c r="A409" s="24">
        <v>1206003</v>
      </c>
      <c r="B409" s="26" t="s">
        <v>567</v>
      </c>
      <c r="C409" s="25" t="s">
        <v>739</v>
      </c>
      <c r="D409" s="11"/>
      <c r="E409" s="10" t="s">
        <v>684</v>
      </c>
      <c r="F409" s="10" t="s">
        <v>607</v>
      </c>
      <c r="G409" s="55">
        <f t="shared" si="11"/>
        <v>247.52</v>
      </c>
      <c r="H409" s="10">
        <v>2</v>
      </c>
      <c r="I409" s="13">
        <v>1</v>
      </c>
      <c r="J409" s="56"/>
      <c r="K409" s="57"/>
      <c r="M409" s="14"/>
      <c r="N409" s="14"/>
      <c r="O409" s="14"/>
      <c r="P409" s="14"/>
      <c r="Q409" s="14"/>
      <c r="R409" s="14"/>
      <c r="S409" s="14"/>
      <c r="T409" s="70"/>
      <c r="U409" s="76">
        <v>242</v>
      </c>
      <c r="V409" s="76">
        <v>5.52</v>
      </c>
      <c r="W409" s="76">
        <v>226</v>
      </c>
      <c r="X409" s="76">
        <v>5.52</v>
      </c>
      <c r="Y409" s="77" t="s">
        <v>37</v>
      </c>
      <c r="Z409" s="78">
        <v>1</v>
      </c>
      <c r="AA409" s="79" t="s">
        <v>36</v>
      </c>
      <c r="AB409" s="79" t="s">
        <v>35</v>
      </c>
      <c r="AC409" s="79" t="s">
        <v>37</v>
      </c>
      <c r="AD409" s="79" t="s">
        <v>38</v>
      </c>
      <c r="AE409" s="79" t="s">
        <v>685</v>
      </c>
      <c r="AF409" s="79" t="s">
        <v>686</v>
      </c>
      <c r="AG409" s="79" t="s">
        <v>687</v>
      </c>
      <c r="AH409" s="79"/>
      <c r="AI409" s="53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</row>
    <row r="410" spans="1:110" ht="13.8" x14ac:dyDescent="0.25">
      <c r="A410" s="24">
        <v>1206004</v>
      </c>
      <c r="B410" s="26" t="s">
        <v>567</v>
      </c>
      <c r="C410" s="12" t="s">
        <v>740</v>
      </c>
      <c r="D410" s="11"/>
      <c r="E410" s="10" t="s">
        <v>584</v>
      </c>
      <c r="F410" s="10" t="s">
        <v>34</v>
      </c>
      <c r="G410" s="55" t="str">
        <f t="shared" si="11"/>
        <v>Obsolete</v>
      </c>
      <c r="H410" s="10"/>
      <c r="I410" s="13"/>
      <c r="J410" s="56"/>
      <c r="K410" s="57"/>
      <c r="M410" s="14"/>
      <c r="N410" s="14"/>
      <c r="O410" s="14"/>
      <c r="P410" s="14"/>
      <c r="Q410" s="14"/>
      <c r="R410" s="14"/>
      <c r="S410" s="14"/>
      <c r="T410" s="70"/>
      <c r="U410" s="76" t="s">
        <v>54</v>
      </c>
      <c r="V410" s="76"/>
      <c r="W410" s="76" t="s">
        <v>54</v>
      </c>
      <c r="X410" s="76"/>
      <c r="Y410" s="97"/>
      <c r="Z410" s="78"/>
      <c r="AA410" s="79" t="s">
        <v>64</v>
      </c>
      <c r="AB410" s="79" t="s">
        <v>37</v>
      </c>
      <c r="AC410" s="79" t="s">
        <v>37</v>
      </c>
      <c r="AD410" s="79"/>
      <c r="AE410" s="79" t="s">
        <v>586</v>
      </c>
      <c r="AF410" s="106" t="s">
        <v>587</v>
      </c>
      <c r="AG410" s="106" t="s">
        <v>588</v>
      </c>
      <c r="AH410" s="79"/>
      <c r="AI410" s="53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</row>
    <row r="411" spans="1:110" ht="13.8" x14ac:dyDescent="0.25">
      <c r="A411" s="24">
        <v>1206006</v>
      </c>
      <c r="B411" s="26" t="s">
        <v>567</v>
      </c>
      <c r="C411" s="12" t="s">
        <v>741</v>
      </c>
      <c r="D411" s="11"/>
      <c r="E411" s="10" t="s">
        <v>742</v>
      </c>
      <c r="F411" s="10"/>
      <c r="G411" s="55"/>
      <c r="H411" s="10"/>
      <c r="I411" s="13"/>
      <c r="J411" s="56"/>
      <c r="K411" s="57"/>
      <c r="M411" s="14"/>
      <c r="N411" s="14"/>
      <c r="O411" s="14"/>
      <c r="P411" s="14"/>
      <c r="Q411" s="14"/>
      <c r="R411" s="14"/>
      <c r="S411" s="14"/>
      <c r="T411" s="70"/>
      <c r="U411" s="76"/>
      <c r="V411" s="76"/>
      <c r="W411" s="76"/>
      <c r="X411" s="76"/>
      <c r="Y411" s="97"/>
      <c r="Z411" s="78"/>
      <c r="AA411" s="79"/>
      <c r="AB411" s="79"/>
      <c r="AC411" s="79"/>
      <c r="AD411" s="79"/>
      <c r="AE411" s="79"/>
      <c r="AF411" s="106"/>
      <c r="AG411" s="106"/>
      <c r="AH411" s="79"/>
      <c r="AI411" s="53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</row>
    <row r="412" spans="1:110" ht="13.8" x14ac:dyDescent="0.25">
      <c r="A412" s="24">
        <v>1206005</v>
      </c>
      <c r="B412" s="11" t="s">
        <v>589</v>
      </c>
      <c r="C412" s="12" t="s">
        <v>743</v>
      </c>
      <c r="D412" s="11"/>
      <c r="E412" s="10" t="s">
        <v>584</v>
      </c>
      <c r="F412" s="10" t="s">
        <v>34</v>
      </c>
      <c r="G412" s="55" t="str">
        <f t="shared" ref="G412:G475" si="12">IF(U412="Obsolete",U412,U412+V412)</f>
        <v>Obsolete</v>
      </c>
      <c r="H412" s="10"/>
      <c r="I412" s="13"/>
      <c r="J412" s="56"/>
      <c r="K412" s="57"/>
      <c r="M412" s="14"/>
      <c r="N412" s="14"/>
      <c r="O412" s="14"/>
      <c r="P412" s="14"/>
      <c r="Q412" s="14"/>
      <c r="R412" s="14"/>
      <c r="S412" s="14"/>
      <c r="T412" s="70"/>
      <c r="U412" s="76" t="s">
        <v>54</v>
      </c>
      <c r="V412" s="76"/>
      <c r="W412" s="76" t="s">
        <v>54</v>
      </c>
      <c r="X412" s="76"/>
      <c r="Y412" s="97"/>
      <c r="Z412" s="78"/>
      <c r="AA412" s="79" t="s">
        <v>64</v>
      </c>
      <c r="AB412" s="79" t="s">
        <v>37</v>
      </c>
      <c r="AC412" s="79" t="s">
        <v>37</v>
      </c>
      <c r="AD412" s="79"/>
      <c r="AE412" s="79" t="s">
        <v>586</v>
      </c>
      <c r="AF412" s="106" t="s">
        <v>587</v>
      </c>
      <c r="AG412" s="106" t="s">
        <v>588</v>
      </c>
      <c r="AH412" s="79"/>
      <c r="AI412" s="53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</row>
    <row r="413" spans="1:110" ht="13.8" x14ac:dyDescent="0.25">
      <c r="A413" s="24">
        <v>1206007</v>
      </c>
      <c r="B413" s="26" t="s">
        <v>567</v>
      </c>
      <c r="C413" s="12" t="s">
        <v>1555</v>
      </c>
      <c r="D413" s="11"/>
      <c r="E413" s="10" t="s">
        <v>577</v>
      </c>
      <c r="F413" s="10" t="s">
        <v>623</v>
      </c>
      <c r="G413" s="55">
        <f t="shared" si="12"/>
        <v>199.8</v>
      </c>
      <c r="H413" s="10">
        <v>14</v>
      </c>
      <c r="I413" s="13">
        <v>10</v>
      </c>
      <c r="J413" s="56"/>
      <c r="K413" s="57"/>
      <c r="M413" s="14">
        <v>199.8</v>
      </c>
      <c r="N413" s="14"/>
      <c r="O413" s="14"/>
      <c r="P413" s="14"/>
      <c r="Q413" s="14"/>
      <c r="R413" s="14"/>
      <c r="S413" s="14"/>
      <c r="T413" s="70"/>
      <c r="U413" s="76">
        <v>199.8</v>
      </c>
      <c r="V413" s="76">
        <v>0</v>
      </c>
      <c r="W413" s="76">
        <v>199.8</v>
      </c>
      <c r="X413" s="76">
        <v>0</v>
      </c>
      <c r="Y413" s="97" t="s">
        <v>37</v>
      </c>
      <c r="Z413" s="78">
        <v>5</v>
      </c>
      <c r="AA413" s="79" t="s">
        <v>284</v>
      </c>
      <c r="AB413" s="79" t="s">
        <v>35</v>
      </c>
      <c r="AC413" s="79" t="s">
        <v>37</v>
      </c>
      <c r="AD413" s="79" t="s">
        <v>38</v>
      </c>
      <c r="AE413" s="79" t="s">
        <v>1556</v>
      </c>
      <c r="AF413" s="106" t="s">
        <v>1557</v>
      </c>
      <c r="AG413" s="106" t="s">
        <v>1558</v>
      </c>
      <c r="AH413" s="79"/>
      <c r="AI413" s="53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</row>
    <row r="414" spans="1:110" ht="13.8" x14ac:dyDescent="0.25">
      <c r="A414" s="24">
        <v>1206008</v>
      </c>
      <c r="B414" s="26" t="s">
        <v>567</v>
      </c>
      <c r="C414" s="12" t="s">
        <v>1614</v>
      </c>
      <c r="D414" s="11"/>
      <c r="E414" s="10" t="s">
        <v>1612</v>
      </c>
      <c r="F414" s="10" t="s">
        <v>738</v>
      </c>
      <c r="G414" s="55">
        <f t="shared" si="12"/>
        <v>0</v>
      </c>
      <c r="H414" s="10"/>
      <c r="I414" s="13"/>
      <c r="J414" s="56"/>
      <c r="K414" s="57"/>
      <c r="M414" s="14"/>
      <c r="N414" s="14"/>
      <c r="O414" s="14"/>
      <c r="P414" s="14"/>
      <c r="Q414" s="14"/>
      <c r="R414" s="14"/>
      <c r="S414" s="14"/>
      <c r="T414" s="70"/>
      <c r="U414" s="76"/>
      <c r="V414" s="76"/>
      <c r="W414" s="76"/>
      <c r="X414" s="76"/>
      <c r="Y414" s="97"/>
      <c r="Z414" s="78"/>
      <c r="AA414" s="79"/>
      <c r="AB414" s="79"/>
      <c r="AC414" s="79"/>
      <c r="AD414" s="79"/>
      <c r="AE414" s="79"/>
      <c r="AF414" s="106"/>
      <c r="AG414" s="106"/>
      <c r="AH414" s="79"/>
      <c r="AI414" s="53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</row>
    <row r="415" spans="1:110" ht="20.399999999999999" x14ac:dyDescent="0.25">
      <c r="A415" s="24">
        <v>1206020</v>
      </c>
      <c r="B415" s="11" t="s">
        <v>567</v>
      </c>
      <c r="C415" s="25" t="s">
        <v>744</v>
      </c>
      <c r="D415" s="11"/>
      <c r="E415" s="10" t="s">
        <v>684</v>
      </c>
      <c r="F415" s="10" t="s">
        <v>607</v>
      </c>
      <c r="G415" s="55">
        <f t="shared" si="12"/>
        <v>231.52</v>
      </c>
      <c r="H415" s="10">
        <v>2</v>
      </c>
      <c r="I415" s="13">
        <v>1</v>
      </c>
      <c r="J415" s="56"/>
      <c r="K415" s="57"/>
      <c r="M415" s="14"/>
      <c r="N415" s="14"/>
      <c r="O415" s="14"/>
      <c r="P415" s="14"/>
      <c r="Q415" s="14"/>
      <c r="R415" s="14"/>
      <c r="S415" s="14"/>
      <c r="T415" s="70"/>
      <c r="U415" s="76">
        <v>226</v>
      </c>
      <c r="V415" s="76">
        <v>5.52</v>
      </c>
      <c r="W415" s="76">
        <v>226</v>
      </c>
      <c r="X415" s="76">
        <v>5.52</v>
      </c>
      <c r="Y415" s="77" t="s">
        <v>37</v>
      </c>
      <c r="Z415" s="78">
        <v>1</v>
      </c>
      <c r="AA415" s="79" t="s">
        <v>36</v>
      </c>
      <c r="AB415" s="79" t="s">
        <v>35</v>
      </c>
      <c r="AC415" s="79" t="s">
        <v>37</v>
      </c>
      <c r="AD415" s="79" t="s">
        <v>38</v>
      </c>
      <c r="AE415" s="79" t="s">
        <v>685</v>
      </c>
      <c r="AF415" s="79" t="s">
        <v>686</v>
      </c>
      <c r="AG415" s="79" t="s">
        <v>687</v>
      </c>
      <c r="AH415" s="79"/>
      <c r="AI415" s="53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</row>
    <row r="416" spans="1:110" ht="13.8" x14ac:dyDescent="0.25">
      <c r="A416" s="24">
        <v>1206021</v>
      </c>
      <c r="B416" s="11" t="s">
        <v>567</v>
      </c>
      <c r="C416" s="12" t="s">
        <v>745</v>
      </c>
      <c r="D416" s="11" t="s">
        <v>746</v>
      </c>
      <c r="E416" s="17" t="s">
        <v>57</v>
      </c>
      <c r="F416" s="10" t="s">
        <v>607</v>
      </c>
      <c r="G416" s="55" t="str">
        <f t="shared" si="12"/>
        <v>Obsolete</v>
      </c>
      <c r="H416" s="10"/>
      <c r="I416" s="13"/>
      <c r="J416" s="56"/>
      <c r="K416" s="57"/>
      <c r="M416" s="14"/>
      <c r="N416" s="14"/>
      <c r="O416" s="14"/>
      <c r="P416" s="14"/>
      <c r="Q416" s="14"/>
      <c r="R416" s="14"/>
      <c r="S416" s="14"/>
      <c r="T416" s="70"/>
      <c r="U416" s="76" t="s">
        <v>54</v>
      </c>
      <c r="V416" s="76"/>
      <c r="W416" s="76" t="s">
        <v>54</v>
      </c>
      <c r="X416" s="76"/>
      <c r="Y416" s="97"/>
      <c r="Z416" s="78"/>
      <c r="AA416" s="79"/>
      <c r="AB416" s="79" t="s">
        <v>37</v>
      </c>
      <c r="AC416" s="79" t="s">
        <v>37</v>
      </c>
      <c r="AD416" s="79"/>
      <c r="AE416" s="79"/>
      <c r="AF416" s="79"/>
      <c r="AG416" s="79"/>
      <c r="AH416" s="79"/>
      <c r="AI416" s="53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</row>
    <row r="417" spans="1:110" ht="13.8" x14ac:dyDescent="0.25">
      <c r="A417" s="24">
        <v>1206022</v>
      </c>
      <c r="B417" s="11"/>
      <c r="C417" s="12" t="s">
        <v>747</v>
      </c>
      <c r="D417" s="11"/>
      <c r="E417" s="10" t="s">
        <v>648</v>
      </c>
      <c r="F417" s="10" t="s">
        <v>618</v>
      </c>
      <c r="G417" s="55">
        <f t="shared" si="12"/>
        <v>0</v>
      </c>
      <c r="H417" s="10">
        <v>2</v>
      </c>
      <c r="I417" s="13"/>
      <c r="J417" s="56"/>
      <c r="K417" s="57"/>
      <c r="M417" s="14"/>
      <c r="N417" s="14"/>
      <c r="O417" s="14"/>
      <c r="P417" s="14"/>
      <c r="Q417" s="14"/>
      <c r="R417" s="14"/>
      <c r="S417" s="14"/>
      <c r="T417" s="70"/>
      <c r="U417" s="76"/>
      <c r="V417" s="76"/>
      <c r="W417" s="76"/>
      <c r="X417" s="76"/>
      <c r="Y417" s="97"/>
      <c r="Z417" s="107"/>
      <c r="AA417" s="79"/>
      <c r="AB417" s="79"/>
      <c r="AC417" s="79"/>
      <c r="AD417" s="79"/>
      <c r="AE417" s="79"/>
      <c r="AF417" s="79"/>
      <c r="AG417" s="79"/>
      <c r="AH417" s="79"/>
      <c r="AI417" s="53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</row>
    <row r="418" spans="1:110" ht="20.399999999999999" x14ac:dyDescent="0.25">
      <c r="A418" s="24">
        <v>1207001</v>
      </c>
      <c r="B418" s="26" t="s">
        <v>657</v>
      </c>
      <c r="C418" s="25" t="s">
        <v>748</v>
      </c>
      <c r="D418" s="26" t="s">
        <v>749</v>
      </c>
      <c r="E418" s="10" t="s">
        <v>750</v>
      </c>
      <c r="F418" s="10" t="s">
        <v>34</v>
      </c>
      <c r="G418" s="55" t="str">
        <f t="shared" si="12"/>
        <v>Obsolete</v>
      </c>
      <c r="H418" s="10">
        <v>4</v>
      </c>
      <c r="I418" s="13">
        <v>55</v>
      </c>
      <c r="J418" s="56"/>
      <c r="K418" s="57"/>
      <c r="M418" s="14"/>
      <c r="N418" s="14"/>
      <c r="O418" s="14"/>
      <c r="P418" s="14"/>
      <c r="Q418" s="14"/>
      <c r="R418" s="14"/>
      <c r="S418" s="14"/>
      <c r="T418" s="70"/>
      <c r="U418" s="76" t="s">
        <v>54</v>
      </c>
      <c r="V418" s="76"/>
      <c r="W418" s="76" t="s">
        <v>54</v>
      </c>
      <c r="X418" s="76"/>
      <c r="Y418" s="97"/>
      <c r="Z418" s="87">
        <v>55</v>
      </c>
      <c r="AA418" s="79" t="s">
        <v>64</v>
      </c>
      <c r="AB418" s="79" t="s">
        <v>37</v>
      </c>
      <c r="AC418" s="79" t="s">
        <v>37</v>
      </c>
      <c r="AD418" s="79"/>
      <c r="AE418" s="79"/>
      <c r="AF418" s="79"/>
      <c r="AG418" s="79"/>
      <c r="AH418" s="79"/>
      <c r="AI418" s="53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</row>
    <row r="419" spans="1:110" ht="20.399999999999999" x14ac:dyDescent="0.25">
      <c r="A419" s="24">
        <v>1207002</v>
      </c>
      <c r="B419" s="26" t="s">
        <v>657</v>
      </c>
      <c r="C419" s="25" t="s">
        <v>751</v>
      </c>
      <c r="D419" s="26" t="s">
        <v>749</v>
      </c>
      <c r="E419" s="10" t="s">
        <v>750</v>
      </c>
      <c r="F419" s="10" t="s">
        <v>34</v>
      </c>
      <c r="G419" s="55" t="str">
        <f t="shared" si="12"/>
        <v>Obsolete</v>
      </c>
      <c r="H419" s="10">
        <v>4</v>
      </c>
      <c r="I419" s="13">
        <v>55</v>
      </c>
      <c r="J419" s="56"/>
      <c r="K419" s="57"/>
      <c r="M419" s="14">
        <v>16.170000000000002</v>
      </c>
      <c r="N419" s="14"/>
      <c r="O419" s="14"/>
      <c r="P419" s="14"/>
      <c r="Q419" s="14"/>
      <c r="R419" s="14">
        <v>8.66</v>
      </c>
      <c r="S419" s="14"/>
      <c r="T419" s="70"/>
      <c r="U419" s="76" t="s">
        <v>54</v>
      </c>
      <c r="V419" s="76"/>
      <c r="W419" s="76" t="s">
        <v>54</v>
      </c>
      <c r="X419" s="76"/>
      <c r="Y419" s="97"/>
      <c r="Z419" s="87">
        <v>55</v>
      </c>
      <c r="AA419" s="79" t="s">
        <v>64</v>
      </c>
      <c r="AB419" s="79" t="s">
        <v>37</v>
      </c>
      <c r="AC419" s="79" t="s">
        <v>37</v>
      </c>
      <c r="AD419" s="79"/>
      <c r="AE419" s="79"/>
      <c r="AF419" s="79"/>
      <c r="AG419" s="79"/>
      <c r="AH419" s="79"/>
      <c r="AI419" s="53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</row>
    <row r="420" spans="1:110" ht="20.399999999999999" x14ac:dyDescent="0.25">
      <c r="A420" s="24">
        <v>1207003</v>
      </c>
      <c r="B420" s="26" t="s">
        <v>657</v>
      </c>
      <c r="C420" s="25" t="s">
        <v>752</v>
      </c>
      <c r="D420" s="26" t="s">
        <v>749</v>
      </c>
      <c r="E420" s="10" t="s">
        <v>750</v>
      </c>
      <c r="F420" s="10" t="s">
        <v>34</v>
      </c>
      <c r="G420" s="55" t="str">
        <f t="shared" si="12"/>
        <v>Obsolete</v>
      </c>
      <c r="H420" s="10">
        <v>4</v>
      </c>
      <c r="I420" s="13">
        <v>55</v>
      </c>
      <c r="J420" s="56"/>
      <c r="K420" s="57"/>
      <c r="M420" s="14">
        <v>15.29</v>
      </c>
      <c r="N420" s="14"/>
      <c r="O420" s="14"/>
      <c r="P420" s="14"/>
      <c r="Q420" s="14"/>
      <c r="R420" s="14">
        <v>7.6</v>
      </c>
      <c r="S420" s="14"/>
      <c r="T420" s="70"/>
      <c r="U420" s="76" t="s">
        <v>54</v>
      </c>
      <c r="V420" s="76"/>
      <c r="W420" s="76" t="s">
        <v>54</v>
      </c>
      <c r="X420" s="76"/>
      <c r="Y420" s="97"/>
      <c r="Z420" s="87">
        <v>55</v>
      </c>
      <c r="AA420" s="79" t="s">
        <v>64</v>
      </c>
      <c r="AB420" s="79" t="s">
        <v>37</v>
      </c>
      <c r="AC420" s="79" t="s">
        <v>37</v>
      </c>
      <c r="AD420" s="79"/>
      <c r="AE420" s="79"/>
      <c r="AF420" s="79"/>
      <c r="AG420" s="79"/>
      <c r="AH420" s="79"/>
      <c r="AI420" s="53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</row>
    <row r="421" spans="1:110" ht="20.399999999999999" x14ac:dyDescent="0.25">
      <c r="A421" s="24">
        <v>1207004</v>
      </c>
      <c r="B421" s="26" t="s">
        <v>657</v>
      </c>
      <c r="C421" s="25" t="s">
        <v>753</v>
      </c>
      <c r="D421" s="26" t="s">
        <v>749</v>
      </c>
      <c r="E421" s="10" t="s">
        <v>750</v>
      </c>
      <c r="F421" s="10" t="s">
        <v>34</v>
      </c>
      <c r="G421" s="55" t="str">
        <f t="shared" si="12"/>
        <v>Obsolete</v>
      </c>
      <c r="H421" s="10">
        <v>4</v>
      </c>
      <c r="I421" s="13">
        <v>55</v>
      </c>
      <c r="J421" s="56"/>
      <c r="K421" s="57"/>
      <c r="M421" s="14">
        <v>15.17</v>
      </c>
      <c r="N421" s="14"/>
      <c r="O421" s="14"/>
      <c r="P421" s="14"/>
      <c r="Q421" s="14"/>
      <c r="R421" s="14">
        <v>7.66</v>
      </c>
      <c r="S421" s="14"/>
      <c r="T421" s="70"/>
      <c r="U421" s="76" t="s">
        <v>54</v>
      </c>
      <c r="V421" s="76"/>
      <c r="W421" s="76" t="s">
        <v>54</v>
      </c>
      <c r="X421" s="76"/>
      <c r="Y421" s="97"/>
      <c r="Z421" s="87">
        <v>55</v>
      </c>
      <c r="AA421" s="79" t="s">
        <v>64</v>
      </c>
      <c r="AB421" s="79" t="s">
        <v>37</v>
      </c>
      <c r="AC421" s="79" t="s">
        <v>37</v>
      </c>
      <c r="AD421" s="79"/>
      <c r="AE421" s="79"/>
      <c r="AF421" s="79"/>
      <c r="AG421" s="79"/>
      <c r="AH421" s="79"/>
      <c r="AI421" s="53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</row>
    <row r="422" spans="1:110" ht="20.399999999999999" x14ac:dyDescent="0.25">
      <c r="A422" s="24">
        <v>1207005</v>
      </c>
      <c r="B422" s="26" t="s">
        <v>657</v>
      </c>
      <c r="C422" s="25" t="s">
        <v>754</v>
      </c>
      <c r="D422" s="26" t="s">
        <v>749</v>
      </c>
      <c r="E422" s="10" t="s">
        <v>750</v>
      </c>
      <c r="F422" s="10" t="s">
        <v>34</v>
      </c>
      <c r="G422" s="55" t="str">
        <f t="shared" si="12"/>
        <v>Obsolete</v>
      </c>
      <c r="H422" s="10">
        <v>4</v>
      </c>
      <c r="I422" s="13">
        <v>55</v>
      </c>
      <c r="J422" s="56"/>
      <c r="K422" s="57"/>
      <c r="M422" s="14">
        <v>16.75</v>
      </c>
      <c r="N422" s="14"/>
      <c r="O422" s="14"/>
      <c r="P422" s="14"/>
      <c r="Q422" s="14"/>
      <c r="R422" s="14">
        <v>9.2100000000000009</v>
      </c>
      <c r="S422" s="14"/>
      <c r="T422" s="70"/>
      <c r="U422" s="76" t="s">
        <v>54</v>
      </c>
      <c r="V422" s="76"/>
      <c r="W422" s="76" t="s">
        <v>54</v>
      </c>
      <c r="X422" s="76"/>
      <c r="Y422" s="97"/>
      <c r="Z422" s="87">
        <v>55</v>
      </c>
      <c r="AA422" s="79" t="s">
        <v>64</v>
      </c>
      <c r="AB422" s="79" t="s">
        <v>37</v>
      </c>
      <c r="AC422" s="79" t="s">
        <v>37</v>
      </c>
      <c r="AD422" s="79"/>
      <c r="AE422" s="79"/>
      <c r="AF422" s="79"/>
      <c r="AG422" s="79"/>
      <c r="AH422" s="79"/>
      <c r="AI422" s="53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</row>
    <row r="423" spans="1:110" ht="20.399999999999999" x14ac:dyDescent="0.25">
      <c r="A423" s="24">
        <v>1207006</v>
      </c>
      <c r="B423" s="26" t="s">
        <v>657</v>
      </c>
      <c r="C423" s="25" t="s">
        <v>755</v>
      </c>
      <c r="D423" s="26" t="s">
        <v>756</v>
      </c>
      <c r="E423" s="10" t="s">
        <v>757</v>
      </c>
      <c r="F423" s="10" t="s">
        <v>34</v>
      </c>
      <c r="G423" s="55" t="str">
        <f t="shared" si="12"/>
        <v>Obsolete</v>
      </c>
      <c r="H423" s="10">
        <v>4</v>
      </c>
      <c r="I423" s="13">
        <v>55</v>
      </c>
      <c r="J423" s="56"/>
      <c r="K423" s="57"/>
      <c r="M423" s="14">
        <v>11.47</v>
      </c>
      <c r="N423" s="14">
        <v>9.56</v>
      </c>
      <c r="O423" s="14">
        <v>8.31</v>
      </c>
      <c r="P423" s="14"/>
      <c r="Q423" s="14"/>
      <c r="R423" s="14"/>
      <c r="S423" s="14"/>
      <c r="T423" s="70"/>
      <c r="U423" s="76" t="s">
        <v>54</v>
      </c>
      <c r="V423" s="76"/>
      <c r="W423" s="76" t="s">
        <v>54</v>
      </c>
      <c r="X423" s="76"/>
      <c r="Y423" s="97"/>
      <c r="Z423" s="87">
        <v>55</v>
      </c>
      <c r="AA423" s="79" t="s">
        <v>64</v>
      </c>
      <c r="AB423" s="79" t="s">
        <v>37</v>
      </c>
      <c r="AC423" s="79" t="s">
        <v>37</v>
      </c>
      <c r="AD423" s="79"/>
      <c r="AE423" s="79" t="s">
        <v>758</v>
      </c>
      <c r="AF423" s="79" t="s">
        <v>759</v>
      </c>
      <c r="AG423" s="79" t="s">
        <v>760</v>
      </c>
      <c r="AH423" s="79"/>
      <c r="AI423" s="53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</row>
    <row r="424" spans="1:110" ht="20.399999999999999" x14ac:dyDescent="0.25">
      <c r="A424" s="24">
        <v>1207007</v>
      </c>
      <c r="B424" s="26" t="s">
        <v>657</v>
      </c>
      <c r="C424" s="25" t="s">
        <v>761</v>
      </c>
      <c r="D424" s="26" t="s">
        <v>756</v>
      </c>
      <c r="E424" s="10" t="s">
        <v>757</v>
      </c>
      <c r="F424" s="10" t="s">
        <v>34</v>
      </c>
      <c r="G424" s="55" t="str">
        <f t="shared" si="12"/>
        <v>Obsolete</v>
      </c>
      <c r="H424" s="10">
        <v>4</v>
      </c>
      <c r="I424" s="13">
        <v>55</v>
      </c>
      <c r="J424" s="56"/>
      <c r="K424" s="57"/>
      <c r="M424" s="14">
        <v>11.71</v>
      </c>
      <c r="N424" s="14">
        <v>9.8000000000000007</v>
      </c>
      <c r="O424" s="14">
        <v>8.5500000000000007</v>
      </c>
      <c r="P424" s="14"/>
      <c r="Q424" s="14"/>
      <c r="R424" s="14"/>
      <c r="S424" s="14"/>
      <c r="T424" s="70"/>
      <c r="U424" s="76" t="s">
        <v>54</v>
      </c>
      <c r="V424" s="76"/>
      <c r="W424" s="76" t="s">
        <v>54</v>
      </c>
      <c r="X424" s="76"/>
      <c r="Y424" s="97"/>
      <c r="Z424" s="87">
        <v>55</v>
      </c>
      <c r="AA424" s="79" t="s">
        <v>64</v>
      </c>
      <c r="AB424" s="79" t="s">
        <v>37</v>
      </c>
      <c r="AC424" s="79" t="s">
        <v>37</v>
      </c>
      <c r="AD424" s="79"/>
      <c r="AE424" s="79" t="s">
        <v>758</v>
      </c>
      <c r="AF424" s="79" t="s">
        <v>759</v>
      </c>
      <c r="AG424" s="79" t="s">
        <v>760</v>
      </c>
      <c r="AH424" s="79"/>
      <c r="AI424" s="53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</row>
    <row r="425" spans="1:110" ht="20.399999999999999" x14ac:dyDescent="0.25">
      <c r="A425" s="24">
        <v>1207008</v>
      </c>
      <c r="B425" s="26" t="s">
        <v>657</v>
      </c>
      <c r="C425" s="25" t="s">
        <v>762</v>
      </c>
      <c r="D425" s="26" t="s">
        <v>756</v>
      </c>
      <c r="E425" s="10" t="s">
        <v>757</v>
      </c>
      <c r="F425" s="10" t="s">
        <v>34</v>
      </c>
      <c r="G425" s="55" t="str">
        <f t="shared" si="12"/>
        <v>Obsolete</v>
      </c>
      <c r="H425" s="10">
        <v>4</v>
      </c>
      <c r="I425" s="13">
        <v>55</v>
      </c>
      <c r="J425" s="56"/>
      <c r="K425" s="57"/>
      <c r="M425" s="14">
        <v>11.36</v>
      </c>
      <c r="N425" s="14">
        <v>9.4499999999999993</v>
      </c>
      <c r="O425" s="14">
        <v>8.1999999999999993</v>
      </c>
      <c r="P425" s="14"/>
      <c r="Q425" s="14"/>
      <c r="R425" s="14"/>
      <c r="S425" s="14"/>
      <c r="T425" s="70"/>
      <c r="U425" s="76" t="s">
        <v>54</v>
      </c>
      <c r="V425" s="76"/>
      <c r="W425" s="76" t="s">
        <v>54</v>
      </c>
      <c r="X425" s="76"/>
      <c r="Y425" s="97"/>
      <c r="Z425" s="87">
        <v>55</v>
      </c>
      <c r="AA425" s="79" t="s">
        <v>64</v>
      </c>
      <c r="AB425" s="79" t="s">
        <v>37</v>
      </c>
      <c r="AC425" s="79" t="s">
        <v>37</v>
      </c>
      <c r="AD425" s="79"/>
      <c r="AE425" s="79" t="s">
        <v>758</v>
      </c>
      <c r="AF425" s="79" t="s">
        <v>759</v>
      </c>
      <c r="AG425" s="79" t="s">
        <v>760</v>
      </c>
      <c r="AH425" s="79"/>
      <c r="AI425" s="53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</row>
    <row r="426" spans="1:110" ht="20.399999999999999" x14ac:dyDescent="0.25">
      <c r="A426" s="24">
        <v>1207009</v>
      </c>
      <c r="B426" s="26" t="s">
        <v>657</v>
      </c>
      <c r="C426" s="25" t="s">
        <v>763</v>
      </c>
      <c r="D426" s="26" t="s">
        <v>756</v>
      </c>
      <c r="E426" s="10" t="s">
        <v>757</v>
      </c>
      <c r="F426" s="10" t="s">
        <v>34</v>
      </c>
      <c r="G426" s="55" t="str">
        <f t="shared" si="12"/>
        <v>Obsolete</v>
      </c>
      <c r="H426" s="10">
        <v>4</v>
      </c>
      <c r="I426" s="13">
        <v>55</v>
      </c>
      <c r="J426" s="56"/>
      <c r="K426" s="57"/>
      <c r="M426" s="14">
        <v>11.39</v>
      </c>
      <c r="N426" s="14">
        <v>9.48</v>
      </c>
      <c r="O426" s="14">
        <v>8.23</v>
      </c>
      <c r="P426" s="14"/>
      <c r="Q426" s="14"/>
      <c r="R426" s="14"/>
      <c r="S426" s="14"/>
      <c r="T426" s="70"/>
      <c r="U426" s="76" t="s">
        <v>54</v>
      </c>
      <c r="V426" s="76"/>
      <c r="W426" s="76" t="s">
        <v>54</v>
      </c>
      <c r="X426" s="76"/>
      <c r="Y426" s="97"/>
      <c r="Z426" s="87">
        <v>55</v>
      </c>
      <c r="AA426" s="79" t="s">
        <v>64</v>
      </c>
      <c r="AB426" s="79" t="s">
        <v>37</v>
      </c>
      <c r="AC426" s="79" t="s">
        <v>37</v>
      </c>
      <c r="AD426" s="79"/>
      <c r="AE426" s="79" t="s">
        <v>758</v>
      </c>
      <c r="AF426" s="79" t="s">
        <v>759</v>
      </c>
      <c r="AG426" s="79" t="s">
        <v>760</v>
      </c>
      <c r="AH426" s="79"/>
      <c r="AI426" s="53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</row>
    <row r="427" spans="1:110" ht="20.399999999999999" x14ac:dyDescent="0.25">
      <c r="A427" s="24">
        <v>1207010</v>
      </c>
      <c r="B427" s="26" t="s">
        <v>657</v>
      </c>
      <c r="C427" s="25" t="s">
        <v>764</v>
      </c>
      <c r="D427" s="26" t="s">
        <v>756</v>
      </c>
      <c r="E427" s="10" t="s">
        <v>757</v>
      </c>
      <c r="F427" s="10" t="s">
        <v>34</v>
      </c>
      <c r="G427" s="55" t="str">
        <f t="shared" si="12"/>
        <v>Obsolete</v>
      </c>
      <c r="H427" s="10">
        <v>4</v>
      </c>
      <c r="I427" s="13">
        <v>55</v>
      </c>
      <c r="J427" s="56"/>
      <c r="K427" s="57"/>
      <c r="M427" s="14">
        <v>11.71</v>
      </c>
      <c r="N427" s="14">
        <v>9.8000000000000007</v>
      </c>
      <c r="O427" s="14">
        <v>8.5500000000000007</v>
      </c>
      <c r="P427" s="14"/>
      <c r="Q427" s="14"/>
      <c r="R427" s="14"/>
      <c r="S427" s="14"/>
      <c r="T427" s="70"/>
      <c r="U427" s="76" t="s">
        <v>54</v>
      </c>
      <c r="V427" s="76"/>
      <c r="W427" s="76" t="s">
        <v>54</v>
      </c>
      <c r="X427" s="76"/>
      <c r="Y427" s="97"/>
      <c r="Z427" s="87">
        <v>55</v>
      </c>
      <c r="AA427" s="79" t="s">
        <v>64</v>
      </c>
      <c r="AB427" s="79" t="s">
        <v>37</v>
      </c>
      <c r="AC427" s="79" t="s">
        <v>37</v>
      </c>
      <c r="AD427" s="79"/>
      <c r="AE427" s="79" t="s">
        <v>758</v>
      </c>
      <c r="AF427" s="79" t="s">
        <v>759</v>
      </c>
      <c r="AG427" s="79" t="s">
        <v>760</v>
      </c>
      <c r="AH427" s="79"/>
      <c r="AI427" s="53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</row>
    <row r="428" spans="1:110" ht="13.8" x14ac:dyDescent="0.25">
      <c r="A428" s="24">
        <v>1207011</v>
      </c>
      <c r="B428" s="26" t="s">
        <v>657</v>
      </c>
      <c r="C428" s="25" t="s">
        <v>765</v>
      </c>
      <c r="D428" s="26"/>
      <c r="E428" s="10" t="s">
        <v>757</v>
      </c>
      <c r="F428" s="10" t="s">
        <v>34</v>
      </c>
      <c r="G428" s="55" t="str">
        <f t="shared" si="12"/>
        <v>Obsolete</v>
      </c>
      <c r="H428" s="10"/>
      <c r="I428" s="13">
        <v>50</v>
      </c>
      <c r="J428" s="56"/>
      <c r="K428" s="57"/>
      <c r="M428" s="14">
        <v>13.19</v>
      </c>
      <c r="N428" s="14"/>
      <c r="O428" s="14"/>
      <c r="P428" s="14"/>
      <c r="Q428" s="14"/>
      <c r="R428" s="14"/>
      <c r="S428" s="14"/>
      <c r="T428" s="70"/>
      <c r="U428" s="76" t="s">
        <v>54</v>
      </c>
      <c r="V428" s="76"/>
      <c r="W428" s="76" t="s">
        <v>54</v>
      </c>
      <c r="X428" s="76"/>
      <c r="Y428" s="97"/>
      <c r="Z428" s="87"/>
      <c r="AA428" s="79" t="s">
        <v>64</v>
      </c>
      <c r="AB428" s="79" t="s">
        <v>37</v>
      </c>
      <c r="AC428" s="79" t="s">
        <v>37</v>
      </c>
      <c r="AD428" s="79"/>
      <c r="AE428" s="79" t="s">
        <v>758</v>
      </c>
      <c r="AF428" s="79" t="s">
        <v>759</v>
      </c>
      <c r="AG428" s="79" t="s">
        <v>760</v>
      </c>
      <c r="AH428" s="79"/>
      <c r="AI428" s="53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</row>
    <row r="429" spans="1:110" ht="20.399999999999999" x14ac:dyDescent="0.25">
      <c r="A429" s="24">
        <v>1207012</v>
      </c>
      <c r="B429" s="26" t="s">
        <v>657</v>
      </c>
      <c r="C429" s="25" t="s">
        <v>766</v>
      </c>
      <c r="D429" s="26"/>
      <c r="E429" s="10" t="s">
        <v>132</v>
      </c>
      <c r="F429" s="10" t="s">
        <v>34</v>
      </c>
      <c r="G429" s="55" t="str">
        <f t="shared" si="12"/>
        <v>Obsolete</v>
      </c>
      <c r="H429" s="10"/>
      <c r="I429" s="13">
        <v>55</v>
      </c>
      <c r="J429" s="56"/>
      <c r="K429" s="57"/>
      <c r="M429" s="14">
        <v>1.1399999999999999</v>
      </c>
      <c r="N429" s="14"/>
      <c r="O429" s="14"/>
      <c r="P429" s="14"/>
      <c r="Q429" s="14"/>
      <c r="R429" s="14"/>
      <c r="S429" s="14"/>
      <c r="T429" s="70"/>
      <c r="U429" s="76" t="s">
        <v>54</v>
      </c>
      <c r="V429" s="76"/>
      <c r="W429" s="76" t="s">
        <v>54</v>
      </c>
      <c r="X429" s="76"/>
      <c r="Y429" s="97"/>
      <c r="Z429" s="87">
        <v>55</v>
      </c>
      <c r="AA429" s="79" t="s">
        <v>292</v>
      </c>
      <c r="AB429" s="79" t="s">
        <v>37</v>
      </c>
      <c r="AC429" s="79" t="s">
        <v>37</v>
      </c>
      <c r="AD429" s="79"/>
      <c r="AE429" s="79" t="s">
        <v>133</v>
      </c>
      <c r="AF429" s="79" t="s">
        <v>134</v>
      </c>
      <c r="AG429" s="90" t="s">
        <v>135</v>
      </c>
      <c r="AH429" s="79"/>
      <c r="AI429" s="53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</row>
    <row r="430" spans="1:110" ht="20.399999999999999" x14ac:dyDescent="0.25">
      <c r="A430" s="24">
        <v>1207013</v>
      </c>
      <c r="B430" s="26" t="s">
        <v>657</v>
      </c>
      <c r="C430" s="25" t="s">
        <v>767</v>
      </c>
      <c r="D430" s="26"/>
      <c r="E430" s="10" t="s">
        <v>768</v>
      </c>
      <c r="F430" s="10" t="s">
        <v>34</v>
      </c>
      <c r="G430" s="55">
        <f t="shared" si="12"/>
        <v>9.49</v>
      </c>
      <c r="H430" s="10">
        <v>8</v>
      </c>
      <c r="I430" s="13">
        <v>55</v>
      </c>
      <c r="J430" s="56"/>
      <c r="K430" s="57"/>
      <c r="M430" s="14">
        <v>7.62</v>
      </c>
      <c r="N430" s="14">
        <v>5.22</v>
      </c>
      <c r="O430" s="14"/>
      <c r="P430" s="14"/>
      <c r="Q430" s="14"/>
      <c r="R430" s="14"/>
      <c r="S430" s="14"/>
      <c r="T430" s="70"/>
      <c r="U430" s="76">
        <v>7.62</v>
      </c>
      <c r="V430" s="76">
        <v>1.87</v>
      </c>
      <c r="W430" s="76">
        <v>6.1</v>
      </c>
      <c r="X430" s="76">
        <v>1.87</v>
      </c>
      <c r="Y430" s="77" t="s">
        <v>37</v>
      </c>
      <c r="Z430" s="87">
        <v>55</v>
      </c>
      <c r="AA430" s="79" t="s">
        <v>36</v>
      </c>
      <c r="AB430" s="79" t="s">
        <v>35</v>
      </c>
      <c r="AC430" s="79" t="s">
        <v>37</v>
      </c>
      <c r="AD430" s="79" t="s">
        <v>38</v>
      </c>
      <c r="AE430" s="79" t="s">
        <v>769</v>
      </c>
      <c r="AF430" s="79" t="s">
        <v>770</v>
      </c>
      <c r="AG430" s="105" t="s">
        <v>771</v>
      </c>
      <c r="AH430" s="79"/>
      <c r="AI430" s="53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</row>
    <row r="431" spans="1:110" ht="20.399999999999999" x14ac:dyDescent="0.25">
      <c r="A431" s="24">
        <v>1207014</v>
      </c>
      <c r="B431" s="26" t="s">
        <v>657</v>
      </c>
      <c r="C431" s="25" t="s">
        <v>772</v>
      </c>
      <c r="D431" s="26" t="s">
        <v>773</v>
      </c>
      <c r="E431" s="10" t="s">
        <v>757</v>
      </c>
      <c r="F431" s="10" t="s">
        <v>34</v>
      </c>
      <c r="G431" s="55" t="str">
        <f t="shared" si="12"/>
        <v>Obsolete</v>
      </c>
      <c r="H431" s="10"/>
      <c r="I431" s="13"/>
      <c r="J431" s="56"/>
      <c r="K431" s="57"/>
      <c r="M431" s="14">
        <v>11.88</v>
      </c>
      <c r="N431" s="14">
        <v>9.9600000000000009</v>
      </c>
      <c r="O431" s="14">
        <v>8.7200000000000006</v>
      </c>
      <c r="P431" s="14"/>
      <c r="Q431" s="14"/>
      <c r="R431" s="14"/>
      <c r="S431" s="14"/>
      <c r="T431" s="70"/>
      <c r="U431" s="76" t="s">
        <v>54</v>
      </c>
      <c r="V431" s="76"/>
      <c r="W431" s="76" t="s">
        <v>54</v>
      </c>
      <c r="X431" s="76"/>
      <c r="Y431" s="97"/>
      <c r="Z431" s="87"/>
      <c r="AA431" s="79" t="s">
        <v>64</v>
      </c>
      <c r="AB431" s="79" t="s">
        <v>37</v>
      </c>
      <c r="AC431" s="79" t="s">
        <v>37</v>
      </c>
      <c r="AD431" s="79"/>
      <c r="AE431" s="79" t="s">
        <v>758</v>
      </c>
      <c r="AF431" s="79" t="s">
        <v>759</v>
      </c>
      <c r="AG431" s="79" t="s">
        <v>760</v>
      </c>
      <c r="AH431" s="79"/>
      <c r="AI431" s="35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</row>
    <row r="432" spans="1:110" ht="20.399999999999999" x14ac:dyDescent="0.25">
      <c r="A432" s="24">
        <v>1207015</v>
      </c>
      <c r="B432" s="26" t="s">
        <v>657</v>
      </c>
      <c r="C432" s="25" t="s">
        <v>774</v>
      </c>
      <c r="D432" s="26"/>
      <c r="E432" s="10" t="s">
        <v>757</v>
      </c>
      <c r="F432" s="10" t="s">
        <v>34</v>
      </c>
      <c r="G432" s="55" t="str">
        <f t="shared" si="12"/>
        <v>Obsolete</v>
      </c>
      <c r="H432" s="10"/>
      <c r="I432" s="13"/>
      <c r="J432" s="56"/>
      <c r="K432" s="57"/>
      <c r="M432" s="14"/>
      <c r="N432" s="14"/>
      <c r="O432" s="14"/>
      <c r="P432" s="14"/>
      <c r="Q432" s="14"/>
      <c r="R432" s="14"/>
      <c r="S432" s="14"/>
      <c r="T432" s="70"/>
      <c r="U432" s="76" t="s">
        <v>54</v>
      </c>
      <c r="V432" s="76"/>
      <c r="W432" s="76" t="s">
        <v>54</v>
      </c>
      <c r="X432" s="76"/>
      <c r="Y432" s="97"/>
      <c r="Z432" s="87"/>
      <c r="AA432" s="79" t="s">
        <v>64</v>
      </c>
      <c r="AB432" s="79" t="s">
        <v>37</v>
      </c>
      <c r="AC432" s="79" t="s">
        <v>37</v>
      </c>
      <c r="AD432" s="79"/>
      <c r="AE432" s="79" t="s">
        <v>758</v>
      </c>
      <c r="AF432" s="79" t="s">
        <v>759</v>
      </c>
      <c r="AG432" s="79" t="s">
        <v>760</v>
      </c>
      <c r="AH432" s="79"/>
      <c r="AI432" s="53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</row>
    <row r="433" spans="1:110" ht="20.399999999999999" x14ac:dyDescent="0.25">
      <c r="A433" s="24">
        <v>1207016</v>
      </c>
      <c r="B433" s="26" t="s">
        <v>657</v>
      </c>
      <c r="C433" s="25" t="s">
        <v>775</v>
      </c>
      <c r="D433" s="26" t="s">
        <v>776</v>
      </c>
      <c r="E433" s="10" t="s">
        <v>757</v>
      </c>
      <c r="F433" s="10" t="s">
        <v>34</v>
      </c>
      <c r="G433" s="55" t="str">
        <f t="shared" si="12"/>
        <v>Obsolete</v>
      </c>
      <c r="H433" s="10"/>
      <c r="I433" s="13">
        <v>55</v>
      </c>
      <c r="J433" s="56"/>
      <c r="K433" s="57"/>
      <c r="M433" s="14">
        <v>12.32</v>
      </c>
      <c r="N433" s="14">
        <v>10.41</v>
      </c>
      <c r="O433" s="14">
        <v>9.16</v>
      </c>
      <c r="P433" s="14"/>
      <c r="Q433" s="14"/>
      <c r="R433" s="14"/>
      <c r="S433" s="14"/>
      <c r="T433" s="70"/>
      <c r="U433" s="76" t="s">
        <v>54</v>
      </c>
      <c r="V433" s="76"/>
      <c r="W433" s="76" t="s">
        <v>54</v>
      </c>
      <c r="X433" s="76"/>
      <c r="Y433" s="97"/>
      <c r="Z433" s="87"/>
      <c r="AA433" s="79" t="s">
        <v>64</v>
      </c>
      <c r="AB433" s="79" t="s">
        <v>37</v>
      </c>
      <c r="AC433" s="79" t="s">
        <v>37</v>
      </c>
      <c r="AD433" s="79"/>
      <c r="AE433" s="79" t="s">
        <v>758</v>
      </c>
      <c r="AF433" s="79" t="s">
        <v>759</v>
      </c>
      <c r="AG433" s="79" t="s">
        <v>760</v>
      </c>
      <c r="AH433" s="79"/>
      <c r="AI433" s="53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</row>
    <row r="434" spans="1:110" ht="20.399999999999999" x14ac:dyDescent="0.25">
      <c r="A434" s="24">
        <v>1207017</v>
      </c>
      <c r="B434" s="26" t="s">
        <v>657</v>
      </c>
      <c r="C434" s="25" t="s">
        <v>777</v>
      </c>
      <c r="D434" s="26" t="s">
        <v>776</v>
      </c>
      <c r="E434" s="10" t="s">
        <v>757</v>
      </c>
      <c r="F434" s="10" t="s">
        <v>34</v>
      </c>
      <c r="G434" s="55" t="str">
        <f t="shared" si="12"/>
        <v>Obsolete</v>
      </c>
      <c r="H434" s="10"/>
      <c r="I434" s="13">
        <v>55</v>
      </c>
      <c r="J434" s="56"/>
      <c r="K434" s="57"/>
      <c r="M434" s="14">
        <v>11.83</v>
      </c>
      <c r="N434" s="14">
        <v>9.92</v>
      </c>
      <c r="O434" s="14">
        <v>8.67</v>
      </c>
      <c r="P434" s="14"/>
      <c r="Q434" s="14"/>
      <c r="R434" s="14"/>
      <c r="S434" s="14"/>
      <c r="T434" s="70"/>
      <c r="U434" s="76" t="s">
        <v>54</v>
      </c>
      <c r="V434" s="76"/>
      <c r="W434" s="76" t="s">
        <v>54</v>
      </c>
      <c r="X434" s="76"/>
      <c r="Y434" s="97"/>
      <c r="Z434" s="87"/>
      <c r="AA434" s="79" t="s">
        <v>64</v>
      </c>
      <c r="AB434" s="79" t="s">
        <v>37</v>
      </c>
      <c r="AC434" s="79" t="s">
        <v>37</v>
      </c>
      <c r="AD434" s="79"/>
      <c r="AE434" s="79" t="s">
        <v>758</v>
      </c>
      <c r="AF434" s="79" t="s">
        <v>759</v>
      </c>
      <c r="AG434" s="79" t="s">
        <v>760</v>
      </c>
      <c r="AH434" s="79"/>
      <c r="AI434" s="53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</row>
    <row r="435" spans="1:110" ht="13.8" x14ac:dyDescent="0.25">
      <c r="A435" s="24">
        <v>1207018</v>
      </c>
      <c r="B435" s="26" t="s">
        <v>657</v>
      </c>
      <c r="C435" s="25" t="s">
        <v>778</v>
      </c>
      <c r="D435" s="26"/>
      <c r="E435" s="10" t="s">
        <v>132</v>
      </c>
      <c r="F435" s="10" t="s">
        <v>34</v>
      </c>
      <c r="G435" s="55">
        <f t="shared" si="12"/>
        <v>0</v>
      </c>
      <c r="H435" s="10">
        <v>10</v>
      </c>
      <c r="I435" s="13">
        <v>55</v>
      </c>
      <c r="J435" s="56"/>
      <c r="K435" s="57"/>
      <c r="M435" s="14"/>
      <c r="N435" s="14"/>
      <c r="O435" s="14"/>
      <c r="P435" s="14"/>
      <c r="Q435" s="14"/>
      <c r="R435" s="14"/>
      <c r="S435" s="14"/>
      <c r="T435" s="70"/>
      <c r="U435" s="76"/>
      <c r="V435" s="76">
        <v>0</v>
      </c>
      <c r="W435" s="76"/>
      <c r="X435" s="76">
        <v>0</v>
      </c>
      <c r="Y435" s="77" t="s">
        <v>37</v>
      </c>
      <c r="Z435" s="87">
        <v>55</v>
      </c>
      <c r="AA435" s="79" t="s">
        <v>36</v>
      </c>
      <c r="AB435" s="79" t="s">
        <v>35</v>
      </c>
      <c r="AC435" s="79" t="s">
        <v>37</v>
      </c>
      <c r="AD435" s="79" t="s">
        <v>38</v>
      </c>
      <c r="AE435" s="79" t="s">
        <v>133</v>
      </c>
      <c r="AF435" s="79" t="s">
        <v>134</v>
      </c>
      <c r="AG435" s="90" t="s">
        <v>135</v>
      </c>
      <c r="AH435" s="79"/>
      <c r="AI435" s="53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</row>
    <row r="436" spans="1:110" ht="20.399999999999999" x14ac:dyDescent="0.25">
      <c r="A436" s="24">
        <v>1207019</v>
      </c>
      <c r="B436" s="26" t="s">
        <v>657</v>
      </c>
      <c r="C436" s="25" t="s">
        <v>779</v>
      </c>
      <c r="D436" s="26" t="s">
        <v>776</v>
      </c>
      <c r="E436" s="10" t="s">
        <v>757</v>
      </c>
      <c r="F436" s="10" t="s">
        <v>34</v>
      </c>
      <c r="G436" s="55" t="str">
        <f t="shared" si="12"/>
        <v>Obsolete</v>
      </c>
      <c r="H436" s="10"/>
      <c r="I436" s="13"/>
      <c r="J436" s="56"/>
      <c r="K436" s="57"/>
      <c r="M436" s="14">
        <v>11.64</v>
      </c>
      <c r="N436" s="14">
        <v>9.73</v>
      </c>
      <c r="O436" s="14">
        <v>8.48</v>
      </c>
      <c r="P436" s="14"/>
      <c r="Q436" s="14"/>
      <c r="R436" s="14"/>
      <c r="S436" s="14"/>
      <c r="T436" s="70"/>
      <c r="U436" s="76" t="s">
        <v>54</v>
      </c>
      <c r="V436" s="76"/>
      <c r="W436" s="76" t="s">
        <v>54</v>
      </c>
      <c r="X436" s="76"/>
      <c r="Y436" s="97"/>
      <c r="Z436" s="87"/>
      <c r="AA436" s="79"/>
      <c r="AB436" s="79" t="s">
        <v>37</v>
      </c>
      <c r="AC436" s="79" t="s">
        <v>37</v>
      </c>
      <c r="AD436" s="79"/>
      <c r="AE436" s="79" t="s">
        <v>758</v>
      </c>
      <c r="AF436" s="79" t="s">
        <v>759</v>
      </c>
      <c r="AG436" s="79" t="s">
        <v>760</v>
      </c>
      <c r="AH436" s="79"/>
      <c r="AI436" s="53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</row>
    <row r="437" spans="1:110" ht="13.8" x14ac:dyDescent="0.25">
      <c r="A437" s="24">
        <v>1207020</v>
      </c>
      <c r="B437" s="26" t="s">
        <v>657</v>
      </c>
      <c r="C437" s="25" t="s">
        <v>780</v>
      </c>
      <c r="D437" s="26" t="s">
        <v>776</v>
      </c>
      <c r="E437" s="10" t="s">
        <v>768</v>
      </c>
      <c r="F437" s="10" t="s">
        <v>34</v>
      </c>
      <c r="G437" s="55" t="str">
        <f t="shared" si="12"/>
        <v>Obsolete</v>
      </c>
      <c r="H437" s="10"/>
      <c r="I437" s="13"/>
      <c r="J437" s="56"/>
      <c r="K437" s="57"/>
      <c r="M437" s="14"/>
      <c r="N437" s="14"/>
      <c r="O437" s="14"/>
      <c r="P437" s="14"/>
      <c r="Q437" s="14"/>
      <c r="R437" s="14"/>
      <c r="S437" s="14"/>
      <c r="T437" s="70"/>
      <c r="U437" s="76" t="s">
        <v>54</v>
      </c>
      <c r="V437" s="76">
        <v>0</v>
      </c>
      <c r="W437" s="76" t="s">
        <v>54</v>
      </c>
      <c r="X437" s="76">
        <v>0</v>
      </c>
      <c r="Y437" s="77" t="s">
        <v>37</v>
      </c>
      <c r="Z437" s="87">
        <v>50</v>
      </c>
      <c r="AA437" s="79" t="s">
        <v>64</v>
      </c>
      <c r="AB437" s="79" t="s">
        <v>37</v>
      </c>
      <c r="AC437" s="79" t="s">
        <v>37</v>
      </c>
      <c r="AD437" s="91" t="s">
        <v>57</v>
      </c>
      <c r="AE437" s="79" t="s">
        <v>769</v>
      </c>
      <c r="AF437" s="79" t="s">
        <v>770</v>
      </c>
      <c r="AG437" s="105" t="s">
        <v>771</v>
      </c>
      <c r="AH437" s="79"/>
      <c r="AI437" s="53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</row>
    <row r="438" spans="1:110" ht="20.399999999999999" x14ac:dyDescent="0.25">
      <c r="A438" s="24">
        <v>1207021</v>
      </c>
      <c r="B438" s="26" t="s">
        <v>657</v>
      </c>
      <c r="C438" s="25" t="s">
        <v>781</v>
      </c>
      <c r="D438" s="26" t="s">
        <v>776</v>
      </c>
      <c r="E438" s="10" t="s">
        <v>757</v>
      </c>
      <c r="F438" s="10" t="s">
        <v>34</v>
      </c>
      <c r="G438" s="55" t="str">
        <f t="shared" si="12"/>
        <v>Obsolete</v>
      </c>
      <c r="H438" s="10"/>
      <c r="I438" s="13"/>
      <c r="J438" s="56"/>
      <c r="K438" s="57"/>
      <c r="M438" s="14">
        <v>12.56</v>
      </c>
      <c r="N438" s="14"/>
      <c r="O438" s="14"/>
      <c r="P438" s="14"/>
      <c r="Q438" s="14"/>
      <c r="R438" s="14"/>
      <c r="S438" s="14"/>
      <c r="T438" s="70"/>
      <c r="U438" s="76" t="s">
        <v>54</v>
      </c>
      <c r="V438" s="76"/>
      <c r="W438" s="76" t="s">
        <v>54</v>
      </c>
      <c r="X438" s="76"/>
      <c r="Y438" s="97"/>
      <c r="Z438" s="87"/>
      <c r="AA438" s="79" t="s">
        <v>64</v>
      </c>
      <c r="AB438" s="79" t="s">
        <v>37</v>
      </c>
      <c r="AC438" s="79" t="s">
        <v>37</v>
      </c>
      <c r="AD438" s="79"/>
      <c r="AE438" s="79" t="s">
        <v>758</v>
      </c>
      <c r="AF438" s="79" t="s">
        <v>759</v>
      </c>
      <c r="AG438" s="105" t="s">
        <v>760</v>
      </c>
      <c r="AH438" s="79"/>
      <c r="AI438" s="53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</row>
    <row r="439" spans="1:110" ht="13.8" x14ac:dyDescent="0.25">
      <c r="A439" s="24">
        <v>1207022</v>
      </c>
      <c r="B439" s="10" t="s">
        <v>657</v>
      </c>
      <c r="C439" s="16" t="s">
        <v>782</v>
      </c>
      <c r="D439" s="26"/>
      <c r="E439" s="10" t="s">
        <v>757</v>
      </c>
      <c r="F439" s="10" t="s">
        <v>34</v>
      </c>
      <c r="G439" s="55" t="str">
        <f t="shared" si="12"/>
        <v>Obsolete</v>
      </c>
      <c r="H439" s="10"/>
      <c r="I439" s="13"/>
      <c r="J439" s="56"/>
      <c r="K439" s="57"/>
      <c r="M439" s="14">
        <v>12.74</v>
      </c>
      <c r="N439" s="14">
        <v>10.92</v>
      </c>
      <c r="O439" s="14">
        <v>9.36</v>
      </c>
      <c r="P439" s="14"/>
      <c r="Q439" s="14"/>
      <c r="R439" s="14"/>
      <c r="S439" s="14"/>
      <c r="T439" s="70"/>
      <c r="U439" s="76" t="s">
        <v>54</v>
      </c>
      <c r="V439" s="76"/>
      <c r="W439" s="76" t="s">
        <v>54</v>
      </c>
      <c r="X439" s="76"/>
      <c r="Y439" s="97"/>
      <c r="Z439" s="87"/>
      <c r="AA439" s="79" t="s">
        <v>206</v>
      </c>
      <c r="AB439" s="79" t="s">
        <v>37</v>
      </c>
      <c r="AC439" s="79" t="s">
        <v>37</v>
      </c>
      <c r="AD439" s="79"/>
      <c r="AE439" s="79" t="s">
        <v>758</v>
      </c>
      <c r="AF439" s="79" t="s">
        <v>759</v>
      </c>
      <c r="AG439" s="79" t="s">
        <v>760</v>
      </c>
      <c r="AH439" s="79"/>
      <c r="AI439" s="53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</row>
    <row r="440" spans="1:110" ht="13.8" x14ac:dyDescent="0.25">
      <c r="A440" s="24">
        <v>1207030</v>
      </c>
      <c r="B440" s="26" t="s">
        <v>657</v>
      </c>
      <c r="C440" s="25" t="s">
        <v>783</v>
      </c>
      <c r="D440" s="26" t="s">
        <v>776</v>
      </c>
      <c r="E440" s="10" t="s">
        <v>768</v>
      </c>
      <c r="F440" s="10" t="s">
        <v>34</v>
      </c>
      <c r="G440" s="55" t="str">
        <f t="shared" si="12"/>
        <v>Obsolete</v>
      </c>
      <c r="H440" s="10"/>
      <c r="I440" s="13"/>
      <c r="J440" s="56"/>
      <c r="K440" s="57"/>
      <c r="M440" s="14"/>
      <c r="N440" s="14"/>
      <c r="O440" s="14"/>
      <c r="P440" s="14"/>
      <c r="Q440" s="14"/>
      <c r="R440" s="14"/>
      <c r="S440" s="14"/>
      <c r="T440" s="70"/>
      <c r="U440" s="76" t="s">
        <v>54</v>
      </c>
      <c r="V440" s="76">
        <v>0</v>
      </c>
      <c r="W440" s="76" t="s">
        <v>54</v>
      </c>
      <c r="X440" s="76">
        <v>0</v>
      </c>
      <c r="Y440" s="77" t="s">
        <v>37</v>
      </c>
      <c r="Z440" s="87">
        <v>50</v>
      </c>
      <c r="AA440" s="79" t="s">
        <v>64</v>
      </c>
      <c r="AB440" s="79" t="s">
        <v>37</v>
      </c>
      <c r="AC440" s="79" t="s">
        <v>37</v>
      </c>
      <c r="AD440" s="91" t="s">
        <v>57</v>
      </c>
      <c r="AE440" s="79" t="s">
        <v>769</v>
      </c>
      <c r="AF440" s="79" t="s">
        <v>770</v>
      </c>
      <c r="AG440" s="105" t="s">
        <v>771</v>
      </c>
      <c r="AH440" s="79"/>
      <c r="AI440" s="53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</row>
    <row r="441" spans="1:110" ht="20.399999999999999" x14ac:dyDescent="0.25">
      <c r="A441" s="24">
        <v>1207031</v>
      </c>
      <c r="B441" s="26" t="s">
        <v>657</v>
      </c>
      <c r="C441" s="25" t="s">
        <v>784</v>
      </c>
      <c r="D441" s="26" t="s">
        <v>773</v>
      </c>
      <c r="E441" s="10" t="s">
        <v>785</v>
      </c>
      <c r="F441" s="10" t="s">
        <v>34</v>
      </c>
      <c r="G441" s="55" t="str">
        <f t="shared" si="12"/>
        <v>Obsolete</v>
      </c>
      <c r="H441" s="10">
        <v>4</v>
      </c>
      <c r="I441" s="13">
        <v>55</v>
      </c>
      <c r="J441" s="56"/>
      <c r="K441" s="57"/>
      <c r="M441" s="14">
        <v>5.03</v>
      </c>
      <c r="N441" s="14"/>
      <c r="O441" s="14"/>
      <c r="P441" s="14"/>
      <c r="Q441" s="14"/>
      <c r="R441" s="14"/>
      <c r="S441" s="14"/>
      <c r="T441" s="70"/>
      <c r="U441" s="76" t="s">
        <v>54</v>
      </c>
      <c r="V441" s="76"/>
      <c r="W441" s="76" t="s">
        <v>54</v>
      </c>
      <c r="X441" s="76"/>
      <c r="Y441" s="97"/>
      <c r="Z441" s="87">
        <v>55</v>
      </c>
      <c r="AA441" s="79" t="s">
        <v>64</v>
      </c>
      <c r="AB441" s="79" t="s">
        <v>37</v>
      </c>
      <c r="AC441" s="79" t="s">
        <v>37</v>
      </c>
      <c r="AD441" s="79"/>
      <c r="AE441" s="79" t="s">
        <v>786</v>
      </c>
      <c r="AF441" s="79" t="s">
        <v>787</v>
      </c>
      <c r="AG441" s="79" t="s">
        <v>788</v>
      </c>
      <c r="AH441" s="79"/>
      <c r="AI441" s="53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</row>
    <row r="442" spans="1:110" ht="20.399999999999999" x14ac:dyDescent="0.25">
      <c r="A442" s="24">
        <v>1207032</v>
      </c>
      <c r="B442" s="26" t="s">
        <v>657</v>
      </c>
      <c r="C442" s="25" t="s">
        <v>789</v>
      </c>
      <c r="D442" s="26" t="s">
        <v>773</v>
      </c>
      <c r="E442" s="10" t="s">
        <v>757</v>
      </c>
      <c r="F442" s="10" t="s">
        <v>34</v>
      </c>
      <c r="G442" s="55" t="str">
        <f t="shared" si="12"/>
        <v>Obsolete</v>
      </c>
      <c r="H442" s="10">
        <v>4</v>
      </c>
      <c r="I442" s="13">
        <v>55</v>
      </c>
      <c r="J442" s="56"/>
      <c r="K442" s="57"/>
      <c r="M442" s="14">
        <v>11.48</v>
      </c>
      <c r="N442" s="14">
        <v>9.57</v>
      </c>
      <c r="O442" s="14">
        <v>8.32</v>
      </c>
      <c r="P442" s="14"/>
      <c r="Q442" s="14"/>
      <c r="R442" s="14"/>
      <c r="S442" s="14"/>
      <c r="T442" s="70"/>
      <c r="U442" s="76" t="s">
        <v>54</v>
      </c>
      <c r="V442" s="76"/>
      <c r="W442" s="76" t="s">
        <v>54</v>
      </c>
      <c r="X442" s="76"/>
      <c r="Y442" s="97"/>
      <c r="Z442" s="87">
        <v>55</v>
      </c>
      <c r="AA442" s="79" t="s">
        <v>64</v>
      </c>
      <c r="AB442" s="79" t="s">
        <v>37</v>
      </c>
      <c r="AC442" s="79" t="s">
        <v>37</v>
      </c>
      <c r="AD442" s="79"/>
      <c r="AE442" s="79" t="s">
        <v>758</v>
      </c>
      <c r="AF442" s="79" t="s">
        <v>759</v>
      </c>
      <c r="AG442" s="79" t="s">
        <v>760</v>
      </c>
      <c r="AH442" s="79"/>
      <c r="AI442" s="53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</row>
    <row r="443" spans="1:110" ht="20.399999999999999" x14ac:dyDescent="0.25">
      <c r="A443" s="24">
        <v>1207033</v>
      </c>
      <c r="B443" s="26" t="s">
        <v>657</v>
      </c>
      <c r="C443" s="25" t="s">
        <v>790</v>
      </c>
      <c r="D443" s="26"/>
      <c r="E443" s="10" t="s">
        <v>757</v>
      </c>
      <c r="F443" s="10" t="s">
        <v>34</v>
      </c>
      <c r="G443" s="55" t="str">
        <f t="shared" si="12"/>
        <v>Obsolete</v>
      </c>
      <c r="H443" s="10">
        <v>4</v>
      </c>
      <c r="I443" s="13">
        <v>55</v>
      </c>
      <c r="J443" s="56"/>
      <c r="K443" s="57"/>
      <c r="M443" s="14">
        <v>11.33</v>
      </c>
      <c r="N443" s="14">
        <v>9.42</v>
      </c>
      <c r="O443" s="14">
        <v>8.17</v>
      </c>
      <c r="P443" s="14"/>
      <c r="Q443" s="14"/>
      <c r="R443" s="14"/>
      <c r="S443" s="14"/>
      <c r="T443" s="70"/>
      <c r="U443" s="76" t="s">
        <v>54</v>
      </c>
      <c r="V443" s="76"/>
      <c r="W443" s="76" t="s">
        <v>54</v>
      </c>
      <c r="X443" s="76"/>
      <c r="Y443" s="97"/>
      <c r="Z443" s="87">
        <v>55</v>
      </c>
      <c r="AA443" s="79" t="s">
        <v>64</v>
      </c>
      <c r="AB443" s="79" t="s">
        <v>37</v>
      </c>
      <c r="AC443" s="79" t="s">
        <v>37</v>
      </c>
      <c r="AD443" s="79"/>
      <c r="AE443" s="79" t="s">
        <v>758</v>
      </c>
      <c r="AF443" s="79" t="s">
        <v>759</v>
      </c>
      <c r="AG443" s="79" t="s">
        <v>760</v>
      </c>
      <c r="AH443" s="79"/>
      <c r="AI443" s="53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</row>
    <row r="444" spans="1:110" ht="20.399999999999999" x14ac:dyDescent="0.25">
      <c r="A444" s="24">
        <v>1207034</v>
      </c>
      <c r="B444" s="26" t="s">
        <v>657</v>
      </c>
      <c r="C444" s="25" t="s">
        <v>791</v>
      </c>
      <c r="D444" s="26" t="s">
        <v>773</v>
      </c>
      <c r="E444" s="10" t="s">
        <v>757</v>
      </c>
      <c r="F444" s="10" t="s">
        <v>34</v>
      </c>
      <c r="G444" s="55" t="str">
        <f t="shared" si="12"/>
        <v>Obsolete</v>
      </c>
      <c r="H444" s="10">
        <v>4</v>
      </c>
      <c r="I444" s="13">
        <v>55</v>
      </c>
      <c r="J444" s="56"/>
      <c r="K444" s="57"/>
      <c r="M444" s="14">
        <v>11.36</v>
      </c>
      <c r="N444" s="14">
        <v>9.4499999999999993</v>
      </c>
      <c r="O444" s="14">
        <v>8.1999999999999993</v>
      </c>
      <c r="P444" s="14"/>
      <c r="Q444" s="14"/>
      <c r="R444" s="14"/>
      <c r="S444" s="14"/>
      <c r="T444" s="70"/>
      <c r="U444" s="76" t="s">
        <v>54</v>
      </c>
      <c r="V444" s="76"/>
      <c r="W444" s="76" t="s">
        <v>54</v>
      </c>
      <c r="X444" s="76"/>
      <c r="Y444" s="97"/>
      <c r="Z444" s="87">
        <v>55</v>
      </c>
      <c r="AA444" s="79" t="s">
        <v>64</v>
      </c>
      <c r="AB444" s="79" t="s">
        <v>37</v>
      </c>
      <c r="AC444" s="79" t="s">
        <v>37</v>
      </c>
      <c r="AD444" s="79"/>
      <c r="AE444" s="79" t="s">
        <v>758</v>
      </c>
      <c r="AF444" s="79" t="s">
        <v>759</v>
      </c>
      <c r="AG444" s="79" t="s">
        <v>760</v>
      </c>
      <c r="AH444" s="79"/>
      <c r="AI444" s="53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</row>
    <row r="445" spans="1:110" ht="20.399999999999999" x14ac:dyDescent="0.25">
      <c r="A445" s="24">
        <v>1207035</v>
      </c>
      <c r="B445" s="26" t="s">
        <v>657</v>
      </c>
      <c r="C445" s="25" t="s">
        <v>792</v>
      </c>
      <c r="D445" s="26"/>
      <c r="E445" s="10" t="s">
        <v>757</v>
      </c>
      <c r="F445" s="10" t="s">
        <v>34</v>
      </c>
      <c r="G445" s="55" t="str">
        <f t="shared" si="12"/>
        <v>Obsolete</v>
      </c>
      <c r="H445" s="10">
        <v>4</v>
      </c>
      <c r="I445" s="13">
        <v>55</v>
      </c>
      <c r="J445" s="56"/>
      <c r="K445" s="57"/>
      <c r="M445" s="14">
        <v>11.59</v>
      </c>
      <c r="N445" s="14">
        <v>9.68</v>
      </c>
      <c r="O445" s="14">
        <v>8.43</v>
      </c>
      <c r="P445" s="14"/>
      <c r="Q445" s="14"/>
      <c r="R445" s="14"/>
      <c r="S445" s="14"/>
      <c r="T445" s="70"/>
      <c r="U445" s="76" t="s">
        <v>54</v>
      </c>
      <c r="V445" s="76"/>
      <c r="W445" s="76" t="s">
        <v>54</v>
      </c>
      <c r="X445" s="76"/>
      <c r="Y445" s="97"/>
      <c r="Z445" s="87">
        <v>55</v>
      </c>
      <c r="AA445" s="79" t="s">
        <v>64</v>
      </c>
      <c r="AB445" s="79" t="s">
        <v>37</v>
      </c>
      <c r="AC445" s="79" t="s">
        <v>37</v>
      </c>
      <c r="AD445" s="79"/>
      <c r="AE445" s="79" t="s">
        <v>758</v>
      </c>
      <c r="AF445" s="79" t="s">
        <v>759</v>
      </c>
      <c r="AG445" s="79" t="s">
        <v>760</v>
      </c>
      <c r="AH445" s="79"/>
      <c r="AI445" s="53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</row>
    <row r="446" spans="1:110" ht="13.8" x14ac:dyDescent="0.25">
      <c r="A446" s="24">
        <v>1207036</v>
      </c>
      <c r="B446" s="26" t="s">
        <v>657</v>
      </c>
      <c r="C446" s="25" t="s">
        <v>793</v>
      </c>
      <c r="D446" s="26" t="s">
        <v>756</v>
      </c>
      <c r="E446" s="10" t="s">
        <v>794</v>
      </c>
      <c r="F446" s="10" t="s">
        <v>34</v>
      </c>
      <c r="G446" s="55" t="str">
        <f t="shared" si="12"/>
        <v>Obsolete</v>
      </c>
      <c r="H446" s="10">
        <v>5</v>
      </c>
      <c r="I446" s="13">
        <v>55</v>
      </c>
      <c r="J446" s="56"/>
      <c r="K446" s="57"/>
      <c r="M446" s="14">
        <v>21.43</v>
      </c>
      <c r="N446" s="14">
        <v>16.46</v>
      </c>
      <c r="O446" s="14"/>
      <c r="P446" s="14"/>
      <c r="Q446" s="14"/>
      <c r="R446" s="14"/>
      <c r="S446" s="14"/>
      <c r="T446" s="70"/>
      <c r="U446" s="76" t="s">
        <v>54</v>
      </c>
      <c r="V446" s="76"/>
      <c r="W446" s="76" t="s">
        <v>54</v>
      </c>
      <c r="X446" s="76"/>
      <c r="Y446" s="97"/>
      <c r="Z446" s="87">
        <v>55</v>
      </c>
      <c r="AA446" s="79" t="s">
        <v>64</v>
      </c>
      <c r="AB446" s="79" t="s">
        <v>37</v>
      </c>
      <c r="AC446" s="79" t="s">
        <v>37</v>
      </c>
      <c r="AD446" s="79"/>
      <c r="AE446" s="79"/>
      <c r="AF446" s="79"/>
      <c r="AG446" s="79"/>
      <c r="AH446" s="79"/>
      <c r="AI446" s="53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</row>
    <row r="447" spans="1:110" ht="13.8" x14ac:dyDescent="0.25">
      <c r="A447" s="24">
        <v>1207037</v>
      </c>
      <c r="B447" s="26" t="s">
        <v>657</v>
      </c>
      <c r="C447" s="25" t="s">
        <v>795</v>
      </c>
      <c r="D447" s="26" t="s">
        <v>756</v>
      </c>
      <c r="E447" s="10" t="s">
        <v>794</v>
      </c>
      <c r="F447" s="10" t="s">
        <v>34</v>
      </c>
      <c r="G447" s="55" t="str">
        <f t="shared" si="12"/>
        <v>Obsolete</v>
      </c>
      <c r="H447" s="10">
        <v>5</v>
      </c>
      <c r="I447" s="13">
        <v>55</v>
      </c>
      <c r="J447" s="56"/>
      <c r="K447" s="57"/>
      <c r="M447" s="14">
        <v>21.43</v>
      </c>
      <c r="N447" s="14">
        <v>16.46</v>
      </c>
      <c r="O447" s="14"/>
      <c r="P447" s="14"/>
      <c r="Q447" s="14"/>
      <c r="R447" s="14"/>
      <c r="S447" s="14"/>
      <c r="T447" s="70"/>
      <c r="U447" s="76" t="s">
        <v>54</v>
      </c>
      <c r="V447" s="76"/>
      <c r="W447" s="76" t="s">
        <v>54</v>
      </c>
      <c r="X447" s="76"/>
      <c r="Y447" s="97"/>
      <c r="Z447" s="87">
        <v>55</v>
      </c>
      <c r="AA447" s="79" t="s">
        <v>64</v>
      </c>
      <c r="AB447" s="79" t="s">
        <v>37</v>
      </c>
      <c r="AC447" s="79" t="s">
        <v>37</v>
      </c>
      <c r="AD447" s="79"/>
      <c r="AE447" s="79"/>
      <c r="AF447" s="79"/>
      <c r="AG447" s="79"/>
      <c r="AH447" s="79"/>
      <c r="AI447" s="53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</row>
    <row r="448" spans="1:110" ht="13.8" x14ac:dyDescent="0.25">
      <c r="A448" s="24">
        <v>1207038</v>
      </c>
      <c r="B448" s="26" t="s">
        <v>657</v>
      </c>
      <c r="C448" s="37" t="s">
        <v>796</v>
      </c>
      <c r="D448" s="10" t="s">
        <v>773</v>
      </c>
      <c r="E448" s="10" t="s">
        <v>797</v>
      </c>
      <c r="F448" s="10" t="s">
        <v>34</v>
      </c>
      <c r="G448" s="55" t="str">
        <f t="shared" si="12"/>
        <v>Obsolete</v>
      </c>
      <c r="H448" s="10">
        <v>4</v>
      </c>
      <c r="I448" s="13">
        <v>55</v>
      </c>
      <c r="J448" s="56"/>
      <c r="K448" s="57"/>
      <c r="M448" s="14">
        <v>3.3</v>
      </c>
      <c r="N448" s="14">
        <v>3.3</v>
      </c>
      <c r="O448" s="14"/>
      <c r="P448" s="14"/>
      <c r="Q448" s="14"/>
      <c r="R448" s="14"/>
      <c r="S448" s="14"/>
      <c r="T448" s="70"/>
      <c r="U448" s="76" t="s">
        <v>54</v>
      </c>
      <c r="V448" s="76"/>
      <c r="W448" s="76" t="s">
        <v>54</v>
      </c>
      <c r="X448" s="76"/>
      <c r="Y448" s="97"/>
      <c r="Z448" s="87"/>
      <c r="AA448" s="79"/>
      <c r="AB448" s="79" t="s">
        <v>37</v>
      </c>
      <c r="AC448" s="79" t="s">
        <v>37</v>
      </c>
      <c r="AD448" s="79"/>
      <c r="AE448" s="79"/>
      <c r="AF448" s="79"/>
      <c r="AG448" s="79"/>
      <c r="AH448" s="79"/>
      <c r="AI448" s="53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</row>
    <row r="449" spans="1:110" ht="13.8" x14ac:dyDescent="0.25">
      <c r="A449" s="24">
        <v>1207039</v>
      </c>
      <c r="B449" s="26" t="s">
        <v>657</v>
      </c>
      <c r="C449" s="16" t="s">
        <v>798</v>
      </c>
      <c r="D449" s="10" t="s">
        <v>773</v>
      </c>
      <c r="E449" s="10" t="s">
        <v>797</v>
      </c>
      <c r="F449" s="10" t="s">
        <v>34</v>
      </c>
      <c r="G449" s="55" t="str">
        <f t="shared" si="12"/>
        <v>Obsolete</v>
      </c>
      <c r="H449" s="10">
        <v>4</v>
      </c>
      <c r="I449" s="13">
        <v>55</v>
      </c>
      <c r="J449" s="56"/>
      <c r="K449" s="57"/>
      <c r="M449" s="14">
        <v>3.5</v>
      </c>
      <c r="N449" s="14"/>
      <c r="O449" s="14"/>
      <c r="P449" s="14"/>
      <c r="Q449" s="14"/>
      <c r="R449" s="14"/>
      <c r="S449" s="14"/>
      <c r="T449" s="70"/>
      <c r="U449" s="76" t="s">
        <v>54</v>
      </c>
      <c r="V449" s="76"/>
      <c r="W449" s="76" t="s">
        <v>54</v>
      </c>
      <c r="X449" s="76"/>
      <c r="Y449" s="97"/>
      <c r="Z449" s="87"/>
      <c r="AA449" s="79"/>
      <c r="AB449" s="79" t="s">
        <v>37</v>
      </c>
      <c r="AC449" s="79" t="s">
        <v>37</v>
      </c>
      <c r="AD449" s="79"/>
      <c r="AE449" s="79"/>
      <c r="AF449" s="79"/>
      <c r="AG449" s="79"/>
      <c r="AH449" s="79"/>
      <c r="AI449" s="53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</row>
    <row r="450" spans="1:110" ht="13.8" x14ac:dyDescent="0.25">
      <c r="A450" s="24">
        <v>1207040</v>
      </c>
      <c r="B450" s="26" t="s">
        <v>657</v>
      </c>
      <c r="C450" s="16" t="s">
        <v>799</v>
      </c>
      <c r="D450" s="10" t="s">
        <v>776</v>
      </c>
      <c r="E450" s="10" t="s">
        <v>768</v>
      </c>
      <c r="F450" s="10" t="s">
        <v>34</v>
      </c>
      <c r="G450" s="55" t="str">
        <f t="shared" si="12"/>
        <v>Obsolete</v>
      </c>
      <c r="H450" s="10"/>
      <c r="I450" s="13"/>
      <c r="J450" s="56"/>
      <c r="K450" s="57"/>
      <c r="M450" s="14"/>
      <c r="N450" s="14"/>
      <c r="O450" s="14"/>
      <c r="P450" s="14"/>
      <c r="Q450" s="14"/>
      <c r="R450" s="14"/>
      <c r="S450" s="14"/>
      <c r="T450" s="70"/>
      <c r="U450" s="76" t="s">
        <v>54</v>
      </c>
      <c r="V450" s="76">
        <v>0</v>
      </c>
      <c r="W450" s="76" t="s">
        <v>54</v>
      </c>
      <c r="X450" s="76">
        <v>0</v>
      </c>
      <c r="Y450" s="77" t="s">
        <v>37</v>
      </c>
      <c r="Z450" s="87">
        <v>50</v>
      </c>
      <c r="AA450" s="79" t="s">
        <v>64</v>
      </c>
      <c r="AB450" s="79" t="s">
        <v>37</v>
      </c>
      <c r="AC450" s="79" t="s">
        <v>37</v>
      </c>
      <c r="AD450" s="91" t="s">
        <v>57</v>
      </c>
      <c r="AE450" s="79" t="s">
        <v>769</v>
      </c>
      <c r="AF450" s="79" t="s">
        <v>770</v>
      </c>
      <c r="AG450" s="105" t="s">
        <v>771</v>
      </c>
      <c r="AH450" s="79"/>
      <c r="AI450" s="53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</row>
    <row r="451" spans="1:110" ht="13.8" x14ac:dyDescent="0.25">
      <c r="A451" s="24">
        <v>1207041</v>
      </c>
      <c r="B451" s="26" t="s">
        <v>657</v>
      </c>
      <c r="C451" s="16" t="s">
        <v>800</v>
      </c>
      <c r="D451" s="10"/>
      <c r="E451" s="10" t="s">
        <v>757</v>
      </c>
      <c r="F451" s="10" t="s">
        <v>34</v>
      </c>
      <c r="G451" s="55" t="str">
        <f t="shared" si="12"/>
        <v>Obsolete</v>
      </c>
      <c r="H451" s="10">
        <v>4</v>
      </c>
      <c r="I451" s="13">
        <v>55</v>
      </c>
      <c r="J451" s="56"/>
      <c r="K451" s="57"/>
      <c r="M451" s="14"/>
      <c r="N451" s="14"/>
      <c r="O451" s="14"/>
      <c r="P451" s="14"/>
      <c r="Q451" s="14"/>
      <c r="R451" s="14"/>
      <c r="S451" s="14"/>
      <c r="T451" s="70"/>
      <c r="U451" s="76" t="s">
        <v>54</v>
      </c>
      <c r="V451" s="76"/>
      <c r="W451" s="76" t="s">
        <v>54</v>
      </c>
      <c r="X451" s="76"/>
      <c r="Y451" s="97"/>
      <c r="Z451" s="87">
        <v>55</v>
      </c>
      <c r="AA451" s="79" t="s">
        <v>206</v>
      </c>
      <c r="AB451" s="79" t="s">
        <v>37</v>
      </c>
      <c r="AC451" s="79" t="s">
        <v>37</v>
      </c>
      <c r="AD451" s="79"/>
      <c r="AE451" s="79"/>
      <c r="AF451" s="79"/>
      <c r="AG451" s="79"/>
      <c r="AH451" s="79"/>
      <c r="AI451" s="53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</row>
    <row r="452" spans="1:110" ht="13.8" x14ac:dyDescent="0.25">
      <c r="A452" s="24">
        <v>1207042</v>
      </c>
      <c r="B452" s="26" t="s">
        <v>657</v>
      </c>
      <c r="C452" s="16" t="s">
        <v>801</v>
      </c>
      <c r="D452" s="10" t="s">
        <v>776</v>
      </c>
      <c r="E452" s="10" t="s">
        <v>768</v>
      </c>
      <c r="F452" s="10" t="s">
        <v>34</v>
      </c>
      <c r="G452" s="55">
        <f t="shared" si="12"/>
        <v>22.693200000000001</v>
      </c>
      <c r="H452" s="10">
        <v>5</v>
      </c>
      <c r="I452" s="13">
        <v>50</v>
      </c>
      <c r="J452" s="56"/>
      <c r="K452" s="57"/>
      <c r="M452" s="14">
        <v>21.92</v>
      </c>
      <c r="N452" s="14">
        <v>14.57</v>
      </c>
      <c r="O452" s="14">
        <v>13.66</v>
      </c>
      <c r="P452" s="14">
        <v>12.58</v>
      </c>
      <c r="Q452" s="14"/>
      <c r="R452" s="14">
        <v>12.43</v>
      </c>
      <c r="S452" s="14"/>
      <c r="T452" s="70"/>
      <c r="U452" s="76">
        <v>21.92</v>
      </c>
      <c r="V452" s="76">
        <v>0.7732</v>
      </c>
      <c r="W452" s="76">
        <v>21.92</v>
      </c>
      <c r="X452" s="76">
        <v>0.7732</v>
      </c>
      <c r="Y452" s="77" t="s">
        <v>35</v>
      </c>
      <c r="Z452" s="87">
        <v>50</v>
      </c>
      <c r="AA452" s="79" t="s">
        <v>36</v>
      </c>
      <c r="AB452" s="79" t="s">
        <v>35</v>
      </c>
      <c r="AC452" s="79" t="s">
        <v>37</v>
      </c>
      <c r="AD452" s="79" t="s">
        <v>38</v>
      </c>
      <c r="AE452" s="79" t="s">
        <v>769</v>
      </c>
      <c r="AF452" s="79" t="s">
        <v>770</v>
      </c>
      <c r="AG452" s="105" t="s">
        <v>771</v>
      </c>
      <c r="AH452" s="79"/>
      <c r="AI452" s="53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</row>
    <row r="453" spans="1:110" ht="13.8" x14ac:dyDescent="0.25">
      <c r="A453" s="24">
        <v>1207043</v>
      </c>
      <c r="B453" s="26" t="s">
        <v>657</v>
      </c>
      <c r="C453" s="16" t="s">
        <v>802</v>
      </c>
      <c r="D453" s="10" t="s">
        <v>776</v>
      </c>
      <c r="E453" s="10" t="s">
        <v>768</v>
      </c>
      <c r="F453" s="10" t="s">
        <v>34</v>
      </c>
      <c r="G453" s="55">
        <f t="shared" si="12"/>
        <v>22.693200000000001</v>
      </c>
      <c r="H453" s="10">
        <v>5</v>
      </c>
      <c r="I453" s="13">
        <v>50</v>
      </c>
      <c r="J453" s="56"/>
      <c r="K453" s="57"/>
      <c r="M453" s="14">
        <v>21.92</v>
      </c>
      <c r="N453" s="14">
        <v>14.57</v>
      </c>
      <c r="O453" s="14">
        <v>13.66</v>
      </c>
      <c r="P453" s="14">
        <v>12.58</v>
      </c>
      <c r="Q453" s="14"/>
      <c r="R453" s="14">
        <v>12.43</v>
      </c>
      <c r="S453" s="14"/>
      <c r="T453" s="70"/>
      <c r="U453" s="76">
        <v>21.92</v>
      </c>
      <c r="V453" s="76">
        <v>0.7732</v>
      </c>
      <c r="W453" s="76">
        <v>21.92</v>
      </c>
      <c r="X453" s="76">
        <v>0.7732</v>
      </c>
      <c r="Y453" s="77" t="s">
        <v>35</v>
      </c>
      <c r="Z453" s="87">
        <v>50</v>
      </c>
      <c r="AA453" s="79" t="s">
        <v>36</v>
      </c>
      <c r="AB453" s="79" t="s">
        <v>35</v>
      </c>
      <c r="AC453" s="79" t="s">
        <v>37</v>
      </c>
      <c r="AD453" s="79" t="s">
        <v>38</v>
      </c>
      <c r="AE453" s="79" t="s">
        <v>769</v>
      </c>
      <c r="AF453" s="79" t="s">
        <v>770</v>
      </c>
      <c r="AG453" s="105" t="s">
        <v>771</v>
      </c>
      <c r="AH453" s="79"/>
      <c r="AI453" s="53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</row>
    <row r="454" spans="1:110" ht="13.8" x14ac:dyDescent="0.25">
      <c r="A454" s="24">
        <v>1207044</v>
      </c>
      <c r="B454" s="26" t="s">
        <v>657</v>
      </c>
      <c r="C454" s="16" t="s">
        <v>803</v>
      </c>
      <c r="D454" s="10"/>
      <c r="E454" s="10" t="s">
        <v>768</v>
      </c>
      <c r="F454" s="10" t="s">
        <v>34</v>
      </c>
      <c r="G454" s="55" t="str">
        <f t="shared" si="12"/>
        <v>Obsolete</v>
      </c>
      <c r="H454" s="10">
        <v>4</v>
      </c>
      <c r="I454" s="13">
        <v>55</v>
      </c>
      <c r="J454" s="56"/>
      <c r="K454" s="57"/>
      <c r="M454" s="14">
        <v>30.33</v>
      </c>
      <c r="N454" s="14"/>
      <c r="O454" s="14"/>
      <c r="P454" s="14"/>
      <c r="Q454" s="14"/>
      <c r="R454" s="14"/>
      <c r="S454" s="14"/>
      <c r="T454" s="70"/>
      <c r="U454" s="76" t="s">
        <v>54</v>
      </c>
      <c r="V454" s="76">
        <v>0</v>
      </c>
      <c r="W454" s="76" t="s">
        <v>54</v>
      </c>
      <c r="X454" s="76">
        <v>0</v>
      </c>
      <c r="Y454" s="77" t="s">
        <v>37</v>
      </c>
      <c r="Z454" s="87">
        <v>55</v>
      </c>
      <c r="AA454" s="79" t="s">
        <v>64</v>
      </c>
      <c r="AB454" s="79" t="s">
        <v>37</v>
      </c>
      <c r="AC454" s="79" t="s">
        <v>37</v>
      </c>
      <c r="AD454" s="91" t="s">
        <v>57</v>
      </c>
      <c r="AE454" s="79" t="s">
        <v>769</v>
      </c>
      <c r="AF454" s="79" t="s">
        <v>770</v>
      </c>
      <c r="AG454" s="105" t="s">
        <v>771</v>
      </c>
      <c r="AH454" s="79"/>
      <c r="AI454" s="53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</row>
    <row r="455" spans="1:110" ht="13.8" x14ac:dyDescent="0.25">
      <c r="A455" s="24">
        <v>1207045</v>
      </c>
      <c r="B455" s="26" t="s">
        <v>657</v>
      </c>
      <c r="C455" s="16" t="s">
        <v>804</v>
      </c>
      <c r="D455" s="10"/>
      <c r="E455" s="10" t="s">
        <v>768</v>
      </c>
      <c r="F455" s="10" t="s">
        <v>34</v>
      </c>
      <c r="G455" s="55" t="str">
        <f t="shared" si="12"/>
        <v>Obsolete</v>
      </c>
      <c r="H455" s="10">
        <v>4</v>
      </c>
      <c r="I455" s="13">
        <v>55</v>
      </c>
      <c r="J455" s="56"/>
      <c r="K455" s="57"/>
      <c r="M455" s="14">
        <v>63.53</v>
      </c>
      <c r="N455" s="14">
        <v>28.816718323268873</v>
      </c>
      <c r="O455" s="14"/>
      <c r="P455" s="14"/>
      <c r="Q455" s="14"/>
      <c r="R455" s="14"/>
      <c r="S455" s="14"/>
      <c r="T455" s="70"/>
      <c r="U455" s="76" t="s">
        <v>54</v>
      </c>
      <c r="V455" s="76">
        <v>0</v>
      </c>
      <c r="W455" s="76" t="s">
        <v>54</v>
      </c>
      <c r="X455" s="76">
        <v>0</v>
      </c>
      <c r="Y455" s="77" t="s">
        <v>37</v>
      </c>
      <c r="Z455" s="87">
        <v>55</v>
      </c>
      <c r="AA455" s="79" t="s">
        <v>64</v>
      </c>
      <c r="AB455" s="79" t="s">
        <v>37</v>
      </c>
      <c r="AC455" s="79" t="s">
        <v>37</v>
      </c>
      <c r="AD455" s="91" t="s">
        <v>57</v>
      </c>
      <c r="AE455" s="79" t="s">
        <v>769</v>
      </c>
      <c r="AF455" s="79" t="s">
        <v>770</v>
      </c>
      <c r="AG455" s="105" t="s">
        <v>771</v>
      </c>
      <c r="AH455" s="79"/>
      <c r="AI455" s="53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</row>
    <row r="456" spans="1:110" ht="13.8" x14ac:dyDescent="0.25">
      <c r="A456" s="24">
        <v>1207046</v>
      </c>
      <c r="B456" s="26" t="s">
        <v>657</v>
      </c>
      <c r="C456" s="16" t="s">
        <v>805</v>
      </c>
      <c r="D456" s="10"/>
      <c r="E456" s="10" t="s">
        <v>768</v>
      </c>
      <c r="F456" s="10" t="s">
        <v>34</v>
      </c>
      <c r="G456" s="55" t="str">
        <f t="shared" si="12"/>
        <v>Obsolete</v>
      </c>
      <c r="H456" s="10"/>
      <c r="I456" s="13"/>
      <c r="J456" s="56"/>
      <c r="K456" s="57"/>
      <c r="M456" s="14"/>
      <c r="N456" s="14"/>
      <c r="O456" s="14"/>
      <c r="P456" s="14"/>
      <c r="Q456" s="14"/>
      <c r="R456" s="14"/>
      <c r="S456" s="14"/>
      <c r="T456" s="70"/>
      <c r="U456" s="76" t="s">
        <v>54</v>
      </c>
      <c r="V456" s="76">
        <v>0</v>
      </c>
      <c r="W456" s="76" t="s">
        <v>54</v>
      </c>
      <c r="X456" s="76">
        <v>0</v>
      </c>
      <c r="Y456" s="77" t="s">
        <v>37</v>
      </c>
      <c r="Z456" s="87">
        <v>55</v>
      </c>
      <c r="AA456" s="79" t="s">
        <v>806</v>
      </c>
      <c r="AB456" s="79" t="s">
        <v>37</v>
      </c>
      <c r="AC456" s="79" t="s">
        <v>37</v>
      </c>
      <c r="AD456" s="91" t="s">
        <v>57</v>
      </c>
      <c r="AE456" s="79" t="s">
        <v>769</v>
      </c>
      <c r="AF456" s="79" t="s">
        <v>770</v>
      </c>
      <c r="AG456" s="105" t="s">
        <v>771</v>
      </c>
      <c r="AH456" s="79"/>
      <c r="AI456" s="53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</row>
    <row r="457" spans="1:110" ht="13.8" x14ac:dyDescent="0.25">
      <c r="A457" s="24">
        <v>1207047</v>
      </c>
      <c r="B457" s="26" t="s">
        <v>657</v>
      </c>
      <c r="C457" s="16" t="s">
        <v>807</v>
      </c>
      <c r="D457" s="10"/>
      <c r="E457" s="10" t="s">
        <v>768</v>
      </c>
      <c r="F457" s="10" t="s">
        <v>34</v>
      </c>
      <c r="G457" s="55" t="str">
        <f t="shared" si="12"/>
        <v>Obsolete</v>
      </c>
      <c r="H457" s="10"/>
      <c r="I457" s="13"/>
      <c r="J457" s="56"/>
      <c r="K457" s="57"/>
      <c r="M457" s="14"/>
      <c r="N457" s="14"/>
      <c r="O457" s="14"/>
      <c r="P457" s="14"/>
      <c r="Q457" s="14"/>
      <c r="R457" s="14"/>
      <c r="S457" s="14"/>
      <c r="T457" s="70"/>
      <c r="U457" s="76" t="s">
        <v>54</v>
      </c>
      <c r="V457" s="76">
        <v>0</v>
      </c>
      <c r="W457" s="76" t="s">
        <v>54</v>
      </c>
      <c r="X457" s="76">
        <v>0</v>
      </c>
      <c r="Y457" s="77" t="s">
        <v>37</v>
      </c>
      <c r="Z457" s="87">
        <v>55</v>
      </c>
      <c r="AA457" s="79" t="s">
        <v>806</v>
      </c>
      <c r="AB457" s="79" t="s">
        <v>37</v>
      </c>
      <c r="AC457" s="79" t="s">
        <v>37</v>
      </c>
      <c r="AD457" s="91" t="s">
        <v>57</v>
      </c>
      <c r="AE457" s="79" t="s">
        <v>769</v>
      </c>
      <c r="AF457" s="79" t="s">
        <v>770</v>
      </c>
      <c r="AG457" s="105" t="s">
        <v>771</v>
      </c>
      <c r="AH457" s="79"/>
      <c r="AI457" s="53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</row>
    <row r="458" spans="1:110" ht="13.8" x14ac:dyDescent="0.25">
      <c r="A458" s="24">
        <v>1207048</v>
      </c>
      <c r="B458" s="26" t="s">
        <v>657</v>
      </c>
      <c r="C458" s="16" t="s">
        <v>808</v>
      </c>
      <c r="D458" s="10"/>
      <c r="E458" s="10" t="s">
        <v>768</v>
      </c>
      <c r="F458" s="10" t="s">
        <v>34</v>
      </c>
      <c r="G458" s="55" t="str">
        <f t="shared" si="12"/>
        <v>Obsolete</v>
      </c>
      <c r="H458" s="10"/>
      <c r="I458" s="13"/>
      <c r="J458" s="56"/>
      <c r="K458" s="57"/>
      <c r="M458" s="14"/>
      <c r="N458" s="14"/>
      <c r="O458" s="14"/>
      <c r="P458" s="14"/>
      <c r="Q458" s="14"/>
      <c r="R458" s="14"/>
      <c r="S458" s="14"/>
      <c r="T458" s="70"/>
      <c r="U458" s="76" t="s">
        <v>54</v>
      </c>
      <c r="V458" s="76">
        <v>0</v>
      </c>
      <c r="W458" s="76" t="s">
        <v>54</v>
      </c>
      <c r="X458" s="76">
        <v>0</v>
      </c>
      <c r="Y458" s="77" t="s">
        <v>37</v>
      </c>
      <c r="Z458" s="87">
        <v>55</v>
      </c>
      <c r="AA458" s="79" t="s">
        <v>806</v>
      </c>
      <c r="AB458" s="79" t="s">
        <v>37</v>
      </c>
      <c r="AC458" s="79" t="s">
        <v>37</v>
      </c>
      <c r="AD458" s="91" t="s">
        <v>57</v>
      </c>
      <c r="AE458" s="79" t="s">
        <v>769</v>
      </c>
      <c r="AF458" s="79" t="s">
        <v>770</v>
      </c>
      <c r="AG458" s="105" t="s">
        <v>771</v>
      </c>
      <c r="AH458" s="79"/>
      <c r="AI458" s="53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</row>
    <row r="459" spans="1:110" ht="13.8" x14ac:dyDescent="0.25">
      <c r="A459" s="24">
        <v>1207049</v>
      </c>
      <c r="B459" s="26" t="s">
        <v>657</v>
      </c>
      <c r="C459" s="16" t="s">
        <v>809</v>
      </c>
      <c r="D459" s="10"/>
      <c r="E459" s="10" t="s">
        <v>768</v>
      </c>
      <c r="F459" s="10" t="s">
        <v>34</v>
      </c>
      <c r="G459" s="55">
        <f t="shared" si="12"/>
        <v>16.71</v>
      </c>
      <c r="H459" s="10">
        <v>4</v>
      </c>
      <c r="I459" s="13">
        <v>50</v>
      </c>
      <c r="J459" s="56"/>
      <c r="K459" s="57"/>
      <c r="M459" s="14">
        <v>14.84</v>
      </c>
      <c r="N459" s="14">
        <v>6.68</v>
      </c>
      <c r="O459" s="14">
        <v>6.1</v>
      </c>
      <c r="P459" s="14"/>
      <c r="Q459" s="14"/>
      <c r="R459" s="14"/>
      <c r="S459" s="14"/>
      <c r="T459" s="70"/>
      <c r="U459" s="76">
        <v>14.84</v>
      </c>
      <c r="V459" s="76">
        <v>1.87</v>
      </c>
      <c r="W459" s="76">
        <v>8.34</v>
      </c>
      <c r="X459" s="76">
        <v>1.87</v>
      </c>
      <c r="Y459" s="77" t="s">
        <v>37</v>
      </c>
      <c r="Z459" s="87">
        <v>50</v>
      </c>
      <c r="AA459" s="79" t="s">
        <v>44</v>
      </c>
      <c r="AB459" s="79" t="s">
        <v>35</v>
      </c>
      <c r="AC459" s="79" t="s">
        <v>37</v>
      </c>
      <c r="AD459" s="79" t="s">
        <v>38</v>
      </c>
      <c r="AE459" s="79" t="s">
        <v>769</v>
      </c>
      <c r="AF459" s="79" t="s">
        <v>770</v>
      </c>
      <c r="AG459" s="105" t="s">
        <v>771</v>
      </c>
      <c r="AH459" s="79"/>
      <c r="AI459" s="53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</row>
    <row r="460" spans="1:110" ht="13.8" x14ac:dyDescent="0.25">
      <c r="A460" s="24">
        <v>1207050</v>
      </c>
      <c r="B460" s="26" t="s">
        <v>657</v>
      </c>
      <c r="C460" s="16" t="s">
        <v>810</v>
      </c>
      <c r="D460" s="10" t="s">
        <v>776</v>
      </c>
      <c r="E460" s="10" t="s">
        <v>797</v>
      </c>
      <c r="F460" s="10" t="s">
        <v>34</v>
      </c>
      <c r="G460" s="55" t="str">
        <f t="shared" si="12"/>
        <v>Obsolete</v>
      </c>
      <c r="H460" s="10">
        <v>4</v>
      </c>
      <c r="I460" s="13">
        <v>55</v>
      </c>
      <c r="J460" s="56"/>
      <c r="K460" s="57"/>
      <c r="M460" s="14"/>
      <c r="N460" s="14"/>
      <c r="O460" s="14"/>
      <c r="P460" s="14"/>
      <c r="Q460" s="14"/>
      <c r="R460" s="14"/>
      <c r="S460" s="14"/>
      <c r="T460" s="70"/>
      <c r="U460" s="76" t="s">
        <v>54</v>
      </c>
      <c r="V460" s="76"/>
      <c r="W460" s="76" t="s">
        <v>54</v>
      </c>
      <c r="X460" s="76"/>
      <c r="Y460" s="97"/>
      <c r="Z460" s="87"/>
      <c r="AA460" s="79" t="s">
        <v>806</v>
      </c>
      <c r="AB460" s="79" t="s">
        <v>37</v>
      </c>
      <c r="AC460" s="79" t="s">
        <v>37</v>
      </c>
      <c r="AD460" s="79"/>
      <c r="AE460" s="79" t="s">
        <v>811</v>
      </c>
      <c r="AF460" s="79"/>
      <c r="AG460" s="79"/>
      <c r="AH460" s="79"/>
      <c r="AI460" s="53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</row>
    <row r="461" spans="1:110" ht="13.8" x14ac:dyDescent="0.25">
      <c r="A461" s="24">
        <v>1207051</v>
      </c>
      <c r="B461" s="26" t="s">
        <v>657</v>
      </c>
      <c r="C461" s="16" t="s">
        <v>812</v>
      </c>
      <c r="D461" s="10" t="s">
        <v>776</v>
      </c>
      <c r="E461" s="10" t="s">
        <v>797</v>
      </c>
      <c r="F461" s="10" t="s">
        <v>34</v>
      </c>
      <c r="G461" s="55" t="str">
        <f t="shared" si="12"/>
        <v>Obsolete</v>
      </c>
      <c r="H461" s="10">
        <v>4</v>
      </c>
      <c r="I461" s="13">
        <v>55</v>
      </c>
      <c r="J461" s="56"/>
      <c r="K461" s="57"/>
      <c r="M461" s="14"/>
      <c r="N461" s="14"/>
      <c r="O461" s="14"/>
      <c r="P461" s="14"/>
      <c r="Q461" s="14"/>
      <c r="R461" s="14"/>
      <c r="S461" s="14"/>
      <c r="T461" s="70"/>
      <c r="U461" s="76" t="s">
        <v>54</v>
      </c>
      <c r="V461" s="76"/>
      <c r="W461" s="76" t="s">
        <v>54</v>
      </c>
      <c r="X461" s="76"/>
      <c r="Y461" s="97"/>
      <c r="Z461" s="87"/>
      <c r="AA461" s="79" t="s">
        <v>806</v>
      </c>
      <c r="AB461" s="79" t="s">
        <v>37</v>
      </c>
      <c r="AC461" s="79" t="s">
        <v>37</v>
      </c>
      <c r="AD461" s="79"/>
      <c r="AE461" s="79" t="s">
        <v>811</v>
      </c>
      <c r="AF461" s="79"/>
      <c r="AG461" s="79"/>
      <c r="AH461" s="79"/>
      <c r="AI461" s="53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</row>
    <row r="462" spans="1:110" ht="13.8" x14ac:dyDescent="0.25">
      <c r="A462" s="24">
        <v>1207052</v>
      </c>
      <c r="B462" s="26" t="s">
        <v>657</v>
      </c>
      <c r="C462" s="16" t="s">
        <v>813</v>
      </c>
      <c r="D462" s="10" t="s">
        <v>776</v>
      </c>
      <c r="E462" s="10" t="s">
        <v>757</v>
      </c>
      <c r="F462" s="10" t="s">
        <v>34</v>
      </c>
      <c r="G462" s="55" t="str">
        <f t="shared" si="12"/>
        <v>Obsolete</v>
      </c>
      <c r="H462" s="10">
        <v>4</v>
      </c>
      <c r="I462" s="13">
        <v>55</v>
      </c>
      <c r="J462" s="56"/>
      <c r="K462" s="57"/>
      <c r="M462" s="14">
        <v>12.56</v>
      </c>
      <c r="N462" s="14"/>
      <c r="O462" s="14"/>
      <c r="P462" s="14"/>
      <c r="Q462" s="14"/>
      <c r="R462" s="14"/>
      <c r="S462" s="14"/>
      <c r="T462" s="70"/>
      <c r="U462" s="76" t="s">
        <v>54</v>
      </c>
      <c r="V462" s="76"/>
      <c r="W462" s="76" t="s">
        <v>54</v>
      </c>
      <c r="X462" s="76"/>
      <c r="Y462" s="97"/>
      <c r="Z462" s="87"/>
      <c r="AA462" s="79" t="s">
        <v>64</v>
      </c>
      <c r="AB462" s="79" t="s">
        <v>37</v>
      </c>
      <c r="AC462" s="79" t="s">
        <v>37</v>
      </c>
      <c r="AD462" s="79"/>
      <c r="AE462" s="79" t="s">
        <v>814</v>
      </c>
      <c r="AF462" s="79" t="s">
        <v>759</v>
      </c>
      <c r="AG462" s="79" t="s">
        <v>760</v>
      </c>
      <c r="AH462" s="79"/>
      <c r="AI462" s="53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</row>
    <row r="463" spans="1:110" ht="13.8" x14ac:dyDescent="0.25">
      <c r="A463" s="24">
        <v>1207053</v>
      </c>
      <c r="B463" s="26" t="s">
        <v>657</v>
      </c>
      <c r="C463" s="16" t="s">
        <v>1620</v>
      </c>
      <c r="D463" s="10"/>
      <c r="E463" s="10" t="s">
        <v>1621</v>
      </c>
      <c r="F463" s="10" t="s">
        <v>34</v>
      </c>
      <c r="G463" s="55">
        <f t="shared" si="12"/>
        <v>0</v>
      </c>
      <c r="H463" s="10"/>
      <c r="I463" s="13"/>
      <c r="J463" s="56"/>
      <c r="K463" s="57"/>
      <c r="M463" s="14"/>
      <c r="N463" s="14"/>
      <c r="O463" s="14"/>
      <c r="P463" s="14"/>
      <c r="Q463" s="14"/>
      <c r="R463" s="14"/>
      <c r="S463" s="14"/>
      <c r="T463" s="70"/>
      <c r="U463" s="76">
        <v>0</v>
      </c>
      <c r="V463" s="76">
        <v>0</v>
      </c>
      <c r="W463" s="76">
        <v>0</v>
      </c>
      <c r="X463" s="76">
        <v>0</v>
      </c>
      <c r="Y463" s="97" t="s">
        <v>37</v>
      </c>
      <c r="Z463" s="87">
        <v>50</v>
      </c>
      <c r="AA463" s="79" t="s">
        <v>468</v>
      </c>
      <c r="AB463" s="79" t="s">
        <v>35</v>
      </c>
      <c r="AC463" s="79" t="s">
        <v>37</v>
      </c>
      <c r="AD463" s="79" t="s">
        <v>38</v>
      </c>
      <c r="AE463" s="79"/>
      <c r="AF463" s="79"/>
      <c r="AG463" s="79"/>
      <c r="AH463" s="79"/>
      <c r="AI463" s="53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</row>
    <row r="464" spans="1:110" ht="20.399999999999999" x14ac:dyDescent="0.25">
      <c r="A464" s="24">
        <v>1207060</v>
      </c>
      <c r="B464" s="26" t="s">
        <v>657</v>
      </c>
      <c r="C464" s="38" t="s">
        <v>815</v>
      </c>
      <c r="D464" s="10"/>
      <c r="E464" s="10" t="s">
        <v>757</v>
      </c>
      <c r="F464" s="10" t="s">
        <v>34</v>
      </c>
      <c r="G464" s="55" t="str">
        <f t="shared" si="12"/>
        <v>Obsolete</v>
      </c>
      <c r="H464" s="10">
        <v>4</v>
      </c>
      <c r="I464" s="13">
        <v>50</v>
      </c>
      <c r="J464" s="56"/>
      <c r="K464" s="57"/>
      <c r="M464" s="14">
        <v>10.46</v>
      </c>
      <c r="N464" s="14"/>
      <c r="O464" s="14"/>
      <c r="P464" s="14"/>
      <c r="Q464" s="14"/>
      <c r="R464" s="14"/>
      <c r="S464" s="14"/>
      <c r="T464" s="70"/>
      <c r="U464" s="76" t="s">
        <v>54</v>
      </c>
      <c r="V464" s="76"/>
      <c r="W464" s="76" t="s">
        <v>54</v>
      </c>
      <c r="X464" s="76"/>
      <c r="Y464" s="77" t="s">
        <v>37</v>
      </c>
      <c r="Z464" s="87">
        <v>50</v>
      </c>
      <c r="AA464" s="79" t="s">
        <v>517</v>
      </c>
      <c r="AB464" s="79" t="s">
        <v>37</v>
      </c>
      <c r="AC464" s="79" t="s">
        <v>35</v>
      </c>
      <c r="AD464" s="79"/>
      <c r="AE464" s="79" t="s">
        <v>814</v>
      </c>
      <c r="AF464" s="79" t="s">
        <v>759</v>
      </c>
      <c r="AG464" s="79" t="s">
        <v>760</v>
      </c>
      <c r="AH464" s="79"/>
      <c r="AI464" s="53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</row>
    <row r="465" spans="1:110" ht="20.399999999999999" x14ac:dyDescent="0.25">
      <c r="A465" s="24">
        <v>1207061</v>
      </c>
      <c r="B465" s="26" t="s">
        <v>657</v>
      </c>
      <c r="C465" s="38" t="s">
        <v>816</v>
      </c>
      <c r="D465" s="10"/>
      <c r="E465" s="10" t="s">
        <v>757</v>
      </c>
      <c r="F465" s="10" t="s">
        <v>34</v>
      </c>
      <c r="G465" s="55" t="str">
        <f t="shared" si="12"/>
        <v>Obsolete</v>
      </c>
      <c r="H465" s="10">
        <v>4</v>
      </c>
      <c r="I465" s="13">
        <v>50</v>
      </c>
      <c r="J465" s="56"/>
      <c r="K465" s="57"/>
      <c r="M465" s="14">
        <v>10.52</v>
      </c>
      <c r="N465" s="14"/>
      <c r="O465" s="14"/>
      <c r="P465" s="14"/>
      <c r="Q465" s="14"/>
      <c r="R465" s="14"/>
      <c r="S465" s="14"/>
      <c r="T465" s="70"/>
      <c r="U465" s="76" t="s">
        <v>54</v>
      </c>
      <c r="V465" s="76"/>
      <c r="W465" s="76" t="s">
        <v>54</v>
      </c>
      <c r="X465" s="76"/>
      <c r="Y465" s="77" t="s">
        <v>37</v>
      </c>
      <c r="Z465" s="87">
        <v>50</v>
      </c>
      <c r="AA465" s="79" t="s">
        <v>517</v>
      </c>
      <c r="AB465" s="79" t="s">
        <v>37</v>
      </c>
      <c r="AC465" s="79" t="s">
        <v>35</v>
      </c>
      <c r="AD465" s="79"/>
      <c r="AE465" s="79" t="s">
        <v>814</v>
      </c>
      <c r="AF465" s="79" t="s">
        <v>759</v>
      </c>
      <c r="AG465" s="79" t="s">
        <v>760</v>
      </c>
      <c r="AH465" s="79"/>
      <c r="AI465" s="53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</row>
    <row r="466" spans="1:110" ht="13.8" x14ac:dyDescent="0.25">
      <c r="A466" s="24">
        <v>1207062</v>
      </c>
      <c r="B466" s="26" t="s">
        <v>657</v>
      </c>
      <c r="C466" s="16" t="s">
        <v>817</v>
      </c>
      <c r="D466" s="10" t="s">
        <v>818</v>
      </c>
      <c r="E466" s="10" t="s">
        <v>819</v>
      </c>
      <c r="F466" s="10" t="s">
        <v>34</v>
      </c>
      <c r="G466" s="55" t="str">
        <f t="shared" si="12"/>
        <v>Obsolete</v>
      </c>
      <c r="H466" s="10"/>
      <c r="I466" s="13"/>
      <c r="J466" s="56"/>
      <c r="K466" s="57"/>
      <c r="M466" s="14"/>
      <c r="N466" s="14"/>
      <c r="O466" s="14"/>
      <c r="P466" s="14"/>
      <c r="Q466" s="14"/>
      <c r="R466" s="14"/>
      <c r="S466" s="14"/>
      <c r="T466" s="70"/>
      <c r="U466" s="76" t="s">
        <v>54</v>
      </c>
      <c r="V466" s="76"/>
      <c r="W466" s="76" t="s">
        <v>54</v>
      </c>
      <c r="X466" s="76"/>
      <c r="Y466" s="97"/>
      <c r="Z466" s="87"/>
      <c r="AA466" s="79"/>
      <c r="AB466" s="79" t="s">
        <v>37</v>
      </c>
      <c r="AC466" s="79" t="s">
        <v>37</v>
      </c>
      <c r="AD466" s="79"/>
      <c r="AE466" s="79"/>
      <c r="AF466" s="79"/>
      <c r="AG466" s="79"/>
      <c r="AH466" s="79"/>
      <c r="AI466" s="53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</row>
    <row r="467" spans="1:110" ht="13.8" x14ac:dyDescent="0.25">
      <c r="A467" s="24">
        <v>1207063</v>
      </c>
      <c r="B467" s="26" t="s">
        <v>657</v>
      </c>
      <c r="C467" s="16" t="s">
        <v>820</v>
      </c>
      <c r="D467" s="10" t="s">
        <v>821</v>
      </c>
      <c r="E467" s="10" t="s">
        <v>74</v>
      </c>
      <c r="F467" s="10" t="s">
        <v>34</v>
      </c>
      <c r="G467" s="55" t="str">
        <f t="shared" si="12"/>
        <v>Obsolete</v>
      </c>
      <c r="H467" s="10"/>
      <c r="I467" s="13"/>
      <c r="J467" s="56"/>
      <c r="K467" s="57"/>
      <c r="M467" s="14"/>
      <c r="N467" s="14"/>
      <c r="O467" s="14"/>
      <c r="P467" s="14"/>
      <c r="Q467" s="14"/>
      <c r="R467" s="14"/>
      <c r="S467" s="14"/>
      <c r="T467" s="70"/>
      <c r="U467" s="76" t="s">
        <v>54</v>
      </c>
      <c r="V467" s="76"/>
      <c r="W467" s="76" t="s">
        <v>54</v>
      </c>
      <c r="X467" s="76"/>
      <c r="Y467" s="97"/>
      <c r="Z467" s="87"/>
      <c r="AA467" s="79"/>
      <c r="AB467" s="79" t="s">
        <v>37</v>
      </c>
      <c r="AC467" s="79" t="s">
        <v>37</v>
      </c>
      <c r="AD467" s="79"/>
      <c r="AE467" s="79"/>
      <c r="AF467" s="79"/>
      <c r="AG467" s="79"/>
      <c r="AH467" s="79"/>
      <c r="AI467" s="53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</row>
    <row r="468" spans="1:110" ht="13.8" x14ac:dyDescent="0.25">
      <c r="A468" s="24">
        <v>1207064</v>
      </c>
      <c r="B468" s="26" t="s">
        <v>657</v>
      </c>
      <c r="C468" s="16" t="s">
        <v>822</v>
      </c>
      <c r="D468" s="10"/>
      <c r="E468" s="17" t="s">
        <v>57</v>
      </c>
      <c r="F468" s="10" t="s">
        <v>34</v>
      </c>
      <c r="G468" s="55" t="str">
        <f t="shared" si="12"/>
        <v>Obsolete</v>
      </c>
      <c r="H468" s="10"/>
      <c r="I468" s="13"/>
      <c r="J468" s="56"/>
      <c r="K468" s="57"/>
      <c r="M468" s="14"/>
      <c r="N468" s="14"/>
      <c r="O468" s="14"/>
      <c r="P468" s="14"/>
      <c r="Q468" s="14"/>
      <c r="R468" s="14"/>
      <c r="S468" s="14"/>
      <c r="T468" s="70"/>
      <c r="U468" s="76" t="s">
        <v>54</v>
      </c>
      <c r="V468" s="76"/>
      <c r="W468" s="76" t="s">
        <v>54</v>
      </c>
      <c r="X468" s="76"/>
      <c r="Y468" s="97"/>
      <c r="Z468" s="87"/>
      <c r="AA468" s="79"/>
      <c r="AB468" s="79" t="s">
        <v>37</v>
      </c>
      <c r="AC468" s="79"/>
      <c r="AD468" s="79"/>
      <c r="AE468" s="79"/>
      <c r="AF468" s="79"/>
      <c r="AG468" s="79"/>
      <c r="AH468" s="79"/>
      <c r="AI468" s="35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</row>
    <row r="469" spans="1:110" ht="13.8" x14ac:dyDescent="0.25">
      <c r="A469" s="24">
        <v>1207065</v>
      </c>
      <c r="B469" s="26" t="s">
        <v>657</v>
      </c>
      <c r="C469" s="16" t="s">
        <v>1524</v>
      </c>
      <c r="D469" s="10" t="s">
        <v>1502</v>
      </c>
      <c r="E469" s="17" t="s">
        <v>1503</v>
      </c>
      <c r="F469" s="10" t="s">
        <v>34</v>
      </c>
      <c r="G469" s="55">
        <f t="shared" si="12"/>
        <v>12.9</v>
      </c>
      <c r="H469" s="10">
        <v>2</v>
      </c>
      <c r="I469" s="13">
        <v>25</v>
      </c>
      <c r="J469" s="56"/>
      <c r="K469" s="57"/>
      <c r="M469" s="14"/>
      <c r="N469" s="14"/>
      <c r="O469" s="14"/>
      <c r="P469" s="14"/>
      <c r="Q469" s="14"/>
      <c r="R469" s="14"/>
      <c r="S469" s="14"/>
      <c r="T469" s="70"/>
      <c r="U469" s="76">
        <v>12.9</v>
      </c>
      <c r="V469" s="76">
        <v>0</v>
      </c>
      <c r="W469" s="76">
        <v>12.9</v>
      </c>
      <c r="X469" s="76">
        <v>0</v>
      </c>
      <c r="Y469" s="97" t="s">
        <v>35</v>
      </c>
      <c r="Z469" s="87">
        <v>25</v>
      </c>
      <c r="AA469" s="79" t="s">
        <v>468</v>
      </c>
      <c r="AB469" s="79" t="s">
        <v>35</v>
      </c>
      <c r="AC469" s="79" t="s">
        <v>37</v>
      </c>
      <c r="AD469" s="79" t="s">
        <v>38</v>
      </c>
      <c r="AE469" s="79" t="s">
        <v>1504</v>
      </c>
      <c r="AF469" s="79" t="s">
        <v>1505</v>
      </c>
      <c r="AG469" s="79" t="s">
        <v>1506</v>
      </c>
      <c r="AH469" s="79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  <c r="CG469" s="53"/>
      <c r="CH469" s="53"/>
      <c r="CI469" s="53"/>
      <c r="CJ469" s="53"/>
      <c r="CK469" s="53"/>
      <c r="CL469" s="53"/>
      <c r="CM469" s="53"/>
      <c r="CN469" s="53"/>
      <c r="CO469" s="53"/>
      <c r="CP469" s="53"/>
      <c r="CQ469" s="53"/>
      <c r="CR469" s="53"/>
      <c r="CS469" s="53"/>
      <c r="CT469" s="53"/>
      <c r="CU469" s="53"/>
      <c r="CV469" s="53"/>
      <c r="CW469" s="53"/>
      <c r="CX469" s="53"/>
      <c r="CY469" s="53"/>
      <c r="CZ469" s="53"/>
      <c r="DA469" s="53"/>
      <c r="DB469" s="53"/>
      <c r="DC469" s="53"/>
      <c r="DD469" s="53"/>
      <c r="DE469" s="53"/>
      <c r="DF469" s="53"/>
    </row>
    <row r="470" spans="1:110" ht="13.8" x14ac:dyDescent="0.25">
      <c r="A470" s="24">
        <v>1207070</v>
      </c>
      <c r="B470" s="26" t="s">
        <v>657</v>
      </c>
      <c r="C470" s="16" t="s">
        <v>823</v>
      </c>
      <c r="D470" s="10" t="s">
        <v>756</v>
      </c>
      <c r="E470" s="10" t="s">
        <v>824</v>
      </c>
      <c r="F470" s="10" t="s">
        <v>34</v>
      </c>
      <c r="G470" s="55" t="str">
        <f t="shared" si="12"/>
        <v>Obsolete</v>
      </c>
      <c r="H470" s="10">
        <v>4</v>
      </c>
      <c r="I470" s="13">
        <v>50</v>
      </c>
      <c r="J470" s="56"/>
      <c r="K470" s="57"/>
      <c r="M470" s="14"/>
      <c r="N470" s="14"/>
      <c r="O470" s="14"/>
      <c r="P470" s="14"/>
      <c r="Q470" s="14"/>
      <c r="R470" s="14"/>
      <c r="S470" s="14"/>
      <c r="T470" s="70"/>
      <c r="U470" s="76" t="s">
        <v>54</v>
      </c>
      <c r="V470" s="76"/>
      <c r="W470" s="76" t="s">
        <v>54</v>
      </c>
      <c r="X470" s="76"/>
      <c r="Y470" s="77" t="s">
        <v>37</v>
      </c>
      <c r="Z470" s="78">
        <v>25</v>
      </c>
      <c r="AA470" s="79"/>
      <c r="AB470" s="79" t="s">
        <v>35</v>
      </c>
      <c r="AC470" s="79" t="s">
        <v>37</v>
      </c>
      <c r="AD470" s="79" t="s">
        <v>38</v>
      </c>
      <c r="AE470" s="79"/>
      <c r="AF470" s="79"/>
      <c r="AG470" s="79"/>
      <c r="AH470" s="79"/>
      <c r="AI470" s="53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</row>
    <row r="471" spans="1:110" ht="13.8" x14ac:dyDescent="0.25">
      <c r="A471" s="24">
        <v>1207071</v>
      </c>
      <c r="B471" s="26" t="s">
        <v>657</v>
      </c>
      <c r="C471" s="16" t="s">
        <v>826</v>
      </c>
      <c r="D471" s="10" t="s">
        <v>756</v>
      </c>
      <c r="E471" s="10" t="s">
        <v>824</v>
      </c>
      <c r="F471" s="10" t="s">
        <v>34</v>
      </c>
      <c r="G471" s="55" t="str">
        <f t="shared" si="12"/>
        <v>Obsolete</v>
      </c>
      <c r="H471" s="10">
        <v>4</v>
      </c>
      <c r="I471" s="13">
        <v>50</v>
      </c>
      <c r="J471" s="56"/>
      <c r="K471" s="57"/>
      <c r="M471" s="14"/>
      <c r="N471" s="14"/>
      <c r="O471" s="14"/>
      <c r="P471" s="14"/>
      <c r="Q471" s="14"/>
      <c r="R471" s="14"/>
      <c r="S471" s="14"/>
      <c r="T471" s="70"/>
      <c r="U471" s="76" t="s">
        <v>54</v>
      </c>
      <c r="V471" s="76"/>
      <c r="W471" s="76" t="s">
        <v>54</v>
      </c>
      <c r="X471" s="76"/>
      <c r="Y471" s="77" t="s">
        <v>37</v>
      </c>
      <c r="Z471" s="78"/>
      <c r="AA471" s="79" t="s">
        <v>242</v>
      </c>
      <c r="AB471" s="79" t="s">
        <v>37</v>
      </c>
      <c r="AC471" s="79" t="s">
        <v>37</v>
      </c>
      <c r="AD471" s="79" t="s">
        <v>38</v>
      </c>
      <c r="AE471" s="79" t="s">
        <v>499</v>
      </c>
      <c r="AF471" s="79" t="s">
        <v>825</v>
      </c>
      <c r="AG471" s="79" t="s">
        <v>501</v>
      </c>
      <c r="AH471" s="79"/>
      <c r="AI471" s="53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</row>
    <row r="472" spans="1:110" ht="13.8" x14ac:dyDescent="0.25">
      <c r="A472" s="24">
        <v>1207072</v>
      </c>
      <c r="B472" s="26" t="s">
        <v>657</v>
      </c>
      <c r="C472" s="16" t="s">
        <v>827</v>
      </c>
      <c r="D472" s="10" t="s">
        <v>756</v>
      </c>
      <c r="E472" s="10" t="s">
        <v>824</v>
      </c>
      <c r="F472" s="10" t="s">
        <v>34</v>
      </c>
      <c r="G472" s="55" t="str">
        <f t="shared" si="12"/>
        <v>Obsolete</v>
      </c>
      <c r="H472" s="10">
        <v>4</v>
      </c>
      <c r="I472" s="13">
        <v>50</v>
      </c>
      <c r="J472" s="56"/>
      <c r="K472" s="57"/>
      <c r="M472" s="14"/>
      <c r="N472" s="14"/>
      <c r="O472" s="14"/>
      <c r="P472" s="14"/>
      <c r="Q472" s="14"/>
      <c r="R472" s="14"/>
      <c r="S472" s="14"/>
      <c r="T472" s="70"/>
      <c r="U472" s="76" t="s">
        <v>54</v>
      </c>
      <c r="V472" s="76"/>
      <c r="W472" s="76" t="s">
        <v>54</v>
      </c>
      <c r="X472" s="76"/>
      <c r="Y472" s="77" t="s">
        <v>37</v>
      </c>
      <c r="Z472" s="78"/>
      <c r="AA472" s="79" t="s">
        <v>242</v>
      </c>
      <c r="AB472" s="79" t="s">
        <v>37</v>
      </c>
      <c r="AC472" s="79" t="s">
        <v>37</v>
      </c>
      <c r="AD472" s="79" t="s">
        <v>38</v>
      </c>
      <c r="AE472" s="79" t="s">
        <v>499</v>
      </c>
      <c r="AF472" s="79" t="s">
        <v>825</v>
      </c>
      <c r="AG472" s="79" t="s">
        <v>501</v>
      </c>
      <c r="AH472" s="79"/>
      <c r="AI472" s="53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</row>
    <row r="473" spans="1:110" ht="13.8" x14ac:dyDescent="0.25">
      <c r="A473" s="24">
        <v>1207073</v>
      </c>
      <c r="B473" s="26" t="s">
        <v>657</v>
      </c>
      <c r="C473" s="16" t="s">
        <v>828</v>
      </c>
      <c r="D473" s="10" t="s">
        <v>416</v>
      </c>
      <c r="E473" s="10" t="s">
        <v>824</v>
      </c>
      <c r="F473" s="10" t="s">
        <v>34</v>
      </c>
      <c r="G473" s="55">
        <f t="shared" si="12"/>
        <v>45.63</v>
      </c>
      <c r="H473" s="10">
        <v>4</v>
      </c>
      <c r="I473" s="13">
        <v>50</v>
      </c>
      <c r="J473" s="56"/>
      <c r="K473" s="57"/>
      <c r="M473" s="14">
        <v>45.63</v>
      </c>
      <c r="N473" s="14"/>
      <c r="O473" s="14">
        <v>20.63</v>
      </c>
      <c r="P473" s="14">
        <v>20.53</v>
      </c>
      <c r="Q473" s="14"/>
      <c r="R473" s="14"/>
      <c r="S473" s="14">
        <v>20.48</v>
      </c>
      <c r="T473" s="70">
        <v>20.46</v>
      </c>
      <c r="U473" s="76">
        <v>45.63</v>
      </c>
      <c r="V473" s="76"/>
      <c r="W473" s="76">
        <v>45.63</v>
      </c>
      <c r="X473" s="76"/>
      <c r="Y473" s="97" t="s">
        <v>35</v>
      </c>
      <c r="Z473" s="78">
        <v>50</v>
      </c>
      <c r="AA473" s="79" t="s">
        <v>36</v>
      </c>
      <c r="AB473" s="79" t="s">
        <v>35</v>
      </c>
      <c r="AC473" s="79" t="s">
        <v>37</v>
      </c>
      <c r="AD473" s="79" t="s">
        <v>38</v>
      </c>
      <c r="AE473" s="79" t="s">
        <v>499</v>
      </c>
      <c r="AF473" s="79" t="s">
        <v>825</v>
      </c>
      <c r="AG473" s="79" t="s">
        <v>501</v>
      </c>
      <c r="AH473" s="79"/>
      <c r="AI473" s="53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</row>
    <row r="474" spans="1:110" ht="13.8" x14ac:dyDescent="0.25">
      <c r="A474" s="24">
        <v>1207074</v>
      </c>
      <c r="B474" s="26" t="s">
        <v>657</v>
      </c>
      <c r="C474" s="16" t="s">
        <v>829</v>
      </c>
      <c r="D474" s="10" t="s">
        <v>416</v>
      </c>
      <c r="E474" s="10" t="s">
        <v>824</v>
      </c>
      <c r="F474" s="10" t="s">
        <v>34</v>
      </c>
      <c r="G474" s="55">
        <f t="shared" si="12"/>
        <v>37.953200000000002</v>
      </c>
      <c r="H474" s="10">
        <v>4</v>
      </c>
      <c r="I474" s="13">
        <v>25</v>
      </c>
      <c r="J474" s="56"/>
      <c r="K474" s="57"/>
      <c r="M474" s="15"/>
      <c r="N474" s="15"/>
      <c r="O474" s="15"/>
      <c r="P474" s="15"/>
      <c r="Q474" s="15"/>
      <c r="R474" s="15"/>
      <c r="S474" s="15"/>
      <c r="T474" s="71"/>
      <c r="U474" s="77">
        <v>37.18</v>
      </c>
      <c r="V474" s="76">
        <v>0.7732</v>
      </c>
      <c r="W474" s="77">
        <v>37.18</v>
      </c>
      <c r="X474" s="77">
        <v>0.7732</v>
      </c>
      <c r="Y474" s="77" t="s">
        <v>37</v>
      </c>
      <c r="Z474" s="87">
        <v>25</v>
      </c>
      <c r="AA474" s="79" t="s">
        <v>36</v>
      </c>
      <c r="AB474" s="79" t="s">
        <v>37</v>
      </c>
      <c r="AC474" s="79" t="s">
        <v>37</v>
      </c>
      <c r="AD474" s="79" t="s">
        <v>38</v>
      </c>
      <c r="AE474" s="79" t="s">
        <v>499</v>
      </c>
      <c r="AF474" s="79" t="s">
        <v>825</v>
      </c>
      <c r="AG474" s="79" t="s">
        <v>501</v>
      </c>
      <c r="AH474" s="79"/>
      <c r="AI474" s="53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</row>
    <row r="475" spans="1:110" ht="13.8" x14ac:dyDescent="0.25">
      <c r="A475" s="24">
        <v>1207075</v>
      </c>
      <c r="B475" s="26" t="s">
        <v>657</v>
      </c>
      <c r="C475" s="16" t="s">
        <v>830</v>
      </c>
      <c r="D475" s="10" t="s">
        <v>66</v>
      </c>
      <c r="E475" s="10" t="s">
        <v>824</v>
      </c>
      <c r="F475" s="10" t="s">
        <v>34</v>
      </c>
      <c r="G475" s="55" t="str">
        <f t="shared" si="12"/>
        <v>Obsolete</v>
      </c>
      <c r="H475" s="10">
        <v>4</v>
      </c>
      <c r="I475" s="13">
        <v>50</v>
      </c>
      <c r="J475" s="56"/>
      <c r="K475" s="57"/>
      <c r="M475" s="15"/>
      <c r="N475" s="15"/>
      <c r="O475" s="15"/>
      <c r="P475" s="15"/>
      <c r="Q475" s="15"/>
      <c r="R475" s="15"/>
      <c r="S475" s="15"/>
      <c r="T475" s="71"/>
      <c r="U475" s="77" t="s">
        <v>54</v>
      </c>
      <c r="V475" s="76">
        <v>0.7732</v>
      </c>
      <c r="W475" s="77" t="s">
        <v>54</v>
      </c>
      <c r="X475" s="77">
        <v>0.7732</v>
      </c>
      <c r="Y475" s="77" t="s">
        <v>37</v>
      </c>
      <c r="Z475" s="87">
        <v>55</v>
      </c>
      <c r="AA475" s="79" t="s">
        <v>36</v>
      </c>
      <c r="AB475" s="79" t="s">
        <v>37</v>
      </c>
      <c r="AC475" s="79" t="s">
        <v>37</v>
      </c>
      <c r="AD475" s="79" t="s">
        <v>38</v>
      </c>
      <c r="AE475" s="79" t="s">
        <v>499</v>
      </c>
      <c r="AF475" s="79" t="s">
        <v>825</v>
      </c>
      <c r="AG475" s="79" t="s">
        <v>501</v>
      </c>
      <c r="AH475" s="79"/>
      <c r="AI475" s="53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</row>
    <row r="476" spans="1:110" ht="13.8" x14ac:dyDescent="0.25">
      <c r="A476" s="24">
        <v>1207080</v>
      </c>
      <c r="B476" s="26" t="s">
        <v>657</v>
      </c>
      <c r="C476" s="16" t="s">
        <v>831</v>
      </c>
      <c r="D476" s="10" t="s">
        <v>146</v>
      </c>
      <c r="E476" s="10" t="s">
        <v>1622</v>
      </c>
      <c r="F476" s="10" t="s">
        <v>34</v>
      </c>
      <c r="G476" s="55">
        <f>IF(U476="Obsolete",U476,U476+V476)</f>
        <v>6.4329999999999998</v>
      </c>
      <c r="H476" s="10">
        <v>4</v>
      </c>
      <c r="I476" s="13">
        <v>50</v>
      </c>
      <c r="J476" s="56">
        <v>44435</v>
      </c>
      <c r="K476" s="57">
        <v>3.8730000000000002</v>
      </c>
      <c r="M476" s="14">
        <v>5.54</v>
      </c>
      <c r="N476" s="14"/>
      <c r="O476" s="14"/>
      <c r="P476" s="14"/>
      <c r="Q476" s="14"/>
      <c r="R476" s="14"/>
      <c r="S476" s="14"/>
      <c r="T476" s="70"/>
      <c r="U476" s="76">
        <v>5.54</v>
      </c>
      <c r="V476" s="76">
        <v>0.89300000000000002</v>
      </c>
      <c r="W476" s="76">
        <v>5.54</v>
      </c>
      <c r="X476" s="76">
        <v>0.89300000000000002</v>
      </c>
      <c r="Y476" s="77" t="s">
        <v>35</v>
      </c>
      <c r="Z476" s="87" t="s">
        <v>38</v>
      </c>
      <c r="AA476" s="79" t="s">
        <v>358</v>
      </c>
      <c r="AB476" s="79" t="s">
        <v>35</v>
      </c>
      <c r="AC476" s="79" t="s">
        <v>37</v>
      </c>
      <c r="AD476" s="79" t="s">
        <v>38</v>
      </c>
      <c r="AE476" s="79" t="s">
        <v>832</v>
      </c>
      <c r="AF476" s="83" t="s">
        <v>833</v>
      </c>
      <c r="AG476" s="79" t="s">
        <v>834</v>
      </c>
      <c r="AH476" s="79"/>
      <c r="AI476" s="53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</row>
    <row r="477" spans="1:110" ht="13.8" x14ac:dyDescent="0.25">
      <c r="A477" s="24">
        <v>1207081</v>
      </c>
      <c r="B477" s="26" t="s">
        <v>657</v>
      </c>
      <c r="C477" s="16" t="s">
        <v>835</v>
      </c>
      <c r="D477" s="10" t="s">
        <v>146</v>
      </c>
      <c r="E477" s="10" t="s">
        <v>836</v>
      </c>
      <c r="F477" s="10" t="s">
        <v>34</v>
      </c>
      <c r="G477" s="55">
        <f>IF(U477="Obsolete",U477,U477+V477)</f>
        <v>15.123199999999999</v>
      </c>
      <c r="H477" s="10">
        <v>4</v>
      </c>
      <c r="I477" s="13">
        <v>50</v>
      </c>
      <c r="J477" s="56"/>
      <c r="K477" s="57"/>
      <c r="M477" s="14">
        <v>20.350000000000001</v>
      </c>
      <c r="N477" s="14"/>
      <c r="O477" s="14">
        <v>12.91</v>
      </c>
      <c r="P477" s="14"/>
      <c r="Q477" s="14"/>
      <c r="R477" s="14"/>
      <c r="S477" s="14"/>
      <c r="T477" s="70"/>
      <c r="U477" s="76">
        <v>14.35</v>
      </c>
      <c r="V477" s="76">
        <v>0.7732</v>
      </c>
      <c r="W477" s="76">
        <v>14.35</v>
      </c>
      <c r="X477" s="76">
        <v>0.7732</v>
      </c>
      <c r="Y477" s="77" t="s">
        <v>35</v>
      </c>
      <c r="Z477" s="87">
        <v>50</v>
      </c>
      <c r="AA477" s="79" t="s">
        <v>358</v>
      </c>
      <c r="AB477" s="79" t="s">
        <v>35</v>
      </c>
      <c r="AC477" s="79" t="s">
        <v>37</v>
      </c>
      <c r="AD477" s="79" t="s">
        <v>38</v>
      </c>
      <c r="AE477" s="79" t="s">
        <v>837</v>
      </c>
      <c r="AF477" s="83" t="s">
        <v>838</v>
      </c>
      <c r="AG477" s="79" t="s">
        <v>839</v>
      </c>
      <c r="AH477" s="79"/>
      <c r="AI477" s="53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</row>
    <row r="478" spans="1:110" ht="13.8" x14ac:dyDescent="0.25">
      <c r="A478" s="122">
        <v>1207082</v>
      </c>
      <c r="B478" s="26" t="s">
        <v>657</v>
      </c>
      <c r="C478" s="16" t="s">
        <v>1634</v>
      </c>
      <c r="D478" s="10" t="s">
        <v>1632</v>
      </c>
      <c r="E478" s="10" t="s">
        <v>1625</v>
      </c>
      <c r="F478" s="10" t="s">
        <v>34</v>
      </c>
      <c r="G478" s="55">
        <v>0</v>
      </c>
      <c r="H478" s="10"/>
      <c r="I478" s="13"/>
      <c r="J478" s="56"/>
      <c r="K478" s="57"/>
      <c r="M478" s="14"/>
      <c r="N478" s="14"/>
      <c r="O478" s="14"/>
      <c r="P478" s="14"/>
      <c r="Q478" s="14"/>
      <c r="R478" s="14"/>
      <c r="S478" s="14"/>
      <c r="T478" s="70"/>
      <c r="U478" s="76"/>
      <c r="V478" s="76"/>
      <c r="W478" s="76"/>
      <c r="X478" s="76"/>
      <c r="Y478" s="77"/>
      <c r="Z478" s="87"/>
      <c r="AA478" s="79"/>
      <c r="AB478" s="79"/>
      <c r="AC478" s="79"/>
      <c r="AD478" s="79"/>
      <c r="AE478" s="79"/>
      <c r="AF478" s="83"/>
      <c r="AG478" s="79"/>
      <c r="AH478" s="79"/>
      <c r="AI478" s="53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</row>
    <row r="479" spans="1:110" ht="20.399999999999999" x14ac:dyDescent="0.25">
      <c r="A479" s="24">
        <v>1208001</v>
      </c>
      <c r="B479" s="26"/>
      <c r="C479" s="25" t="s">
        <v>840</v>
      </c>
      <c r="D479" s="26"/>
      <c r="E479" s="10" t="s">
        <v>684</v>
      </c>
      <c r="F479" s="10" t="s">
        <v>557</v>
      </c>
      <c r="G479" s="55" t="str">
        <f t="shared" ref="G479:G537" si="13">IF(U479="Obsolete",U479,U479+V479)</f>
        <v>Obsolete</v>
      </c>
      <c r="H479" s="10"/>
      <c r="I479" s="13"/>
      <c r="J479" s="56"/>
      <c r="K479" s="57"/>
      <c r="M479" s="14"/>
      <c r="N479" s="14"/>
      <c r="O479" s="14"/>
      <c r="P479" s="14"/>
      <c r="Q479" s="14"/>
      <c r="R479" s="14"/>
      <c r="S479" s="14"/>
      <c r="T479" s="70"/>
      <c r="U479" s="76" t="s">
        <v>54</v>
      </c>
      <c r="V479" s="76"/>
      <c r="W479" s="76" t="s">
        <v>54</v>
      </c>
      <c r="X479" s="76"/>
      <c r="Y479" s="97"/>
      <c r="Z479" s="87"/>
      <c r="AA479" s="79" t="s">
        <v>36</v>
      </c>
      <c r="AB479" s="79" t="s">
        <v>37</v>
      </c>
      <c r="AC479" s="79" t="s">
        <v>37</v>
      </c>
      <c r="AD479" s="79"/>
      <c r="AE479" s="79" t="s">
        <v>685</v>
      </c>
      <c r="AF479" s="79" t="s">
        <v>686</v>
      </c>
      <c r="AG479" s="79" t="s">
        <v>687</v>
      </c>
      <c r="AH479" s="79"/>
      <c r="AI479" s="53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</row>
    <row r="480" spans="1:110" ht="13.8" x14ac:dyDescent="0.25">
      <c r="A480" s="24">
        <v>1209001</v>
      </c>
      <c r="B480" s="26" t="s">
        <v>657</v>
      </c>
      <c r="C480" s="12" t="s">
        <v>841</v>
      </c>
      <c r="D480" s="11"/>
      <c r="E480" s="10" t="s">
        <v>382</v>
      </c>
      <c r="F480" s="10" t="s">
        <v>34</v>
      </c>
      <c r="G480" s="55" t="str">
        <f t="shared" si="13"/>
        <v>Obsolete</v>
      </c>
      <c r="H480" s="10">
        <v>4</v>
      </c>
      <c r="I480" s="13"/>
      <c r="J480" s="56"/>
      <c r="K480" s="57"/>
      <c r="M480" s="14"/>
      <c r="N480" s="14"/>
      <c r="O480" s="14"/>
      <c r="P480" s="14"/>
      <c r="Q480" s="14"/>
      <c r="R480" s="14"/>
      <c r="S480" s="14"/>
      <c r="T480" s="70"/>
      <c r="U480" s="76" t="s">
        <v>54</v>
      </c>
      <c r="V480" s="76"/>
      <c r="W480" s="76" t="s">
        <v>54</v>
      </c>
      <c r="X480" s="76"/>
      <c r="Y480" s="97"/>
      <c r="Z480" s="78"/>
      <c r="AA480" s="79" t="s">
        <v>382</v>
      </c>
      <c r="AB480" s="79" t="s">
        <v>37</v>
      </c>
      <c r="AC480" s="79" t="s">
        <v>37</v>
      </c>
      <c r="AD480" s="91" t="s">
        <v>57</v>
      </c>
      <c r="AE480" s="91" t="s">
        <v>57</v>
      </c>
      <c r="AF480" s="91" t="s">
        <v>57</v>
      </c>
      <c r="AG480" s="79" t="s">
        <v>57</v>
      </c>
      <c r="AH480" s="79"/>
      <c r="AI480" s="53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</row>
    <row r="481" spans="1:110" ht="13.8" x14ac:dyDescent="0.25">
      <c r="A481" s="122">
        <v>1209002</v>
      </c>
      <c r="B481" s="26" t="s">
        <v>657</v>
      </c>
      <c r="C481" s="12" t="s">
        <v>842</v>
      </c>
      <c r="D481" s="11" t="s">
        <v>843</v>
      </c>
      <c r="E481" s="10" t="s">
        <v>768</v>
      </c>
      <c r="F481" s="10" t="s">
        <v>34</v>
      </c>
      <c r="G481" s="55">
        <f t="shared" si="13"/>
        <v>47.589999999999996</v>
      </c>
      <c r="H481" s="10">
        <v>4</v>
      </c>
      <c r="I481" s="13">
        <v>25</v>
      </c>
      <c r="J481" s="56">
        <v>44616</v>
      </c>
      <c r="K481" s="57">
        <v>40.39</v>
      </c>
      <c r="M481" s="22">
        <v>33.17</v>
      </c>
      <c r="N481" s="14"/>
      <c r="O481" s="14">
        <v>22.57</v>
      </c>
      <c r="P481" s="14"/>
      <c r="Q481" s="14"/>
      <c r="R481" s="14"/>
      <c r="S481" s="14"/>
      <c r="T481" s="70"/>
      <c r="U481" s="76">
        <v>45.72</v>
      </c>
      <c r="V481" s="76">
        <v>1.87</v>
      </c>
      <c r="W481" s="76">
        <v>45.72</v>
      </c>
      <c r="X481" s="76">
        <v>1.87</v>
      </c>
      <c r="Y481" s="77" t="s">
        <v>37</v>
      </c>
      <c r="Z481" s="87">
        <v>55</v>
      </c>
      <c r="AA481" s="79" t="s">
        <v>36</v>
      </c>
      <c r="AB481" s="79" t="s">
        <v>35</v>
      </c>
      <c r="AC481" s="79" t="s">
        <v>37</v>
      </c>
      <c r="AD481" s="79" t="s">
        <v>38</v>
      </c>
      <c r="AE481" s="79" t="s">
        <v>769</v>
      </c>
      <c r="AF481" s="79" t="s">
        <v>770</v>
      </c>
      <c r="AG481" s="79" t="s">
        <v>771</v>
      </c>
      <c r="AH481" s="79"/>
      <c r="AI481" s="53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</row>
    <row r="482" spans="1:110" ht="13.8" x14ac:dyDescent="0.25">
      <c r="A482" s="24">
        <v>1209003</v>
      </c>
      <c r="B482" s="26" t="s">
        <v>657</v>
      </c>
      <c r="C482" s="12" t="s">
        <v>844</v>
      </c>
      <c r="D482" s="11" t="s">
        <v>843</v>
      </c>
      <c r="E482" s="10" t="s">
        <v>757</v>
      </c>
      <c r="F482" s="10" t="s">
        <v>34</v>
      </c>
      <c r="G482" s="55" t="str">
        <f t="shared" si="13"/>
        <v>Obsolete</v>
      </c>
      <c r="H482" s="10"/>
      <c r="I482" s="13">
        <v>50</v>
      </c>
      <c r="J482" s="56"/>
      <c r="K482" s="57"/>
      <c r="M482" s="22">
        <v>13.58</v>
      </c>
      <c r="N482" s="14">
        <v>6.55</v>
      </c>
      <c r="O482" s="14">
        <v>6.14</v>
      </c>
      <c r="P482" s="14">
        <v>5.85</v>
      </c>
      <c r="Q482" s="14"/>
      <c r="R482" s="14"/>
      <c r="S482" s="14">
        <v>5.76</v>
      </c>
      <c r="T482" s="70"/>
      <c r="U482" s="76" t="s">
        <v>54</v>
      </c>
      <c r="V482" s="76"/>
      <c r="W482" s="76" t="s">
        <v>54</v>
      </c>
      <c r="X482" s="76"/>
      <c r="Y482" s="97"/>
      <c r="Z482" s="78"/>
      <c r="AA482" s="79" t="s">
        <v>102</v>
      </c>
      <c r="AB482" s="79" t="s">
        <v>37</v>
      </c>
      <c r="AC482" s="79" t="s">
        <v>35</v>
      </c>
      <c r="AD482" s="79"/>
      <c r="AE482" s="79" t="s">
        <v>845</v>
      </c>
      <c r="AF482" s="79" t="s">
        <v>759</v>
      </c>
      <c r="AG482" s="79" t="s">
        <v>846</v>
      </c>
      <c r="AH482" s="79"/>
      <c r="AI482" s="53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</row>
    <row r="483" spans="1:110" ht="13.8" x14ac:dyDescent="0.25">
      <c r="A483" s="24">
        <v>1209004</v>
      </c>
      <c r="B483" s="26" t="s">
        <v>657</v>
      </c>
      <c r="C483" s="12" t="s">
        <v>847</v>
      </c>
      <c r="D483" s="11" t="s">
        <v>843</v>
      </c>
      <c r="E483" s="10" t="s">
        <v>169</v>
      </c>
      <c r="F483" s="10" t="s">
        <v>34</v>
      </c>
      <c r="G483" s="55">
        <f t="shared" si="13"/>
        <v>2.0499999999999998</v>
      </c>
      <c r="H483" s="10"/>
      <c r="I483" s="13"/>
      <c r="J483" s="56"/>
      <c r="K483" s="57"/>
      <c r="M483" s="22"/>
      <c r="N483" s="14"/>
      <c r="O483" s="14"/>
      <c r="P483" s="14"/>
      <c r="Q483" s="14"/>
      <c r="R483" s="14"/>
      <c r="S483" s="14"/>
      <c r="T483" s="70"/>
      <c r="U483" s="76">
        <v>2.0499999999999998</v>
      </c>
      <c r="V483" s="76">
        <v>0</v>
      </c>
      <c r="W483" s="76">
        <v>2.0499999999999998</v>
      </c>
      <c r="X483" s="76">
        <v>0</v>
      </c>
      <c r="Y483" s="97" t="s">
        <v>37</v>
      </c>
      <c r="Z483" s="78"/>
      <c r="AA483" s="79" t="s">
        <v>36</v>
      </c>
      <c r="AB483" s="79" t="s">
        <v>35</v>
      </c>
      <c r="AC483" s="79" t="s">
        <v>37</v>
      </c>
      <c r="AD483" s="79" t="s">
        <v>38</v>
      </c>
      <c r="AE483" s="79" t="s">
        <v>313</v>
      </c>
      <c r="AF483" s="79" t="s">
        <v>452</v>
      </c>
      <c r="AG483" s="79" t="s">
        <v>453</v>
      </c>
      <c r="AH483" s="79"/>
      <c r="AI483" s="53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</row>
    <row r="484" spans="1:110" ht="13.8" x14ac:dyDescent="0.25">
      <c r="A484" s="24">
        <v>1209005</v>
      </c>
      <c r="B484" s="26" t="s">
        <v>657</v>
      </c>
      <c r="C484" s="12" t="s">
        <v>848</v>
      </c>
      <c r="D484" s="11" t="s">
        <v>146</v>
      </c>
      <c r="E484" s="10" t="s">
        <v>329</v>
      </c>
      <c r="F484" s="10" t="s">
        <v>34</v>
      </c>
      <c r="G484" s="55">
        <f t="shared" si="13"/>
        <v>0.01</v>
      </c>
      <c r="H484" s="10"/>
      <c r="I484" s="13"/>
      <c r="J484" s="56"/>
      <c r="K484" s="57"/>
      <c r="M484" s="22"/>
      <c r="N484" s="14"/>
      <c r="O484" s="14"/>
      <c r="P484" s="14"/>
      <c r="Q484" s="14"/>
      <c r="R484" s="14"/>
      <c r="S484" s="14"/>
      <c r="T484" s="70"/>
      <c r="U484" s="76">
        <v>0</v>
      </c>
      <c r="V484" s="76">
        <v>0.01</v>
      </c>
      <c r="W484" s="76">
        <v>0</v>
      </c>
      <c r="X484" s="76">
        <v>0.01</v>
      </c>
      <c r="Y484" s="77" t="s">
        <v>37</v>
      </c>
      <c r="Z484" s="99"/>
      <c r="AA484" s="100" t="s">
        <v>329</v>
      </c>
      <c r="AB484" s="79" t="s">
        <v>35</v>
      </c>
      <c r="AC484" s="79"/>
      <c r="AD484" s="79"/>
      <c r="AE484" s="79" t="s">
        <v>330</v>
      </c>
      <c r="AF484" s="83"/>
      <c r="AG484" s="79" t="s">
        <v>331</v>
      </c>
      <c r="AH484" s="79" t="s">
        <v>1603</v>
      </c>
      <c r="AI484" s="53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</row>
    <row r="485" spans="1:110" ht="13.8" x14ac:dyDescent="0.25">
      <c r="A485" s="24">
        <v>1209006</v>
      </c>
      <c r="B485" s="26" t="s">
        <v>657</v>
      </c>
      <c r="C485" s="12" t="s">
        <v>849</v>
      </c>
      <c r="D485" s="11" t="s">
        <v>843</v>
      </c>
      <c r="E485" s="10" t="s">
        <v>1515</v>
      </c>
      <c r="F485" s="10" t="s">
        <v>34</v>
      </c>
      <c r="G485" s="55">
        <f t="shared" si="13"/>
        <v>11.24</v>
      </c>
      <c r="H485" s="10"/>
      <c r="I485" s="13"/>
      <c r="J485" s="56"/>
      <c r="K485" s="57"/>
      <c r="M485" s="15">
        <v>11.244568224909509</v>
      </c>
      <c r="N485" s="15">
        <v>6.6587439105151915</v>
      </c>
      <c r="O485" s="14"/>
      <c r="P485" s="14"/>
      <c r="Q485" s="14"/>
      <c r="R485" s="14"/>
      <c r="S485" s="14"/>
      <c r="T485" s="70"/>
      <c r="U485" s="76">
        <v>11.24</v>
      </c>
      <c r="V485" s="76">
        <v>0</v>
      </c>
      <c r="W485" s="76">
        <v>11.24</v>
      </c>
      <c r="X485" s="76">
        <v>0</v>
      </c>
      <c r="Y485" s="77" t="s">
        <v>37</v>
      </c>
      <c r="Z485" s="99">
        <v>55</v>
      </c>
      <c r="AA485" s="100" t="s">
        <v>468</v>
      </c>
      <c r="AB485" s="79" t="s">
        <v>35</v>
      </c>
      <c r="AC485" s="79" t="s">
        <v>37</v>
      </c>
      <c r="AD485" s="79" t="s">
        <v>38</v>
      </c>
      <c r="AE485" s="79" t="s">
        <v>850</v>
      </c>
      <c r="AF485" s="83" t="s">
        <v>851</v>
      </c>
      <c r="AG485" s="79" t="s">
        <v>852</v>
      </c>
      <c r="AH485" s="79"/>
      <c r="AI485" s="53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</row>
    <row r="486" spans="1:110" ht="13.8" x14ac:dyDescent="0.25">
      <c r="A486" s="24">
        <v>1209007</v>
      </c>
      <c r="B486" s="26" t="s">
        <v>657</v>
      </c>
      <c r="C486" s="12" t="s">
        <v>853</v>
      </c>
      <c r="D486" s="11" t="s">
        <v>131</v>
      </c>
      <c r="E486" s="10" t="s">
        <v>1515</v>
      </c>
      <c r="F486" s="10" t="s">
        <v>34</v>
      </c>
      <c r="G486" s="55">
        <f t="shared" si="13"/>
        <v>13.439957906578005</v>
      </c>
      <c r="H486" s="10"/>
      <c r="I486" s="13"/>
      <c r="J486" s="56"/>
      <c r="K486" s="57"/>
      <c r="M486" s="15">
        <v>13.439957906578005</v>
      </c>
      <c r="N486" s="15">
        <f>22.56/2.20462</f>
        <v>10.233056036868032</v>
      </c>
      <c r="O486" s="14"/>
      <c r="P486" s="14"/>
      <c r="Q486" s="14"/>
      <c r="R486" s="14"/>
      <c r="S486" s="14"/>
      <c r="T486" s="70"/>
      <c r="U486" s="76">
        <v>13.439957906578005</v>
      </c>
      <c r="V486" s="76">
        <v>0</v>
      </c>
      <c r="W486" s="76">
        <v>13.439957906578005</v>
      </c>
      <c r="X486" s="76">
        <v>0</v>
      </c>
      <c r="Y486" s="77" t="s">
        <v>37</v>
      </c>
      <c r="Z486" s="99">
        <v>55</v>
      </c>
      <c r="AA486" s="100" t="s">
        <v>468</v>
      </c>
      <c r="AB486" s="79" t="s">
        <v>35</v>
      </c>
      <c r="AC486" s="79" t="s">
        <v>37</v>
      </c>
      <c r="AD486" s="79" t="s">
        <v>38</v>
      </c>
      <c r="AE486" s="79" t="s">
        <v>850</v>
      </c>
      <c r="AF486" s="83" t="s">
        <v>851</v>
      </c>
      <c r="AG486" s="79" t="s">
        <v>852</v>
      </c>
      <c r="AH486" s="79"/>
      <c r="AI486" s="53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</row>
    <row r="487" spans="1:110" ht="13.8" x14ac:dyDescent="0.25">
      <c r="A487" s="24">
        <v>1209008</v>
      </c>
      <c r="B487" s="26" t="s">
        <v>657</v>
      </c>
      <c r="C487" s="12" t="s">
        <v>854</v>
      </c>
      <c r="D487" s="11" t="s">
        <v>131</v>
      </c>
      <c r="E487" s="10" t="s">
        <v>1515</v>
      </c>
      <c r="F487" s="10" t="s">
        <v>34</v>
      </c>
      <c r="G487" s="55">
        <f t="shared" si="13"/>
        <v>15.667</v>
      </c>
      <c r="H487" s="10">
        <v>2</v>
      </c>
      <c r="I487" s="13"/>
      <c r="J487" s="56"/>
      <c r="K487" s="57"/>
      <c r="M487" s="15"/>
      <c r="N487" s="15"/>
      <c r="O487" s="14"/>
      <c r="P487" s="14"/>
      <c r="Q487" s="14"/>
      <c r="R487" s="14"/>
      <c r="S487" s="14"/>
      <c r="T487" s="70"/>
      <c r="U487" s="76">
        <v>15.667</v>
      </c>
      <c r="V487" s="76">
        <v>0</v>
      </c>
      <c r="W487" s="76">
        <v>15.667</v>
      </c>
      <c r="X487" s="76">
        <v>0</v>
      </c>
      <c r="Y487" s="77" t="s">
        <v>37</v>
      </c>
      <c r="Z487" s="99">
        <v>55</v>
      </c>
      <c r="AA487" s="100" t="s">
        <v>468</v>
      </c>
      <c r="AB487" s="79" t="s">
        <v>35</v>
      </c>
      <c r="AC487" s="79" t="s">
        <v>37</v>
      </c>
      <c r="AD487" s="79" t="s">
        <v>38</v>
      </c>
      <c r="AE487" s="79" t="s">
        <v>850</v>
      </c>
      <c r="AF487" s="83" t="s">
        <v>851</v>
      </c>
      <c r="AG487" s="79" t="s">
        <v>852</v>
      </c>
      <c r="AH487" s="79"/>
      <c r="AI487" s="53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</row>
    <row r="488" spans="1:110" ht="13.8" x14ac:dyDescent="0.25">
      <c r="A488" s="24">
        <v>1209009</v>
      </c>
      <c r="B488" s="26" t="s">
        <v>657</v>
      </c>
      <c r="C488" s="12" t="s">
        <v>855</v>
      </c>
      <c r="D488" s="11" t="s">
        <v>131</v>
      </c>
      <c r="E488" s="10" t="s">
        <v>1515</v>
      </c>
      <c r="F488" s="10" t="s">
        <v>34</v>
      </c>
      <c r="G488" s="55">
        <f t="shared" si="13"/>
        <v>0</v>
      </c>
      <c r="H488" s="10"/>
      <c r="I488" s="13"/>
      <c r="J488" s="56"/>
      <c r="K488" s="57"/>
      <c r="M488" s="15"/>
      <c r="N488" s="15"/>
      <c r="O488" s="14"/>
      <c r="P488" s="14"/>
      <c r="Q488" s="14"/>
      <c r="R488" s="14"/>
      <c r="S488" s="14"/>
      <c r="T488" s="70"/>
      <c r="U488" s="76"/>
      <c r="V488" s="76"/>
      <c r="W488" s="76"/>
      <c r="X488" s="76">
        <v>0</v>
      </c>
      <c r="Y488" s="77" t="s">
        <v>37</v>
      </c>
      <c r="Z488" s="99">
        <v>55</v>
      </c>
      <c r="AA488" s="100" t="s">
        <v>468</v>
      </c>
      <c r="AB488" s="79" t="s">
        <v>35</v>
      </c>
      <c r="AC488" s="79" t="s">
        <v>37</v>
      </c>
      <c r="AD488" s="79" t="s">
        <v>38</v>
      </c>
      <c r="AE488" s="79" t="s">
        <v>850</v>
      </c>
      <c r="AF488" s="83" t="s">
        <v>851</v>
      </c>
      <c r="AG488" s="79" t="s">
        <v>852</v>
      </c>
      <c r="AH488" s="79"/>
      <c r="AI488" s="53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</row>
    <row r="489" spans="1:110" ht="13.8" x14ac:dyDescent="0.25">
      <c r="A489" s="24">
        <v>1209010</v>
      </c>
      <c r="B489" s="26" t="s">
        <v>657</v>
      </c>
      <c r="C489" s="12" t="s">
        <v>856</v>
      </c>
      <c r="D489" s="11" t="s">
        <v>131</v>
      </c>
      <c r="E489" s="10" t="s">
        <v>1640</v>
      </c>
      <c r="F489" s="10" t="s">
        <v>34</v>
      </c>
      <c r="G489" s="55">
        <f t="shared" si="13"/>
        <v>3.9</v>
      </c>
      <c r="H489" s="10">
        <v>16</v>
      </c>
      <c r="I489" s="13">
        <v>55</v>
      </c>
      <c r="J489" s="56">
        <v>44585</v>
      </c>
      <c r="K489" s="57">
        <v>3.27</v>
      </c>
      <c r="M489" s="15"/>
      <c r="N489" s="15"/>
      <c r="O489" s="14"/>
      <c r="P489" s="14"/>
      <c r="Q489" s="14"/>
      <c r="R489" s="14"/>
      <c r="S489" s="14"/>
      <c r="T489" s="70"/>
      <c r="U489" s="76">
        <v>3.9</v>
      </c>
      <c r="V489" s="76"/>
      <c r="W489" s="76">
        <v>3.9</v>
      </c>
      <c r="X489" s="76">
        <v>0</v>
      </c>
      <c r="Y489" s="77"/>
      <c r="Z489" s="99"/>
      <c r="AA489" s="100"/>
      <c r="AB489" s="79"/>
      <c r="AC489" s="79"/>
      <c r="AD489" s="79"/>
      <c r="AE489" s="79"/>
      <c r="AF489" s="83"/>
      <c r="AG489" s="79"/>
      <c r="AH489" s="79"/>
      <c r="AI489" s="53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</row>
    <row r="490" spans="1:110" ht="13.8" x14ac:dyDescent="0.25">
      <c r="A490" s="122">
        <v>1209011</v>
      </c>
      <c r="B490" s="26" t="s">
        <v>657</v>
      </c>
      <c r="C490" s="52" t="s">
        <v>1492</v>
      </c>
      <c r="D490" s="11" t="s">
        <v>131</v>
      </c>
      <c r="E490" s="10" t="s">
        <v>757</v>
      </c>
      <c r="F490" s="10" t="s">
        <v>34</v>
      </c>
      <c r="G490" s="55">
        <f t="shared" si="13"/>
        <v>20.522727272727273</v>
      </c>
      <c r="H490" s="10">
        <v>2</v>
      </c>
      <c r="I490" s="13">
        <v>50</v>
      </c>
      <c r="J490" s="56">
        <v>44616</v>
      </c>
      <c r="K490" s="57">
        <v>17.899999999999999</v>
      </c>
      <c r="M490" s="15">
        <v>18.25</v>
      </c>
      <c r="N490" s="15"/>
      <c r="O490" s="14"/>
      <c r="P490" s="14"/>
      <c r="Q490" s="14"/>
      <c r="R490" s="14"/>
      <c r="S490" s="14"/>
      <c r="T490" s="70"/>
      <c r="U490" s="76">
        <v>18.25</v>
      </c>
      <c r="V490" s="76">
        <f>250/110</f>
        <v>2.2727272727272729</v>
      </c>
      <c r="W490" s="76">
        <v>18.25</v>
      </c>
      <c r="X490" s="76">
        <f>250/110</f>
        <v>2.2727272727272729</v>
      </c>
      <c r="Y490" s="77" t="s">
        <v>35</v>
      </c>
      <c r="Z490" s="99">
        <v>50</v>
      </c>
      <c r="AA490" s="100" t="s">
        <v>468</v>
      </c>
      <c r="AB490" s="79" t="s">
        <v>35</v>
      </c>
      <c r="AC490" s="79" t="s">
        <v>37</v>
      </c>
      <c r="AD490" s="79" t="s">
        <v>38</v>
      </c>
      <c r="AE490" s="79" t="s">
        <v>1530</v>
      </c>
      <c r="AF490" s="83" t="s">
        <v>1531</v>
      </c>
      <c r="AG490" s="79" t="s">
        <v>1532</v>
      </c>
      <c r="AH490" s="79"/>
      <c r="AI490" s="53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</row>
    <row r="491" spans="1:110" ht="11.25" customHeight="1" x14ac:dyDescent="0.25">
      <c r="A491" s="122">
        <v>1209012</v>
      </c>
      <c r="B491" s="26" t="s">
        <v>657</v>
      </c>
      <c r="C491" s="52" t="s">
        <v>1493</v>
      </c>
      <c r="D491" s="11" t="s">
        <v>131</v>
      </c>
      <c r="E491" s="10" t="s">
        <v>757</v>
      </c>
      <c r="F491" s="10" t="s">
        <v>34</v>
      </c>
      <c r="G491" s="55">
        <f t="shared" si="13"/>
        <v>20.642727272727274</v>
      </c>
      <c r="H491" s="10">
        <v>2</v>
      </c>
      <c r="I491" s="13">
        <v>50</v>
      </c>
      <c r="J491" s="56">
        <v>44616</v>
      </c>
      <c r="K491" s="57">
        <v>20.2927</v>
      </c>
      <c r="M491" s="15">
        <v>18.37</v>
      </c>
      <c r="N491" s="15"/>
      <c r="O491" s="14"/>
      <c r="P491" s="14"/>
      <c r="Q491" s="14"/>
      <c r="R491" s="14"/>
      <c r="S491" s="14"/>
      <c r="T491" s="70"/>
      <c r="U491" s="76">
        <v>18.37</v>
      </c>
      <c r="V491" s="76">
        <f>250/110</f>
        <v>2.2727272727272729</v>
      </c>
      <c r="W491" s="76">
        <v>18.37</v>
      </c>
      <c r="X491" s="76">
        <f>250/110</f>
        <v>2.2727272727272729</v>
      </c>
      <c r="Y491" s="77" t="s">
        <v>35</v>
      </c>
      <c r="Z491" s="99">
        <v>50</v>
      </c>
      <c r="AA491" s="100" t="s">
        <v>468</v>
      </c>
      <c r="AB491" s="79" t="s">
        <v>35</v>
      </c>
      <c r="AC491" s="79" t="s">
        <v>37</v>
      </c>
      <c r="AD491" s="79" t="s">
        <v>38</v>
      </c>
      <c r="AE491" s="79" t="s">
        <v>1530</v>
      </c>
      <c r="AF491" s="83" t="s">
        <v>1531</v>
      </c>
      <c r="AG491" s="79" t="s">
        <v>1532</v>
      </c>
      <c r="AH491" s="79"/>
      <c r="AI491" s="53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</row>
    <row r="492" spans="1:110" ht="17.25" customHeight="1" x14ac:dyDescent="0.25">
      <c r="A492" s="122">
        <v>1209013</v>
      </c>
      <c r="B492" s="26" t="s">
        <v>657</v>
      </c>
      <c r="C492" s="12" t="s">
        <v>857</v>
      </c>
      <c r="D492" s="11" t="s">
        <v>131</v>
      </c>
      <c r="E492" s="10" t="s">
        <v>757</v>
      </c>
      <c r="F492" s="10" t="s">
        <v>34</v>
      </c>
      <c r="G492" s="55">
        <f t="shared" si="13"/>
        <v>20.932727272727274</v>
      </c>
      <c r="H492" s="10">
        <v>2</v>
      </c>
      <c r="I492" s="13">
        <v>50</v>
      </c>
      <c r="J492" s="56">
        <v>44616</v>
      </c>
      <c r="K492" s="57">
        <v>18.309999999999999</v>
      </c>
      <c r="M492" s="15">
        <v>18.66</v>
      </c>
      <c r="N492" s="15"/>
      <c r="O492" s="14"/>
      <c r="P492" s="14"/>
      <c r="Q492" s="14"/>
      <c r="R492" s="14"/>
      <c r="S492" s="14"/>
      <c r="T492" s="70"/>
      <c r="U492" s="76">
        <v>18.66</v>
      </c>
      <c r="V492" s="76">
        <f>250/110</f>
        <v>2.2727272727272729</v>
      </c>
      <c r="W492" s="76">
        <v>18.66</v>
      </c>
      <c r="X492" s="76">
        <f>250/110</f>
        <v>2.2727272727272729</v>
      </c>
      <c r="Y492" s="77" t="s">
        <v>35</v>
      </c>
      <c r="Z492" s="99">
        <v>50</v>
      </c>
      <c r="AA492" s="100" t="s">
        <v>468</v>
      </c>
      <c r="AB492" s="79" t="s">
        <v>35</v>
      </c>
      <c r="AC492" s="79" t="s">
        <v>37</v>
      </c>
      <c r="AD492" s="79" t="s">
        <v>38</v>
      </c>
      <c r="AE492" s="79" t="s">
        <v>1530</v>
      </c>
      <c r="AF492" s="83" t="s">
        <v>1531</v>
      </c>
      <c r="AG492" s="79" t="s">
        <v>1532</v>
      </c>
      <c r="AH492" s="79"/>
      <c r="AI492" s="53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</row>
    <row r="493" spans="1:110" ht="13.5" customHeight="1" x14ac:dyDescent="0.25">
      <c r="A493" s="122">
        <v>1209014</v>
      </c>
      <c r="B493" s="26" t="s">
        <v>657</v>
      </c>
      <c r="C493" s="12" t="s">
        <v>858</v>
      </c>
      <c r="D493" s="11" t="s">
        <v>131</v>
      </c>
      <c r="E493" s="10" t="s">
        <v>757</v>
      </c>
      <c r="F493" s="10" t="s">
        <v>34</v>
      </c>
      <c r="G493" s="55">
        <f t="shared" si="13"/>
        <v>12.222727272727273</v>
      </c>
      <c r="H493" s="10">
        <v>2</v>
      </c>
      <c r="I493" s="13">
        <v>50</v>
      </c>
      <c r="J493" s="56">
        <v>44616</v>
      </c>
      <c r="K493" s="57">
        <v>9.6</v>
      </c>
      <c r="M493" s="15">
        <v>9.9499999999999993</v>
      </c>
      <c r="N493" s="15"/>
      <c r="O493" s="14"/>
      <c r="P493" s="14"/>
      <c r="Q493" s="14"/>
      <c r="R493" s="14"/>
      <c r="S493" s="14"/>
      <c r="T493" s="70"/>
      <c r="U493" s="76">
        <v>9.9499999999999993</v>
      </c>
      <c r="V493" s="76">
        <f>250/110</f>
        <v>2.2727272727272729</v>
      </c>
      <c r="W493" s="76">
        <v>9.9499999999999993</v>
      </c>
      <c r="X493" s="76">
        <f>250/110</f>
        <v>2.2727272727272729</v>
      </c>
      <c r="Y493" s="77" t="s">
        <v>37</v>
      </c>
      <c r="Z493" s="99">
        <v>50</v>
      </c>
      <c r="AA493" s="100" t="s">
        <v>468</v>
      </c>
      <c r="AB493" s="79" t="s">
        <v>35</v>
      </c>
      <c r="AC493" s="79" t="s">
        <v>37</v>
      </c>
      <c r="AD493" s="79" t="s">
        <v>38</v>
      </c>
      <c r="AE493" s="79" t="s">
        <v>1530</v>
      </c>
      <c r="AF493" s="83" t="s">
        <v>1531</v>
      </c>
      <c r="AG493" s="79" t="s">
        <v>1532</v>
      </c>
      <c r="AH493" s="79"/>
      <c r="AI493" s="53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</row>
    <row r="494" spans="1:110" ht="13.5" customHeight="1" x14ac:dyDescent="0.25">
      <c r="A494" s="24">
        <v>1209015</v>
      </c>
      <c r="B494" s="26" t="s">
        <v>657</v>
      </c>
      <c r="C494" s="12" t="s">
        <v>1516</v>
      </c>
      <c r="D494" s="11" t="s">
        <v>66</v>
      </c>
      <c r="E494" s="10" t="s">
        <v>1515</v>
      </c>
      <c r="F494" s="10" t="s">
        <v>34</v>
      </c>
      <c r="G494" s="55">
        <f t="shared" si="13"/>
        <v>9.23</v>
      </c>
      <c r="H494" s="10">
        <v>2</v>
      </c>
      <c r="I494" s="13">
        <v>50</v>
      </c>
      <c r="J494" s="56"/>
      <c r="K494" s="57"/>
      <c r="M494" s="15"/>
      <c r="N494" s="15"/>
      <c r="O494" s="14"/>
      <c r="P494" s="14"/>
      <c r="Q494" s="14"/>
      <c r="R494" s="14"/>
      <c r="S494" s="14"/>
      <c r="T494" s="70"/>
      <c r="U494" s="76">
        <v>9.23</v>
      </c>
      <c r="V494" s="76">
        <v>0</v>
      </c>
      <c r="W494" s="76">
        <v>9.23</v>
      </c>
      <c r="X494" s="76">
        <v>0</v>
      </c>
      <c r="Y494" s="77" t="s">
        <v>37</v>
      </c>
      <c r="Z494" s="99">
        <v>50</v>
      </c>
      <c r="AA494" s="100" t="s">
        <v>468</v>
      </c>
      <c r="AB494" s="79" t="s">
        <v>35</v>
      </c>
      <c r="AC494" s="79" t="s">
        <v>37</v>
      </c>
      <c r="AD494" s="79" t="s">
        <v>38</v>
      </c>
      <c r="AE494" s="79" t="s">
        <v>850</v>
      </c>
      <c r="AF494" s="83" t="s">
        <v>851</v>
      </c>
      <c r="AG494" s="79" t="s">
        <v>852</v>
      </c>
      <c r="AH494" s="79"/>
      <c r="AI494" s="53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</row>
    <row r="495" spans="1:110" ht="13.5" customHeight="1" x14ac:dyDescent="0.25">
      <c r="A495" s="24">
        <v>1209016</v>
      </c>
      <c r="B495" s="26" t="s">
        <v>657</v>
      </c>
      <c r="C495" s="12" t="s">
        <v>1573</v>
      </c>
      <c r="D495" s="11" t="s">
        <v>32</v>
      </c>
      <c r="E495" s="10" t="s">
        <v>1515</v>
      </c>
      <c r="F495" s="10" t="s">
        <v>34</v>
      </c>
      <c r="G495" s="55">
        <f t="shared" si="13"/>
        <v>0</v>
      </c>
      <c r="H495" s="10">
        <v>2</v>
      </c>
      <c r="I495" s="13">
        <v>50</v>
      </c>
      <c r="J495" s="56"/>
      <c r="K495" s="57"/>
      <c r="M495" s="15"/>
      <c r="N495" s="15"/>
      <c r="O495" s="14"/>
      <c r="P495" s="14"/>
      <c r="Q495" s="14"/>
      <c r="R495" s="14"/>
      <c r="S495" s="14"/>
      <c r="T495" s="70"/>
      <c r="U495" s="76"/>
      <c r="V495" s="76">
        <v>0</v>
      </c>
      <c r="W495" s="76"/>
      <c r="X495" s="76">
        <v>0</v>
      </c>
      <c r="Y495" s="77" t="s">
        <v>37</v>
      </c>
      <c r="Z495" s="99">
        <v>50</v>
      </c>
      <c r="AA495" s="100" t="s">
        <v>284</v>
      </c>
      <c r="AB495" s="79" t="s">
        <v>35</v>
      </c>
      <c r="AC495" s="79" t="s">
        <v>37</v>
      </c>
      <c r="AD495" s="79" t="s">
        <v>38</v>
      </c>
      <c r="AE495" s="79" t="s">
        <v>850</v>
      </c>
      <c r="AF495" s="83" t="s">
        <v>851</v>
      </c>
      <c r="AG495" s="79" t="s">
        <v>852</v>
      </c>
      <c r="AH495" s="79"/>
      <c r="AI495" s="53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</row>
    <row r="496" spans="1:110" ht="19.95" customHeight="1" x14ac:dyDescent="0.25">
      <c r="A496" s="24">
        <v>1209017</v>
      </c>
      <c r="B496" s="26" t="s">
        <v>657</v>
      </c>
      <c r="C496" s="12" t="s">
        <v>1584</v>
      </c>
      <c r="D496" s="11"/>
      <c r="E496" s="10" t="s">
        <v>1585</v>
      </c>
      <c r="F496" s="10" t="s">
        <v>34</v>
      </c>
      <c r="G496" s="55">
        <f t="shared" si="13"/>
        <v>0</v>
      </c>
      <c r="H496" s="10">
        <v>2</v>
      </c>
      <c r="I496" s="13"/>
      <c r="J496" s="56"/>
      <c r="K496" s="57"/>
      <c r="M496" s="15"/>
      <c r="N496" s="15"/>
      <c r="O496" s="14"/>
      <c r="P496" s="14"/>
      <c r="Q496" s="14"/>
      <c r="R496" s="14"/>
      <c r="S496" s="14"/>
      <c r="T496" s="70"/>
      <c r="U496" s="76">
        <v>0</v>
      </c>
      <c r="V496" s="76">
        <v>0</v>
      </c>
      <c r="W496" s="76">
        <v>0</v>
      </c>
      <c r="X496" s="76">
        <v>0</v>
      </c>
      <c r="Y496" s="77" t="s">
        <v>35</v>
      </c>
      <c r="Z496" s="99"/>
      <c r="AA496" s="100" t="s">
        <v>1588</v>
      </c>
      <c r="AB496" s="79" t="s">
        <v>35</v>
      </c>
      <c r="AC496" s="79" t="s">
        <v>37</v>
      </c>
      <c r="AD496" s="79" t="s">
        <v>38</v>
      </c>
      <c r="AE496" s="79" t="s">
        <v>1589</v>
      </c>
      <c r="AF496" s="83" t="s">
        <v>1590</v>
      </c>
      <c r="AG496" s="79" t="s">
        <v>1591</v>
      </c>
      <c r="AH496" s="79"/>
      <c r="AI496" s="53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</row>
    <row r="497" spans="1:110" ht="19.2" customHeight="1" x14ac:dyDescent="0.25">
      <c r="A497" s="24">
        <v>1209018</v>
      </c>
      <c r="B497" s="26" t="s">
        <v>657</v>
      </c>
      <c r="C497" s="12" t="s">
        <v>1586</v>
      </c>
      <c r="D497" s="11" t="s">
        <v>1587</v>
      </c>
      <c r="E497" s="10" t="s">
        <v>1585</v>
      </c>
      <c r="F497" s="10" t="s">
        <v>34</v>
      </c>
      <c r="G497" s="55">
        <f t="shared" si="13"/>
        <v>0</v>
      </c>
      <c r="H497" s="10">
        <v>2</v>
      </c>
      <c r="I497" s="13"/>
      <c r="J497" s="56"/>
      <c r="K497" s="57"/>
      <c r="M497" s="15"/>
      <c r="N497" s="15"/>
      <c r="O497" s="14"/>
      <c r="P497" s="14"/>
      <c r="Q497" s="14"/>
      <c r="R497" s="14"/>
      <c r="S497" s="14"/>
      <c r="T497" s="70"/>
      <c r="U497" s="76">
        <v>0</v>
      </c>
      <c r="V497" s="76">
        <v>0</v>
      </c>
      <c r="W497" s="76">
        <v>0</v>
      </c>
      <c r="X497" s="76">
        <v>0</v>
      </c>
      <c r="Y497" s="77" t="s">
        <v>35</v>
      </c>
      <c r="Z497" s="99"/>
      <c r="AA497" s="100" t="s">
        <v>1588</v>
      </c>
      <c r="AB497" s="79" t="s">
        <v>35</v>
      </c>
      <c r="AC497" s="79" t="s">
        <v>37</v>
      </c>
      <c r="AD497" s="79" t="s">
        <v>38</v>
      </c>
      <c r="AE497" s="79" t="s">
        <v>1589</v>
      </c>
      <c r="AF497" s="83" t="s">
        <v>1590</v>
      </c>
      <c r="AG497" s="79" t="s">
        <v>1591</v>
      </c>
      <c r="AH497" s="79"/>
      <c r="AI497" s="53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</row>
    <row r="498" spans="1:110" ht="19.2" customHeight="1" x14ac:dyDescent="0.25">
      <c r="A498" s="24">
        <v>1209019</v>
      </c>
      <c r="B498" s="26" t="s">
        <v>657</v>
      </c>
      <c r="C498" s="12" t="s">
        <v>1629</v>
      </c>
      <c r="D498" s="11"/>
      <c r="E498" s="10" t="s">
        <v>1625</v>
      </c>
      <c r="F498" s="10" t="s">
        <v>34</v>
      </c>
      <c r="G498" s="55">
        <v>0</v>
      </c>
      <c r="H498" s="10"/>
      <c r="I498" s="13"/>
      <c r="J498" s="56"/>
      <c r="K498" s="57"/>
      <c r="M498" s="15"/>
      <c r="N498" s="15"/>
      <c r="O498" s="14"/>
      <c r="P498" s="14"/>
      <c r="Q498" s="14"/>
      <c r="R498" s="14"/>
      <c r="S498" s="14"/>
      <c r="T498" s="70"/>
      <c r="U498" s="76"/>
      <c r="V498" s="76"/>
      <c r="W498" s="76"/>
      <c r="X498" s="76"/>
      <c r="Y498" s="77"/>
      <c r="Z498" s="99"/>
      <c r="AA498" s="100"/>
      <c r="AB498" s="79"/>
      <c r="AC498" s="79"/>
      <c r="AD498" s="79"/>
      <c r="AE498" s="79"/>
      <c r="AF498" s="83"/>
      <c r="AG498" s="79"/>
      <c r="AH498" s="79"/>
      <c r="AI498" s="53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</row>
    <row r="499" spans="1:110" ht="19.2" customHeight="1" x14ac:dyDescent="0.25">
      <c r="A499" s="24">
        <v>1209020</v>
      </c>
      <c r="B499" s="26" t="s">
        <v>657</v>
      </c>
      <c r="C499" s="12" t="s">
        <v>1630</v>
      </c>
      <c r="D499" s="11" t="s">
        <v>1502</v>
      </c>
      <c r="E499" s="10" t="s">
        <v>1625</v>
      </c>
      <c r="F499" s="10" t="s">
        <v>34</v>
      </c>
      <c r="G499" s="55">
        <v>0</v>
      </c>
      <c r="H499" s="10"/>
      <c r="I499" s="13"/>
      <c r="J499" s="56"/>
      <c r="K499" s="57"/>
      <c r="M499" s="15"/>
      <c r="N499" s="15"/>
      <c r="O499" s="14"/>
      <c r="P499" s="14"/>
      <c r="Q499" s="14"/>
      <c r="R499" s="14"/>
      <c r="S499" s="14"/>
      <c r="T499" s="70"/>
      <c r="U499" s="76"/>
      <c r="V499" s="76"/>
      <c r="W499" s="76"/>
      <c r="X499" s="76"/>
      <c r="Y499" s="77"/>
      <c r="Z499" s="99"/>
      <c r="AA499" s="100"/>
      <c r="AB499" s="79"/>
      <c r="AC499" s="79"/>
      <c r="AD499" s="79"/>
      <c r="AE499" s="79"/>
      <c r="AF499" s="83"/>
      <c r="AG499" s="79"/>
      <c r="AH499" s="79"/>
      <c r="AI499" s="53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</row>
    <row r="500" spans="1:110" ht="19.2" customHeight="1" x14ac:dyDescent="0.25">
      <c r="A500" s="122">
        <v>1209021</v>
      </c>
      <c r="B500" s="26" t="s">
        <v>657</v>
      </c>
      <c r="C500" s="12" t="s">
        <v>1633</v>
      </c>
      <c r="D500" s="11" t="s">
        <v>1502</v>
      </c>
      <c r="E500" s="10" t="s">
        <v>1625</v>
      </c>
      <c r="F500" s="10" t="s">
        <v>34</v>
      </c>
      <c r="G500" s="55">
        <v>0</v>
      </c>
      <c r="H500" s="10"/>
      <c r="I500" s="13"/>
      <c r="J500" s="56"/>
      <c r="K500" s="57"/>
      <c r="M500" s="15"/>
      <c r="N500" s="15"/>
      <c r="O500" s="14"/>
      <c r="P500" s="14"/>
      <c r="Q500" s="14"/>
      <c r="R500" s="14"/>
      <c r="S500" s="14"/>
      <c r="T500" s="70"/>
      <c r="U500" s="76"/>
      <c r="V500" s="76"/>
      <c r="W500" s="76"/>
      <c r="X500" s="76"/>
      <c r="Y500" s="77"/>
      <c r="Z500" s="99"/>
      <c r="AA500" s="100"/>
      <c r="AB500" s="79"/>
      <c r="AC500" s="79"/>
      <c r="AD500" s="79"/>
      <c r="AE500" s="79"/>
      <c r="AF500" s="83"/>
      <c r="AG500" s="79"/>
      <c r="AH500" s="79"/>
      <c r="AI500" s="53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</row>
    <row r="501" spans="1:110" ht="19.2" customHeight="1" x14ac:dyDescent="0.25">
      <c r="A501" s="24">
        <v>1209022</v>
      </c>
      <c r="B501" s="26" t="s">
        <v>657</v>
      </c>
      <c r="C501" s="12" t="s">
        <v>1645</v>
      </c>
      <c r="D501" s="11" t="s">
        <v>32</v>
      </c>
      <c r="E501" s="10" t="s">
        <v>1643</v>
      </c>
      <c r="F501" s="10" t="s">
        <v>34</v>
      </c>
      <c r="G501" s="55">
        <v>0</v>
      </c>
      <c r="H501" s="10"/>
      <c r="I501" s="13"/>
      <c r="J501" s="56"/>
      <c r="K501" s="57"/>
      <c r="M501" s="15"/>
      <c r="N501" s="15"/>
      <c r="O501" s="14"/>
      <c r="P501" s="14"/>
      <c r="Q501" s="14"/>
      <c r="R501" s="14"/>
      <c r="S501" s="14"/>
      <c r="T501" s="70"/>
      <c r="U501" s="76"/>
      <c r="V501" s="76"/>
      <c r="W501" s="76"/>
      <c r="X501" s="76"/>
      <c r="Y501" s="77"/>
      <c r="Z501" s="99"/>
      <c r="AA501" s="100"/>
      <c r="AB501" s="79"/>
      <c r="AC501" s="79"/>
      <c r="AD501" s="79"/>
      <c r="AE501" s="79"/>
      <c r="AF501" s="83"/>
      <c r="AG501" s="79"/>
      <c r="AH501" s="79"/>
      <c r="AI501" s="53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</row>
    <row r="502" spans="1:110" ht="19.2" customHeight="1" x14ac:dyDescent="0.25">
      <c r="A502" s="24">
        <v>1209023</v>
      </c>
      <c r="B502" s="26" t="s">
        <v>657</v>
      </c>
      <c r="C502" s="12" t="s">
        <v>1646</v>
      </c>
      <c r="D502" s="11" t="s">
        <v>32</v>
      </c>
      <c r="E502" s="10" t="s">
        <v>1643</v>
      </c>
      <c r="F502" s="10" t="s">
        <v>34</v>
      </c>
      <c r="G502" s="55">
        <v>0</v>
      </c>
      <c r="H502" s="10"/>
      <c r="I502" s="13"/>
      <c r="J502" s="56"/>
      <c r="K502" s="57"/>
      <c r="M502" s="15"/>
      <c r="N502" s="15"/>
      <c r="O502" s="14"/>
      <c r="P502" s="14"/>
      <c r="Q502" s="14"/>
      <c r="R502" s="14"/>
      <c r="S502" s="14"/>
      <c r="T502" s="70"/>
      <c r="U502" s="76"/>
      <c r="V502" s="76"/>
      <c r="W502" s="76"/>
      <c r="X502" s="76"/>
      <c r="Y502" s="77"/>
      <c r="Z502" s="99"/>
      <c r="AA502" s="100"/>
      <c r="AB502" s="79"/>
      <c r="AC502" s="79"/>
      <c r="AD502" s="79"/>
      <c r="AE502" s="79"/>
      <c r="AF502" s="83"/>
      <c r="AG502" s="79"/>
      <c r="AH502" s="79"/>
      <c r="AI502" s="53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</row>
    <row r="503" spans="1:110" ht="15.75" customHeight="1" x14ac:dyDescent="0.25">
      <c r="A503" s="24">
        <v>1301001</v>
      </c>
      <c r="B503" s="26"/>
      <c r="C503" s="25" t="s">
        <v>859</v>
      </c>
      <c r="D503" s="26"/>
      <c r="E503" s="17" t="s">
        <v>57</v>
      </c>
      <c r="F503" s="10" t="s">
        <v>34</v>
      </c>
      <c r="G503" s="55" t="str">
        <f t="shared" si="13"/>
        <v>Obsolete</v>
      </c>
      <c r="H503" s="10"/>
      <c r="I503" s="13"/>
      <c r="J503" s="56"/>
      <c r="K503" s="57"/>
      <c r="M503" s="14"/>
      <c r="N503" s="14"/>
      <c r="O503" s="14"/>
      <c r="P503" s="14"/>
      <c r="Q503" s="14"/>
      <c r="R503" s="14"/>
      <c r="S503" s="14"/>
      <c r="T503" s="70"/>
      <c r="U503" s="76" t="s">
        <v>54</v>
      </c>
      <c r="V503" s="76"/>
      <c r="W503" s="76" t="s">
        <v>54</v>
      </c>
      <c r="X503" s="76"/>
      <c r="Y503" s="97"/>
      <c r="Z503" s="87"/>
      <c r="AA503" s="79"/>
      <c r="AB503" s="79" t="s">
        <v>37</v>
      </c>
      <c r="AC503" s="79" t="s">
        <v>37</v>
      </c>
      <c r="AD503" s="79"/>
      <c r="AE503" s="79"/>
      <c r="AF503" s="79"/>
      <c r="AG503" s="79"/>
      <c r="AH503" s="79"/>
      <c r="AI503" s="53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</row>
    <row r="504" spans="1:110" ht="13.8" x14ac:dyDescent="0.25">
      <c r="A504" s="24">
        <v>1301002</v>
      </c>
      <c r="B504" s="11"/>
      <c r="C504" s="12" t="s">
        <v>860</v>
      </c>
      <c r="D504" s="11"/>
      <c r="E504" s="17" t="s">
        <v>57</v>
      </c>
      <c r="F504" s="10" t="s">
        <v>34</v>
      </c>
      <c r="G504" s="55" t="str">
        <f t="shared" si="13"/>
        <v>Obsolete</v>
      </c>
      <c r="H504" s="10"/>
      <c r="I504" s="13"/>
      <c r="J504" s="56"/>
      <c r="K504" s="57"/>
      <c r="M504" s="14"/>
      <c r="N504" s="14"/>
      <c r="O504" s="14"/>
      <c r="P504" s="14"/>
      <c r="Q504" s="14"/>
      <c r="R504" s="14"/>
      <c r="S504" s="14"/>
      <c r="T504" s="70"/>
      <c r="U504" s="76" t="s">
        <v>54</v>
      </c>
      <c r="V504" s="76"/>
      <c r="W504" s="76" t="s">
        <v>54</v>
      </c>
      <c r="X504" s="76"/>
      <c r="Y504" s="97"/>
      <c r="Z504" s="78"/>
      <c r="AA504" s="79" t="s">
        <v>692</v>
      </c>
      <c r="AB504" s="79" t="s">
        <v>37</v>
      </c>
      <c r="AC504" s="79" t="s">
        <v>37</v>
      </c>
      <c r="AD504" s="79"/>
      <c r="AE504" s="79"/>
      <c r="AF504" s="79"/>
      <c r="AG504" s="79"/>
      <c r="AH504" s="79"/>
      <c r="AI504" s="53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</row>
    <row r="505" spans="1:110" ht="13.8" x14ac:dyDescent="0.25">
      <c r="A505" s="24">
        <v>1301003</v>
      </c>
      <c r="B505" s="26"/>
      <c r="C505" s="25" t="s">
        <v>861</v>
      </c>
      <c r="D505" s="26"/>
      <c r="E505" s="17" t="s">
        <v>57</v>
      </c>
      <c r="F505" s="10" t="s">
        <v>34</v>
      </c>
      <c r="G505" s="55" t="str">
        <f t="shared" si="13"/>
        <v>Obsolete</v>
      </c>
      <c r="H505" s="10"/>
      <c r="I505" s="13"/>
      <c r="J505" s="56"/>
      <c r="K505" s="57"/>
      <c r="M505" s="14"/>
      <c r="N505" s="14"/>
      <c r="O505" s="14"/>
      <c r="P505" s="14"/>
      <c r="Q505" s="14"/>
      <c r="R505" s="14"/>
      <c r="S505" s="14"/>
      <c r="T505" s="70"/>
      <c r="U505" s="76" t="s">
        <v>54</v>
      </c>
      <c r="V505" s="76"/>
      <c r="W505" s="76" t="s">
        <v>54</v>
      </c>
      <c r="X505" s="76"/>
      <c r="Y505" s="97"/>
      <c r="Z505" s="87"/>
      <c r="AA505" s="79"/>
      <c r="AB505" s="79" t="s">
        <v>37</v>
      </c>
      <c r="AC505" s="79" t="s">
        <v>37</v>
      </c>
      <c r="AD505" s="79"/>
      <c r="AE505" s="79"/>
      <c r="AF505" s="79"/>
      <c r="AG505" s="79"/>
      <c r="AH505" s="79"/>
      <c r="AI505" s="53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</row>
    <row r="506" spans="1:110" ht="13.8" x14ac:dyDescent="0.25">
      <c r="A506" s="24">
        <v>1301004</v>
      </c>
      <c r="B506" s="26" t="s">
        <v>600</v>
      </c>
      <c r="C506" s="25" t="s">
        <v>862</v>
      </c>
      <c r="D506" s="26"/>
      <c r="E506" s="17" t="s">
        <v>57</v>
      </c>
      <c r="F506" s="10" t="s">
        <v>34</v>
      </c>
      <c r="G506" s="55" t="str">
        <f t="shared" si="13"/>
        <v>Obsolete</v>
      </c>
      <c r="H506" s="10"/>
      <c r="I506" s="13"/>
      <c r="J506" s="56"/>
      <c r="K506" s="57"/>
      <c r="M506" s="14"/>
      <c r="N506" s="14"/>
      <c r="O506" s="14"/>
      <c r="P506" s="14"/>
      <c r="Q506" s="14"/>
      <c r="R506" s="14"/>
      <c r="S506" s="14"/>
      <c r="T506" s="70"/>
      <c r="U506" s="76" t="s">
        <v>54</v>
      </c>
      <c r="V506" s="76"/>
      <c r="W506" s="76" t="s">
        <v>54</v>
      </c>
      <c r="X506" s="76"/>
      <c r="Y506" s="97"/>
      <c r="Z506" s="87"/>
      <c r="AA506" s="79"/>
      <c r="AB506" s="79" t="s">
        <v>37</v>
      </c>
      <c r="AC506" s="79" t="s">
        <v>37</v>
      </c>
      <c r="AD506" s="79"/>
      <c r="AE506" s="79"/>
      <c r="AF506" s="79"/>
      <c r="AG506" s="79"/>
      <c r="AH506" s="79"/>
      <c r="AI506" s="53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</row>
    <row r="507" spans="1:110" ht="13.8" x14ac:dyDescent="0.25">
      <c r="A507" s="24">
        <v>1301005</v>
      </c>
      <c r="B507" s="26" t="s">
        <v>600</v>
      </c>
      <c r="C507" s="12" t="s">
        <v>863</v>
      </c>
      <c r="D507" s="11"/>
      <c r="E507" s="17" t="s">
        <v>57</v>
      </c>
      <c r="F507" s="10" t="s">
        <v>34</v>
      </c>
      <c r="G507" s="55" t="str">
        <f t="shared" si="13"/>
        <v>Obsolete</v>
      </c>
      <c r="H507" s="10"/>
      <c r="I507" s="13"/>
      <c r="J507" s="56"/>
      <c r="K507" s="57"/>
      <c r="M507" s="14"/>
      <c r="N507" s="14"/>
      <c r="O507" s="14"/>
      <c r="P507" s="14"/>
      <c r="Q507" s="14"/>
      <c r="R507" s="14"/>
      <c r="S507" s="14"/>
      <c r="T507" s="70"/>
      <c r="U507" s="76" t="s">
        <v>54</v>
      </c>
      <c r="V507" s="76"/>
      <c r="W507" s="76" t="s">
        <v>54</v>
      </c>
      <c r="X507" s="76"/>
      <c r="Y507" s="97"/>
      <c r="Z507" s="78"/>
      <c r="AA507" s="79" t="s">
        <v>55</v>
      </c>
      <c r="AB507" s="79" t="s">
        <v>37</v>
      </c>
      <c r="AC507" s="79" t="s">
        <v>37</v>
      </c>
      <c r="AD507" s="79"/>
      <c r="AE507" s="79"/>
      <c r="AF507" s="79"/>
      <c r="AG507" s="79"/>
      <c r="AH507" s="79"/>
      <c r="AI507" s="53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</row>
    <row r="508" spans="1:110" ht="13.8" x14ac:dyDescent="0.25">
      <c r="A508" s="24">
        <v>1301006</v>
      </c>
      <c r="B508" s="26" t="s">
        <v>600</v>
      </c>
      <c r="C508" s="12" t="s">
        <v>864</v>
      </c>
      <c r="D508" s="11"/>
      <c r="E508" s="17" t="s">
        <v>57</v>
      </c>
      <c r="F508" s="10" t="s">
        <v>34</v>
      </c>
      <c r="G508" s="55" t="str">
        <f t="shared" si="13"/>
        <v>Obsolete</v>
      </c>
      <c r="H508" s="10"/>
      <c r="I508" s="13"/>
      <c r="J508" s="56"/>
      <c r="K508" s="57"/>
      <c r="M508" s="14"/>
      <c r="N508" s="14"/>
      <c r="O508" s="14"/>
      <c r="P508" s="14"/>
      <c r="Q508" s="14"/>
      <c r="R508" s="14"/>
      <c r="S508" s="14"/>
      <c r="T508" s="70"/>
      <c r="U508" s="76" t="s">
        <v>54</v>
      </c>
      <c r="V508" s="76"/>
      <c r="W508" s="76" t="s">
        <v>54</v>
      </c>
      <c r="X508" s="76"/>
      <c r="Y508" s="97"/>
      <c r="Z508" s="78"/>
      <c r="AA508" s="79" t="s">
        <v>55</v>
      </c>
      <c r="AB508" s="79" t="s">
        <v>37</v>
      </c>
      <c r="AC508" s="79" t="s">
        <v>37</v>
      </c>
      <c r="AD508" s="79"/>
      <c r="AE508" s="79"/>
      <c r="AF508" s="79"/>
      <c r="AG508" s="79"/>
      <c r="AH508" s="79"/>
      <c r="AI508" s="53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</row>
    <row r="509" spans="1:110" ht="13.8" x14ac:dyDescent="0.25">
      <c r="A509" s="24">
        <v>1301007</v>
      </c>
      <c r="B509" s="26" t="s">
        <v>600</v>
      </c>
      <c r="C509" s="25" t="s">
        <v>865</v>
      </c>
      <c r="D509" s="26"/>
      <c r="E509" s="17" t="s">
        <v>57</v>
      </c>
      <c r="F509" s="10" t="s">
        <v>34</v>
      </c>
      <c r="G509" s="55" t="str">
        <f t="shared" si="13"/>
        <v>Obsolete</v>
      </c>
      <c r="H509" s="10"/>
      <c r="I509" s="13"/>
      <c r="J509" s="56"/>
      <c r="K509" s="57"/>
      <c r="M509" s="14"/>
      <c r="N509" s="14"/>
      <c r="O509" s="14"/>
      <c r="P509" s="14"/>
      <c r="Q509" s="14"/>
      <c r="R509" s="14"/>
      <c r="S509" s="14"/>
      <c r="T509" s="70"/>
      <c r="U509" s="76" t="s">
        <v>54</v>
      </c>
      <c r="V509" s="76"/>
      <c r="W509" s="76" t="s">
        <v>54</v>
      </c>
      <c r="X509" s="76"/>
      <c r="Y509" s="97"/>
      <c r="Z509" s="87"/>
      <c r="AA509" s="79"/>
      <c r="AB509" s="79" t="s">
        <v>37</v>
      </c>
      <c r="AC509" s="79" t="s">
        <v>37</v>
      </c>
      <c r="AD509" s="79"/>
      <c r="AE509" s="79"/>
      <c r="AF509" s="79"/>
      <c r="AG509" s="79"/>
      <c r="AH509" s="79"/>
      <c r="AI509" s="53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</row>
    <row r="510" spans="1:110" ht="13.8" x14ac:dyDescent="0.25">
      <c r="A510" s="24">
        <v>1301008</v>
      </c>
      <c r="B510" s="26" t="s">
        <v>600</v>
      </c>
      <c r="C510" s="12" t="s">
        <v>866</v>
      </c>
      <c r="D510" s="11"/>
      <c r="E510" s="17" t="s">
        <v>57</v>
      </c>
      <c r="F510" s="10" t="s">
        <v>34</v>
      </c>
      <c r="G510" s="55" t="str">
        <f t="shared" si="13"/>
        <v>Obsolete</v>
      </c>
      <c r="H510" s="10"/>
      <c r="I510" s="13"/>
      <c r="J510" s="56"/>
      <c r="K510" s="57"/>
      <c r="M510" s="14"/>
      <c r="N510" s="14"/>
      <c r="O510" s="14"/>
      <c r="P510" s="14"/>
      <c r="Q510" s="14"/>
      <c r="R510" s="14"/>
      <c r="S510" s="14"/>
      <c r="T510" s="70"/>
      <c r="U510" s="76" t="s">
        <v>54</v>
      </c>
      <c r="V510" s="76"/>
      <c r="W510" s="76" t="s">
        <v>54</v>
      </c>
      <c r="X510" s="76"/>
      <c r="Y510" s="97"/>
      <c r="Z510" s="78"/>
      <c r="AA510" s="79" t="s">
        <v>55</v>
      </c>
      <c r="AB510" s="79" t="s">
        <v>37</v>
      </c>
      <c r="AC510" s="79" t="s">
        <v>37</v>
      </c>
      <c r="AD510" s="79"/>
      <c r="AE510" s="79"/>
      <c r="AF510" s="79"/>
      <c r="AG510" s="79"/>
      <c r="AH510" s="79"/>
      <c r="AI510" s="53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</row>
    <row r="511" spans="1:110" ht="13.8" x14ac:dyDescent="0.25">
      <c r="A511" s="24">
        <v>1301009</v>
      </c>
      <c r="B511" s="26" t="s">
        <v>600</v>
      </c>
      <c r="C511" s="12" t="s">
        <v>867</v>
      </c>
      <c r="D511" s="11"/>
      <c r="E511" s="17" t="s">
        <v>57</v>
      </c>
      <c r="F511" s="10" t="s">
        <v>34</v>
      </c>
      <c r="G511" s="55" t="str">
        <f t="shared" si="13"/>
        <v>Obsolete</v>
      </c>
      <c r="H511" s="10"/>
      <c r="I511" s="13"/>
      <c r="J511" s="56"/>
      <c r="K511" s="57"/>
      <c r="M511" s="14"/>
      <c r="N511" s="14"/>
      <c r="O511" s="14"/>
      <c r="P511" s="14"/>
      <c r="Q511" s="14"/>
      <c r="R511" s="14"/>
      <c r="S511" s="14"/>
      <c r="T511" s="70"/>
      <c r="U511" s="76" t="s">
        <v>54</v>
      </c>
      <c r="V511" s="76"/>
      <c r="W511" s="76" t="s">
        <v>54</v>
      </c>
      <c r="X511" s="76"/>
      <c r="Y511" s="97"/>
      <c r="Z511" s="78"/>
      <c r="AA511" s="79" t="s">
        <v>55</v>
      </c>
      <c r="AB511" s="79" t="s">
        <v>37</v>
      </c>
      <c r="AC511" s="79" t="s">
        <v>37</v>
      </c>
      <c r="AD511" s="79"/>
      <c r="AE511" s="79"/>
      <c r="AF511" s="79"/>
      <c r="AG511" s="79"/>
      <c r="AH511" s="79"/>
      <c r="AI511" s="53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</row>
    <row r="512" spans="1:110" ht="13.8" x14ac:dyDescent="0.25">
      <c r="A512" s="24">
        <v>1301010</v>
      </c>
      <c r="B512" s="26" t="s">
        <v>600</v>
      </c>
      <c r="C512" s="12" t="s">
        <v>868</v>
      </c>
      <c r="D512" s="11"/>
      <c r="E512" s="17" t="s">
        <v>57</v>
      </c>
      <c r="F512" s="10" t="s">
        <v>34</v>
      </c>
      <c r="G512" s="55" t="str">
        <f t="shared" si="13"/>
        <v>Obsolete</v>
      </c>
      <c r="H512" s="10"/>
      <c r="I512" s="13"/>
      <c r="J512" s="56"/>
      <c r="K512" s="57"/>
      <c r="M512" s="14"/>
      <c r="N512" s="14"/>
      <c r="O512" s="14"/>
      <c r="P512" s="14"/>
      <c r="Q512" s="14"/>
      <c r="R512" s="14"/>
      <c r="S512" s="14"/>
      <c r="T512" s="70"/>
      <c r="U512" s="76" t="s">
        <v>54</v>
      </c>
      <c r="V512" s="76"/>
      <c r="W512" s="76" t="s">
        <v>54</v>
      </c>
      <c r="X512" s="76"/>
      <c r="Y512" s="97"/>
      <c r="Z512" s="78"/>
      <c r="AA512" s="79" t="s">
        <v>55</v>
      </c>
      <c r="AB512" s="79" t="s">
        <v>37</v>
      </c>
      <c r="AC512" s="79" t="s">
        <v>37</v>
      </c>
      <c r="AD512" s="79"/>
      <c r="AE512" s="79"/>
      <c r="AF512" s="79"/>
      <c r="AG512" s="79"/>
      <c r="AH512" s="79"/>
      <c r="AI512" s="53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</row>
    <row r="513" spans="1:110" ht="13.8" x14ac:dyDescent="0.25">
      <c r="A513" s="24">
        <v>1301012</v>
      </c>
      <c r="B513" s="26" t="s">
        <v>600</v>
      </c>
      <c r="C513" s="12" t="s">
        <v>869</v>
      </c>
      <c r="D513" s="11"/>
      <c r="E513" s="17" t="s">
        <v>57</v>
      </c>
      <c r="F513" s="10" t="s">
        <v>34</v>
      </c>
      <c r="G513" s="55" t="str">
        <f t="shared" si="13"/>
        <v>Obsolete</v>
      </c>
      <c r="H513" s="10"/>
      <c r="I513" s="13"/>
      <c r="J513" s="56"/>
      <c r="K513" s="57"/>
      <c r="M513" s="14"/>
      <c r="N513" s="14"/>
      <c r="O513" s="14"/>
      <c r="P513" s="14"/>
      <c r="Q513" s="14"/>
      <c r="R513" s="14"/>
      <c r="S513" s="14"/>
      <c r="T513" s="70"/>
      <c r="U513" s="76" t="s">
        <v>54</v>
      </c>
      <c r="V513" s="76"/>
      <c r="W513" s="76" t="s">
        <v>54</v>
      </c>
      <c r="X513" s="76"/>
      <c r="Y513" s="97"/>
      <c r="Z513" s="78"/>
      <c r="AA513" s="79" t="s">
        <v>55</v>
      </c>
      <c r="AB513" s="79" t="s">
        <v>37</v>
      </c>
      <c r="AC513" s="79" t="s">
        <v>37</v>
      </c>
      <c r="AD513" s="79"/>
      <c r="AE513" s="79"/>
      <c r="AF513" s="79"/>
      <c r="AG513" s="79"/>
      <c r="AH513" s="79"/>
      <c r="AI513" s="53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</row>
    <row r="514" spans="1:110" ht="13.8" x14ac:dyDescent="0.25">
      <c r="A514" s="24">
        <v>1301013</v>
      </c>
      <c r="B514" s="26" t="s">
        <v>600</v>
      </c>
      <c r="C514" s="12" t="s">
        <v>870</v>
      </c>
      <c r="D514" s="11"/>
      <c r="E514" s="17" t="s">
        <v>57</v>
      </c>
      <c r="F514" s="10" t="s">
        <v>34</v>
      </c>
      <c r="G514" s="55" t="str">
        <f t="shared" si="13"/>
        <v>Obsolete</v>
      </c>
      <c r="H514" s="10"/>
      <c r="I514" s="13"/>
      <c r="J514" s="56"/>
      <c r="K514" s="57"/>
      <c r="M514" s="14"/>
      <c r="N514" s="14"/>
      <c r="O514" s="14"/>
      <c r="P514" s="14"/>
      <c r="Q514" s="14"/>
      <c r="R514" s="14"/>
      <c r="S514" s="14"/>
      <c r="T514" s="70"/>
      <c r="U514" s="76" t="s">
        <v>54</v>
      </c>
      <c r="V514" s="76"/>
      <c r="W514" s="76" t="s">
        <v>54</v>
      </c>
      <c r="X514" s="76"/>
      <c r="Y514" s="97"/>
      <c r="Z514" s="78"/>
      <c r="AA514" s="79" t="s">
        <v>55</v>
      </c>
      <c r="AB514" s="79" t="s">
        <v>37</v>
      </c>
      <c r="AC514" s="79" t="s">
        <v>37</v>
      </c>
      <c r="AD514" s="79"/>
      <c r="AE514" s="79"/>
      <c r="AF514" s="79"/>
      <c r="AG514" s="79"/>
      <c r="AH514" s="79"/>
      <c r="AI514" s="53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</row>
    <row r="515" spans="1:110" ht="13.8" x14ac:dyDescent="0.25">
      <c r="A515" s="24">
        <v>1301014</v>
      </c>
      <c r="B515" s="26" t="s">
        <v>600</v>
      </c>
      <c r="C515" s="12" t="s">
        <v>871</v>
      </c>
      <c r="D515" s="11"/>
      <c r="E515" s="17" t="s">
        <v>57</v>
      </c>
      <c r="F515" s="10" t="s">
        <v>34</v>
      </c>
      <c r="G515" s="55" t="str">
        <f t="shared" si="13"/>
        <v>Obsolete</v>
      </c>
      <c r="H515" s="10"/>
      <c r="I515" s="13"/>
      <c r="J515" s="56"/>
      <c r="K515" s="57"/>
      <c r="M515" s="14"/>
      <c r="N515" s="14"/>
      <c r="O515" s="14"/>
      <c r="P515" s="14"/>
      <c r="Q515" s="14"/>
      <c r="R515" s="14"/>
      <c r="S515" s="14"/>
      <c r="T515" s="70"/>
      <c r="U515" s="76" t="s">
        <v>54</v>
      </c>
      <c r="V515" s="76"/>
      <c r="W515" s="76" t="s">
        <v>54</v>
      </c>
      <c r="X515" s="76"/>
      <c r="Y515" s="97"/>
      <c r="Z515" s="78"/>
      <c r="AA515" s="79" t="s">
        <v>55</v>
      </c>
      <c r="AB515" s="79" t="s">
        <v>37</v>
      </c>
      <c r="AC515" s="79" t="s">
        <v>37</v>
      </c>
      <c r="AD515" s="79"/>
      <c r="AE515" s="79"/>
      <c r="AF515" s="79"/>
      <c r="AG515" s="79"/>
      <c r="AH515" s="79"/>
      <c r="AI515" s="53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</row>
    <row r="516" spans="1:110" ht="13.8" x14ac:dyDescent="0.25">
      <c r="A516" s="24">
        <v>1301015</v>
      </c>
      <c r="B516" s="11"/>
      <c r="C516" s="12" t="s">
        <v>872</v>
      </c>
      <c r="D516" s="11"/>
      <c r="E516" s="10" t="s">
        <v>873</v>
      </c>
      <c r="F516" s="10" t="s">
        <v>34</v>
      </c>
      <c r="G516" s="55" t="str">
        <f t="shared" si="13"/>
        <v>Obsolete</v>
      </c>
      <c r="H516" s="10"/>
      <c r="I516" s="13"/>
      <c r="J516" s="56"/>
      <c r="K516" s="57"/>
      <c r="M516" s="14">
        <v>27.34</v>
      </c>
      <c r="N516" s="14"/>
      <c r="O516" s="14"/>
      <c r="P516" s="14"/>
      <c r="Q516" s="14"/>
      <c r="R516" s="14"/>
      <c r="S516" s="14"/>
      <c r="T516" s="70"/>
      <c r="U516" s="76" t="s">
        <v>54</v>
      </c>
      <c r="V516" s="76"/>
      <c r="W516" s="76" t="s">
        <v>54</v>
      </c>
      <c r="X516" s="76"/>
      <c r="Y516" s="97"/>
      <c r="Z516" s="78"/>
      <c r="AA516" s="79" t="s">
        <v>55</v>
      </c>
      <c r="AB516" s="79" t="s">
        <v>37</v>
      </c>
      <c r="AC516" s="79" t="s">
        <v>37</v>
      </c>
      <c r="AD516" s="79"/>
      <c r="AE516" s="79"/>
      <c r="AF516" s="79"/>
      <c r="AG516" s="79"/>
      <c r="AH516" s="79"/>
      <c r="AI516" s="53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</row>
    <row r="517" spans="1:110" ht="13.8" x14ac:dyDescent="0.25">
      <c r="A517" s="24">
        <v>1301016</v>
      </c>
      <c r="B517" s="26" t="s">
        <v>600</v>
      </c>
      <c r="C517" s="25" t="s">
        <v>874</v>
      </c>
      <c r="D517" s="26"/>
      <c r="E517" s="17" t="s">
        <v>57</v>
      </c>
      <c r="F517" s="10" t="s">
        <v>34</v>
      </c>
      <c r="G517" s="55" t="str">
        <f t="shared" si="13"/>
        <v>Obsolete</v>
      </c>
      <c r="H517" s="10"/>
      <c r="I517" s="13"/>
      <c r="J517" s="56"/>
      <c r="K517" s="57"/>
      <c r="M517" s="14"/>
      <c r="N517" s="14"/>
      <c r="O517" s="14"/>
      <c r="P517" s="14"/>
      <c r="Q517" s="14"/>
      <c r="R517" s="14"/>
      <c r="S517" s="14"/>
      <c r="T517" s="70"/>
      <c r="U517" s="76" t="s">
        <v>54</v>
      </c>
      <c r="V517" s="76"/>
      <c r="W517" s="76" t="s">
        <v>54</v>
      </c>
      <c r="X517" s="76"/>
      <c r="Y517" s="97"/>
      <c r="Z517" s="87"/>
      <c r="AA517" s="79"/>
      <c r="AB517" s="79" t="s">
        <v>37</v>
      </c>
      <c r="AC517" s="79" t="s">
        <v>37</v>
      </c>
      <c r="AD517" s="79"/>
      <c r="AE517" s="79"/>
      <c r="AF517" s="79"/>
      <c r="AG517" s="79"/>
      <c r="AH517" s="79"/>
      <c r="AI517" s="53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</row>
    <row r="518" spans="1:110" ht="13.8" x14ac:dyDescent="0.25">
      <c r="A518" s="24">
        <v>1301017</v>
      </c>
      <c r="B518" s="26" t="s">
        <v>600</v>
      </c>
      <c r="C518" s="25" t="s">
        <v>875</v>
      </c>
      <c r="D518" s="26"/>
      <c r="E518" s="17" t="s">
        <v>57</v>
      </c>
      <c r="F518" s="10" t="s">
        <v>34</v>
      </c>
      <c r="G518" s="55" t="str">
        <f t="shared" si="13"/>
        <v>Obsolete</v>
      </c>
      <c r="H518" s="10"/>
      <c r="I518" s="13"/>
      <c r="J518" s="56"/>
      <c r="K518" s="57"/>
      <c r="M518" s="14"/>
      <c r="N518" s="14"/>
      <c r="O518" s="14"/>
      <c r="P518" s="14"/>
      <c r="Q518" s="14"/>
      <c r="R518" s="14"/>
      <c r="S518" s="14"/>
      <c r="T518" s="70"/>
      <c r="U518" s="76" t="s">
        <v>54</v>
      </c>
      <c r="V518" s="76"/>
      <c r="W518" s="76" t="s">
        <v>54</v>
      </c>
      <c r="X518" s="76"/>
      <c r="Y518" s="97"/>
      <c r="Z518" s="87"/>
      <c r="AA518" s="79"/>
      <c r="AB518" s="79" t="s">
        <v>37</v>
      </c>
      <c r="AC518" s="79" t="s">
        <v>37</v>
      </c>
      <c r="AD518" s="79"/>
      <c r="AE518" s="79"/>
      <c r="AF518" s="79"/>
      <c r="AG518" s="79"/>
      <c r="AH518" s="79"/>
      <c r="AI518" s="53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</row>
    <row r="519" spans="1:110" ht="13.8" x14ac:dyDescent="0.25">
      <c r="A519" s="24">
        <v>1301018</v>
      </c>
      <c r="B519" s="26" t="s">
        <v>600</v>
      </c>
      <c r="C519" s="25" t="s">
        <v>876</v>
      </c>
      <c r="D519" s="26"/>
      <c r="E519" s="17" t="s">
        <v>57</v>
      </c>
      <c r="F519" s="10" t="s">
        <v>34</v>
      </c>
      <c r="G519" s="55" t="str">
        <f t="shared" si="13"/>
        <v>Obsolete</v>
      </c>
      <c r="H519" s="10"/>
      <c r="I519" s="13"/>
      <c r="J519" s="56"/>
      <c r="K519" s="57"/>
      <c r="M519" s="14"/>
      <c r="N519" s="14"/>
      <c r="O519" s="14"/>
      <c r="P519" s="14"/>
      <c r="Q519" s="14"/>
      <c r="R519" s="14"/>
      <c r="S519" s="14"/>
      <c r="T519" s="70"/>
      <c r="U519" s="76" t="s">
        <v>54</v>
      </c>
      <c r="V519" s="76"/>
      <c r="W519" s="76" t="s">
        <v>54</v>
      </c>
      <c r="X519" s="76"/>
      <c r="Y519" s="97"/>
      <c r="Z519" s="87"/>
      <c r="AA519" s="79"/>
      <c r="AB519" s="79" t="s">
        <v>37</v>
      </c>
      <c r="AC519" s="79" t="s">
        <v>37</v>
      </c>
      <c r="AD519" s="79"/>
      <c r="AE519" s="79"/>
      <c r="AF519" s="79"/>
      <c r="AG519" s="79"/>
      <c r="AH519" s="79"/>
      <c r="AI519" s="53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</row>
    <row r="520" spans="1:110" ht="13.8" x14ac:dyDescent="0.25">
      <c r="A520" s="24">
        <v>1301019</v>
      </c>
      <c r="B520" s="26" t="s">
        <v>600</v>
      </c>
      <c r="C520" s="12" t="s">
        <v>877</v>
      </c>
      <c r="D520" s="11"/>
      <c r="E520" s="10" t="s">
        <v>684</v>
      </c>
      <c r="F520" s="10" t="s">
        <v>878</v>
      </c>
      <c r="G520" s="55">
        <f t="shared" si="13"/>
        <v>108.6</v>
      </c>
      <c r="H520" s="10">
        <v>1</v>
      </c>
      <c r="I520" s="13"/>
      <c r="J520" s="56"/>
      <c r="K520" s="57"/>
      <c r="M520" s="14"/>
      <c r="N520" s="14"/>
      <c r="O520" s="14"/>
      <c r="P520" s="14"/>
      <c r="Q520" s="14"/>
      <c r="R520" s="14"/>
      <c r="S520" s="14"/>
      <c r="T520" s="70"/>
      <c r="U520" s="76">
        <v>89.28</v>
      </c>
      <c r="V520" s="76">
        <v>19.32</v>
      </c>
      <c r="W520" s="76">
        <v>89.28</v>
      </c>
      <c r="X520" s="76">
        <v>19.32</v>
      </c>
      <c r="Y520" s="97" t="s">
        <v>37</v>
      </c>
      <c r="Z520" s="78">
        <v>1</v>
      </c>
      <c r="AA520" s="79" t="s">
        <v>36</v>
      </c>
      <c r="AB520" s="79" t="s">
        <v>37</v>
      </c>
      <c r="AC520" s="79" t="s">
        <v>37</v>
      </c>
      <c r="AD520" s="79"/>
      <c r="AE520" s="79" t="s">
        <v>685</v>
      </c>
      <c r="AF520" s="79" t="s">
        <v>686</v>
      </c>
      <c r="AG520" s="79" t="s">
        <v>687</v>
      </c>
      <c r="AH520" s="79"/>
      <c r="AI520" s="53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</row>
    <row r="521" spans="1:110" ht="13.8" x14ac:dyDescent="0.25">
      <c r="A521" s="24">
        <v>1301020</v>
      </c>
      <c r="B521" s="26" t="s">
        <v>600</v>
      </c>
      <c r="C521" s="12" t="s">
        <v>879</v>
      </c>
      <c r="D521" s="11"/>
      <c r="E521" s="10" t="s">
        <v>684</v>
      </c>
      <c r="F521" s="10" t="s">
        <v>607</v>
      </c>
      <c r="G521" s="55" t="str">
        <f t="shared" si="13"/>
        <v>Obsolete</v>
      </c>
      <c r="H521" s="10"/>
      <c r="I521" s="13"/>
      <c r="J521" s="56"/>
      <c r="K521" s="57"/>
      <c r="M521" s="14"/>
      <c r="N521" s="14"/>
      <c r="O521" s="14"/>
      <c r="P521" s="14"/>
      <c r="Q521" s="14"/>
      <c r="R521" s="14"/>
      <c r="S521" s="14"/>
      <c r="T521" s="70"/>
      <c r="U521" s="76" t="s">
        <v>54</v>
      </c>
      <c r="V521" s="76"/>
      <c r="W521" s="76" t="s">
        <v>54</v>
      </c>
      <c r="X521" s="76"/>
      <c r="Y521" s="97"/>
      <c r="Z521" s="78"/>
      <c r="AA521" s="79" t="s">
        <v>36</v>
      </c>
      <c r="AB521" s="79" t="s">
        <v>37</v>
      </c>
      <c r="AC521" s="79" t="s">
        <v>37</v>
      </c>
      <c r="AD521" s="79"/>
      <c r="AE521" s="79" t="s">
        <v>685</v>
      </c>
      <c r="AF521" s="79" t="s">
        <v>686</v>
      </c>
      <c r="AG521" s="79" t="s">
        <v>687</v>
      </c>
      <c r="AH521" s="79"/>
      <c r="AI521" s="53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</row>
    <row r="522" spans="1:110" ht="13.8" x14ac:dyDescent="0.25">
      <c r="A522" s="24">
        <v>1301021</v>
      </c>
      <c r="B522" s="26" t="s">
        <v>600</v>
      </c>
      <c r="C522" s="12" t="s">
        <v>880</v>
      </c>
      <c r="D522" s="11"/>
      <c r="E522" s="10" t="s">
        <v>577</v>
      </c>
      <c r="F522" s="10" t="s">
        <v>34</v>
      </c>
      <c r="G522" s="55" t="str">
        <f t="shared" si="13"/>
        <v>Obsolete</v>
      </c>
      <c r="H522" s="10"/>
      <c r="I522" s="13">
        <v>33</v>
      </c>
      <c r="J522" s="56"/>
      <c r="K522" s="57"/>
      <c r="M522" s="14">
        <v>45.47</v>
      </c>
      <c r="N522" s="14"/>
      <c r="O522" s="14"/>
      <c r="P522" s="14"/>
      <c r="Q522" s="14"/>
      <c r="R522" s="14"/>
      <c r="S522" s="14"/>
      <c r="T522" s="70"/>
      <c r="U522" s="76" t="s">
        <v>54</v>
      </c>
      <c r="V522" s="76"/>
      <c r="W522" s="76" t="s">
        <v>54</v>
      </c>
      <c r="X522" s="76"/>
      <c r="Y522" s="97"/>
      <c r="Z522" s="78" t="s">
        <v>585</v>
      </c>
      <c r="AA522" s="79" t="s">
        <v>64</v>
      </c>
      <c r="AB522" s="79" t="s">
        <v>37</v>
      </c>
      <c r="AC522" s="79" t="s">
        <v>37</v>
      </c>
      <c r="AD522" s="79"/>
      <c r="AE522" s="79" t="s">
        <v>579</v>
      </c>
      <c r="AF522" s="79" t="s">
        <v>580</v>
      </c>
      <c r="AG522" s="105" t="s">
        <v>581</v>
      </c>
      <c r="AH522" s="79"/>
      <c r="AI522" s="53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</row>
    <row r="523" spans="1:110" ht="13.8" x14ac:dyDescent="0.25">
      <c r="A523" s="24">
        <v>1301022</v>
      </c>
      <c r="B523" s="11" t="s">
        <v>600</v>
      </c>
      <c r="C523" s="12" t="s">
        <v>881</v>
      </c>
      <c r="D523" s="11"/>
      <c r="E523" s="10" t="s">
        <v>584</v>
      </c>
      <c r="F523" s="10" t="s">
        <v>607</v>
      </c>
      <c r="G523" s="55">
        <f t="shared" si="13"/>
        <v>30.51</v>
      </c>
      <c r="H523" s="10">
        <v>4</v>
      </c>
      <c r="I523" s="13" t="s">
        <v>608</v>
      </c>
      <c r="J523" s="56"/>
      <c r="K523" s="57"/>
      <c r="M523" s="14">
        <v>7.84</v>
      </c>
      <c r="N523" s="14"/>
      <c r="O523" s="14"/>
      <c r="P523" s="14"/>
      <c r="Q523" s="14"/>
      <c r="R523" s="14"/>
      <c r="S523" s="14"/>
      <c r="T523" s="70"/>
      <c r="U523" s="76">
        <v>7.84</v>
      </c>
      <c r="V523" s="76">
        <v>22.67</v>
      </c>
      <c r="W523" s="76">
        <v>7.84</v>
      </c>
      <c r="X523" s="76">
        <v>22.67</v>
      </c>
      <c r="Y523" s="77" t="s">
        <v>37</v>
      </c>
      <c r="Z523" s="98" t="s">
        <v>608</v>
      </c>
      <c r="AA523" s="79" t="s">
        <v>58</v>
      </c>
      <c r="AB523" s="79" t="s">
        <v>35</v>
      </c>
      <c r="AC523" s="79" t="s">
        <v>37</v>
      </c>
      <c r="AD523" s="79"/>
      <c r="AE523" s="79" t="s">
        <v>609</v>
      </c>
      <c r="AF523" s="106" t="s">
        <v>610</v>
      </c>
      <c r="AG523" s="105" t="s">
        <v>611</v>
      </c>
      <c r="AH523" s="79"/>
      <c r="AI523" s="53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</row>
    <row r="524" spans="1:110" ht="13.8" x14ac:dyDescent="0.25">
      <c r="A524" s="24">
        <v>1301023</v>
      </c>
      <c r="B524" s="26" t="s">
        <v>882</v>
      </c>
      <c r="C524" s="25" t="s">
        <v>883</v>
      </c>
      <c r="D524" s="26"/>
      <c r="E524" s="10" t="s">
        <v>584</v>
      </c>
      <c r="F524" s="10" t="s">
        <v>607</v>
      </c>
      <c r="G524" s="55">
        <f t="shared" si="13"/>
        <v>34.160000000000004</v>
      </c>
      <c r="H524" s="10">
        <v>4</v>
      </c>
      <c r="I524" s="13" t="s">
        <v>608</v>
      </c>
      <c r="J524" s="56"/>
      <c r="K524" s="57"/>
      <c r="M524" s="14">
        <v>11.49</v>
      </c>
      <c r="N524" s="14"/>
      <c r="O524" s="14"/>
      <c r="P524" s="14"/>
      <c r="Q524" s="14"/>
      <c r="R524" s="14"/>
      <c r="S524" s="14"/>
      <c r="T524" s="70"/>
      <c r="U524" s="76">
        <v>11.49</v>
      </c>
      <c r="V524" s="76">
        <v>22.67</v>
      </c>
      <c r="W524" s="76">
        <v>11.49</v>
      </c>
      <c r="X524" s="76">
        <v>22.67</v>
      </c>
      <c r="Y524" s="77" t="s">
        <v>37</v>
      </c>
      <c r="Z524" s="98" t="s">
        <v>608</v>
      </c>
      <c r="AA524" s="79" t="s">
        <v>58</v>
      </c>
      <c r="AB524" s="79" t="s">
        <v>35</v>
      </c>
      <c r="AC524" s="79" t="s">
        <v>35</v>
      </c>
      <c r="AD524" s="79"/>
      <c r="AE524" s="79" t="s">
        <v>609</v>
      </c>
      <c r="AF524" s="106" t="s">
        <v>610</v>
      </c>
      <c r="AG524" s="105" t="s">
        <v>611</v>
      </c>
      <c r="AH524" s="79"/>
      <c r="AI524" s="53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</row>
    <row r="525" spans="1:110" ht="13.8" x14ac:dyDescent="0.25">
      <c r="A525" s="24">
        <v>1301024</v>
      </c>
      <c r="B525" s="26" t="s">
        <v>567</v>
      </c>
      <c r="C525" s="25" t="s">
        <v>884</v>
      </c>
      <c r="D525" s="26" t="s">
        <v>64</v>
      </c>
      <c r="E525" s="10" t="s">
        <v>684</v>
      </c>
      <c r="F525" s="10" t="s">
        <v>738</v>
      </c>
      <c r="G525" s="55" t="str">
        <f t="shared" si="13"/>
        <v>Obsolete</v>
      </c>
      <c r="H525" s="10"/>
      <c r="I525" s="13">
        <v>1</v>
      </c>
      <c r="J525" s="56"/>
      <c r="K525" s="57"/>
      <c r="M525" s="14">
        <v>180</v>
      </c>
      <c r="N525" s="14"/>
      <c r="O525" s="14"/>
      <c r="P525" s="14"/>
      <c r="Q525" s="14"/>
      <c r="R525" s="14"/>
      <c r="S525" s="14"/>
      <c r="T525" s="70"/>
      <c r="U525" s="76" t="s">
        <v>54</v>
      </c>
      <c r="V525" s="76"/>
      <c r="W525" s="76" t="s">
        <v>54</v>
      </c>
      <c r="X525" s="76"/>
      <c r="Y525" s="97"/>
      <c r="Z525" s="78" t="s">
        <v>738</v>
      </c>
      <c r="AA525" s="79" t="s">
        <v>64</v>
      </c>
      <c r="AB525" s="79" t="s">
        <v>37</v>
      </c>
      <c r="AC525" s="79" t="s">
        <v>37</v>
      </c>
      <c r="AD525" s="79"/>
      <c r="AE525" s="79" t="s">
        <v>885</v>
      </c>
      <c r="AF525" s="106"/>
      <c r="AG525" s="106"/>
      <c r="AH525" s="79"/>
      <c r="AI525" s="53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</row>
    <row r="526" spans="1:110" ht="13.8" x14ac:dyDescent="0.25">
      <c r="A526" s="24">
        <v>1301025</v>
      </c>
      <c r="B526" s="26" t="s">
        <v>882</v>
      </c>
      <c r="C526" s="25" t="s">
        <v>886</v>
      </c>
      <c r="D526" s="26" t="s">
        <v>64</v>
      </c>
      <c r="E526" s="10" t="s">
        <v>684</v>
      </c>
      <c r="F526" s="10" t="s">
        <v>738</v>
      </c>
      <c r="G526" s="55" t="str">
        <f t="shared" si="13"/>
        <v>Obsolete</v>
      </c>
      <c r="H526" s="10"/>
      <c r="I526" s="13">
        <v>1</v>
      </c>
      <c r="J526" s="56"/>
      <c r="K526" s="57"/>
      <c r="M526" s="14">
        <v>180</v>
      </c>
      <c r="N526" s="14"/>
      <c r="O526" s="14"/>
      <c r="P526" s="14"/>
      <c r="Q526" s="14"/>
      <c r="R526" s="14"/>
      <c r="S526" s="14"/>
      <c r="T526" s="70"/>
      <c r="U526" s="76" t="s">
        <v>54</v>
      </c>
      <c r="V526" s="76"/>
      <c r="W526" s="76" t="s">
        <v>54</v>
      </c>
      <c r="X526" s="76"/>
      <c r="Y526" s="97"/>
      <c r="Z526" s="78" t="s">
        <v>738</v>
      </c>
      <c r="AA526" s="79" t="s">
        <v>64</v>
      </c>
      <c r="AB526" s="79" t="s">
        <v>37</v>
      </c>
      <c r="AC526" s="79" t="s">
        <v>37</v>
      </c>
      <c r="AD526" s="79"/>
      <c r="AE526" s="79" t="s">
        <v>885</v>
      </c>
      <c r="AF526" s="106"/>
      <c r="AG526" s="106"/>
      <c r="AH526" s="79"/>
      <c r="AI526" s="53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</row>
    <row r="527" spans="1:110" ht="13.8" x14ac:dyDescent="0.25">
      <c r="A527" s="24">
        <v>1301026</v>
      </c>
      <c r="B527" s="26" t="s">
        <v>600</v>
      </c>
      <c r="C527" s="25" t="s">
        <v>887</v>
      </c>
      <c r="D527" s="26" t="s">
        <v>64</v>
      </c>
      <c r="E527" s="10" t="s">
        <v>684</v>
      </c>
      <c r="F527" s="10" t="s">
        <v>888</v>
      </c>
      <c r="G527" s="55" t="str">
        <f t="shared" si="13"/>
        <v>Obsolete</v>
      </c>
      <c r="H527" s="10"/>
      <c r="I527" s="13"/>
      <c r="J527" s="56"/>
      <c r="K527" s="57"/>
      <c r="M527" s="14">
        <v>5.77</v>
      </c>
      <c r="N527" s="14"/>
      <c r="O527" s="14"/>
      <c r="P527" s="14"/>
      <c r="Q527" s="14"/>
      <c r="R527" s="14"/>
      <c r="S527" s="14"/>
      <c r="T527" s="70"/>
      <c r="U527" s="76" t="s">
        <v>54</v>
      </c>
      <c r="V527" s="76"/>
      <c r="W527" s="76" t="s">
        <v>54</v>
      </c>
      <c r="X527" s="76"/>
      <c r="Y527" s="97"/>
      <c r="Z527" s="78" t="s">
        <v>889</v>
      </c>
      <c r="AA527" s="79" t="s">
        <v>64</v>
      </c>
      <c r="AB527" s="79" t="s">
        <v>37</v>
      </c>
      <c r="AC527" s="79" t="s">
        <v>37</v>
      </c>
      <c r="AD527" s="79"/>
      <c r="AE527" s="79"/>
      <c r="AF527" s="106"/>
      <c r="AG527" s="106"/>
      <c r="AH527" s="79"/>
      <c r="AI527" s="53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</row>
    <row r="528" spans="1:110" ht="13.8" x14ac:dyDescent="0.25">
      <c r="A528" s="24">
        <v>1301027</v>
      </c>
      <c r="B528" s="18" t="s">
        <v>600</v>
      </c>
      <c r="C528" s="31" t="s">
        <v>890</v>
      </c>
      <c r="D528" s="26"/>
      <c r="E528" s="10" t="s">
        <v>628</v>
      </c>
      <c r="F528" s="10" t="s">
        <v>607</v>
      </c>
      <c r="G528" s="55">
        <f t="shared" si="13"/>
        <v>526</v>
      </c>
      <c r="H528" s="10" t="s">
        <v>629</v>
      </c>
      <c r="I528" s="13" t="s">
        <v>891</v>
      </c>
      <c r="J528" s="56"/>
      <c r="K528" s="57"/>
      <c r="M528" s="14"/>
      <c r="N528" s="14"/>
      <c r="O528" s="14"/>
      <c r="P528" s="14"/>
      <c r="Q528" s="14"/>
      <c r="R528" s="14"/>
      <c r="S528" s="14"/>
      <c r="T528" s="70"/>
      <c r="U528" s="76">
        <v>6</v>
      </c>
      <c r="V528" s="76">
        <v>520</v>
      </c>
      <c r="W528" s="76">
        <v>6</v>
      </c>
      <c r="X528" s="76">
        <v>520</v>
      </c>
      <c r="Y528" s="77" t="s">
        <v>37</v>
      </c>
      <c r="Z528" s="78" t="s">
        <v>892</v>
      </c>
      <c r="AA528" s="79" t="s">
        <v>277</v>
      </c>
      <c r="AB528" s="79" t="s">
        <v>35</v>
      </c>
      <c r="AC528" s="79" t="s">
        <v>35</v>
      </c>
      <c r="AD528" s="79"/>
      <c r="AE528" s="79" t="s">
        <v>632</v>
      </c>
      <c r="AF528" s="106" t="s">
        <v>633</v>
      </c>
      <c r="AG528" s="79" t="s">
        <v>634</v>
      </c>
      <c r="AH528" s="79"/>
      <c r="AI528" s="53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</row>
    <row r="529" spans="1:110" ht="13.8" x14ac:dyDescent="0.25">
      <c r="A529" s="24">
        <v>1301028</v>
      </c>
      <c r="B529" s="18" t="s">
        <v>600</v>
      </c>
      <c r="C529" s="31" t="s">
        <v>893</v>
      </c>
      <c r="D529" s="26"/>
      <c r="E529" s="10" t="s">
        <v>628</v>
      </c>
      <c r="F529" s="10" t="s">
        <v>607</v>
      </c>
      <c r="G529" s="55">
        <f t="shared" si="13"/>
        <v>526</v>
      </c>
      <c r="H529" s="10" t="s">
        <v>629</v>
      </c>
      <c r="I529" s="13" t="s">
        <v>891</v>
      </c>
      <c r="J529" s="56"/>
      <c r="K529" s="57"/>
      <c r="M529" s="14"/>
      <c r="N529" s="14"/>
      <c r="O529" s="14"/>
      <c r="P529" s="14"/>
      <c r="Q529" s="14"/>
      <c r="R529" s="14"/>
      <c r="S529" s="14"/>
      <c r="T529" s="70"/>
      <c r="U529" s="76">
        <v>6</v>
      </c>
      <c r="V529" s="76">
        <v>520</v>
      </c>
      <c r="W529" s="76">
        <v>6</v>
      </c>
      <c r="X529" s="76">
        <v>520</v>
      </c>
      <c r="Y529" s="77" t="s">
        <v>37</v>
      </c>
      <c r="Z529" s="78" t="s">
        <v>892</v>
      </c>
      <c r="AA529" s="79" t="s">
        <v>277</v>
      </c>
      <c r="AB529" s="79" t="s">
        <v>35</v>
      </c>
      <c r="AC529" s="79" t="s">
        <v>35</v>
      </c>
      <c r="AD529" s="79"/>
      <c r="AE529" s="79" t="s">
        <v>632</v>
      </c>
      <c r="AF529" s="106" t="s">
        <v>633</v>
      </c>
      <c r="AG529" s="79" t="s">
        <v>634</v>
      </c>
      <c r="AH529" s="79"/>
      <c r="AI529" s="53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</row>
    <row r="530" spans="1:110" ht="13.8" x14ac:dyDescent="0.25">
      <c r="A530" s="24">
        <v>1301029</v>
      </c>
      <c r="B530" s="18" t="s">
        <v>882</v>
      </c>
      <c r="C530" s="31" t="s">
        <v>894</v>
      </c>
      <c r="D530" s="26"/>
      <c r="E530" s="10" t="s">
        <v>628</v>
      </c>
      <c r="F530" s="10" t="s">
        <v>607</v>
      </c>
      <c r="G530" s="55">
        <f t="shared" si="13"/>
        <v>555</v>
      </c>
      <c r="H530" s="10" t="s">
        <v>629</v>
      </c>
      <c r="I530" s="13" t="s">
        <v>630</v>
      </c>
      <c r="J530" s="56"/>
      <c r="K530" s="57"/>
      <c r="M530" s="14"/>
      <c r="N530" s="14"/>
      <c r="O530" s="14"/>
      <c r="P530" s="14"/>
      <c r="Q530" s="14"/>
      <c r="R530" s="14"/>
      <c r="S530" s="14"/>
      <c r="T530" s="70"/>
      <c r="U530" s="76">
        <v>35</v>
      </c>
      <c r="V530" s="76">
        <v>520</v>
      </c>
      <c r="W530" s="76">
        <v>35</v>
      </c>
      <c r="X530" s="76">
        <v>520</v>
      </c>
      <c r="Y530" s="77" t="s">
        <v>37</v>
      </c>
      <c r="Z530" s="78" t="s">
        <v>631</v>
      </c>
      <c r="AA530" s="79" t="s">
        <v>277</v>
      </c>
      <c r="AB530" s="79" t="s">
        <v>35</v>
      </c>
      <c r="AC530" s="79" t="s">
        <v>35</v>
      </c>
      <c r="AD530" s="79"/>
      <c r="AE530" s="79" t="s">
        <v>632</v>
      </c>
      <c r="AF530" s="106" t="s">
        <v>633</v>
      </c>
      <c r="AG530" s="79" t="s">
        <v>634</v>
      </c>
      <c r="AH530" s="79"/>
      <c r="AI530" s="53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</row>
    <row r="531" spans="1:110" ht="13.8" x14ac:dyDescent="0.25">
      <c r="A531" s="24">
        <v>1301030</v>
      </c>
      <c r="B531" s="18" t="s">
        <v>882</v>
      </c>
      <c r="C531" s="31" t="s">
        <v>895</v>
      </c>
      <c r="D531" s="26"/>
      <c r="E531" s="10" t="s">
        <v>628</v>
      </c>
      <c r="F531" s="10" t="s">
        <v>607</v>
      </c>
      <c r="G531" s="55">
        <f t="shared" si="13"/>
        <v>555</v>
      </c>
      <c r="H531" s="10" t="s">
        <v>629</v>
      </c>
      <c r="I531" s="13" t="s">
        <v>630</v>
      </c>
      <c r="J531" s="56"/>
      <c r="K531" s="57"/>
      <c r="M531" s="14"/>
      <c r="N531" s="14"/>
      <c r="O531" s="14"/>
      <c r="P531" s="14"/>
      <c r="Q531" s="14"/>
      <c r="R531" s="14"/>
      <c r="S531" s="14"/>
      <c r="T531" s="70"/>
      <c r="U531" s="76">
        <v>35</v>
      </c>
      <c r="V531" s="76">
        <v>520</v>
      </c>
      <c r="W531" s="76">
        <v>35</v>
      </c>
      <c r="X531" s="76">
        <v>520</v>
      </c>
      <c r="Y531" s="77" t="s">
        <v>37</v>
      </c>
      <c r="Z531" s="78" t="s">
        <v>631</v>
      </c>
      <c r="AA531" s="79" t="s">
        <v>277</v>
      </c>
      <c r="AB531" s="79" t="s">
        <v>35</v>
      </c>
      <c r="AC531" s="79" t="s">
        <v>35</v>
      </c>
      <c r="AD531" s="79"/>
      <c r="AE531" s="79" t="s">
        <v>632</v>
      </c>
      <c r="AF531" s="106" t="s">
        <v>633</v>
      </c>
      <c r="AG531" s="79" t="s">
        <v>634</v>
      </c>
      <c r="AH531" s="79"/>
      <c r="AI531" s="53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</row>
    <row r="532" spans="1:110" ht="13.8" x14ac:dyDescent="0.25">
      <c r="A532" s="24">
        <v>1301100</v>
      </c>
      <c r="B532" s="26" t="s">
        <v>600</v>
      </c>
      <c r="C532" s="25" t="s">
        <v>896</v>
      </c>
      <c r="D532" s="26" t="s">
        <v>622</v>
      </c>
      <c r="E532" s="10" t="s">
        <v>622</v>
      </c>
      <c r="F532" s="10" t="s">
        <v>878</v>
      </c>
      <c r="G532" s="55" t="str">
        <f t="shared" si="13"/>
        <v>Obsolete</v>
      </c>
      <c r="H532" s="10"/>
      <c r="I532" s="13"/>
      <c r="J532" s="56"/>
      <c r="K532" s="57"/>
      <c r="M532" s="14"/>
      <c r="N532" s="14"/>
      <c r="O532" s="14"/>
      <c r="P532" s="14"/>
      <c r="Q532" s="14"/>
      <c r="R532" s="14"/>
      <c r="S532" s="14"/>
      <c r="T532" s="70"/>
      <c r="U532" s="76" t="s">
        <v>54</v>
      </c>
      <c r="V532" s="76"/>
      <c r="W532" s="76" t="s">
        <v>54</v>
      </c>
      <c r="X532" s="76"/>
      <c r="Y532" s="97"/>
      <c r="Z532" s="78"/>
      <c r="AA532" s="79"/>
      <c r="AB532" s="79" t="s">
        <v>37</v>
      </c>
      <c r="AC532" s="79" t="s">
        <v>37</v>
      </c>
      <c r="AD532" s="79"/>
      <c r="AE532" s="79"/>
      <c r="AF532" s="106"/>
      <c r="AG532" s="106"/>
      <c r="AH532" s="79"/>
      <c r="AI532" s="53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</row>
    <row r="533" spans="1:110" ht="13.8" x14ac:dyDescent="0.25">
      <c r="A533" s="24">
        <v>1301101</v>
      </c>
      <c r="B533" s="26"/>
      <c r="C533" s="25" t="s">
        <v>897</v>
      </c>
      <c r="D533" s="26" t="s">
        <v>622</v>
      </c>
      <c r="E533" s="10" t="s">
        <v>622</v>
      </c>
      <c r="F533" s="10" t="s">
        <v>878</v>
      </c>
      <c r="G533" s="55" t="str">
        <f t="shared" si="13"/>
        <v>Obsolete</v>
      </c>
      <c r="H533" s="10"/>
      <c r="I533" s="13"/>
      <c r="J533" s="56"/>
      <c r="K533" s="57"/>
      <c r="M533" s="14"/>
      <c r="N533" s="14"/>
      <c r="O533" s="14"/>
      <c r="P533" s="14"/>
      <c r="Q533" s="14"/>
      <c r="R533" s="14"/>
      <c r="S533" s="14"/>
      <c r="T533" s="70"/>
      <c r="U533" s="76" t="s">
        <v>54</v>
      </c>
      <c r="V533" s="97"/>
      <c r="W533" s="76" t="s">
        <v>54</v>
      </c>
      <c r="X533" s="76"/>
      <c r="Y533" s="97"/>
      <c r="Z533" s="78"/>
      <c r="AA533" s="79"/>
      <c r="AB533" s="79" t="s">
        <v>37</v>
      </c>
      <c r="AC533" s="79" t="s">
        <v>37</v>
      </c>
      <c r="AD533" s="79"/>
      <c r="AE533" s="79"/>
      <c r="AF533" s="106"/>
      <c r="AG533" s="106"/>
      <c r="AH533" s="79"/>
      <c r="AI533" s="53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</row>
    <row r="534" spans="1:110" ht="20.399999999999999" x14ac:dyDescent="0.25">
      <c r="A534" s="24">
        <v>1301102</v>
      </c>
      <c r="B534" s="26" t="s">
        <v>600</v>
      </c>
      <c r="C534" s="25" t="s">
        <v>898</v>
      </c>
      <c r="D534" s="26"/>
      <c r="E534" s="10" t="s">
        <v>189</v>
      </c>
      <c r="F534" s="10" t="s">
        <v>607</v>
      </c>
      <c r="G534" s="55" t="str">
        <f t="shared" si="13"/>
        <v>Obsolete</v>
      </c>
      <c r="H534" s="10"/>
      <c r="I534" s="13"/>
      <c r="J534" s="56"/>
      <c r="K534" s="57"/>
      <c r="M534" s="14"/>
      <c r="N534" s="14"/>
      <c r="O534" s="14"/>
      <c r="P534" s="14"/>
      <c r="Q534" s="14"/>
      <c r="R534" s="14"/>
      <c r="S534" s="14"/>
      <c r="T534" s="70"/>
      <c r="U534" s="76" t="s">
        <v>54</v>
      </c>
      <c r="V534" s="76">
        <v>0</v>
      </c>
      <c r="W534" s="76" t="s">
        <v>54</v>
      </c>
      <c r="X534" s="76">
        <v>0</v>
      </c>
      <c r="Y534" s="77" t="s">
        <v>37</v>
      </c>
      <c r="Z534" s="78"/>
      <c r="AA534" s="79" t="s">
        <v>189</v>
      </c>
      <c r="AB534" s="79" t="s">
        <v>37</v>
      </c>
      <c r="AC534" s="79" t="s">
        <v>35</v>
      </c>
      <c r="AD534" s="91" t="s">
        <v>57</v>
      </c>
      <c r="AE534" s="79"/>
      <c r="AF534" s="106"/>
      <c r="AG534" s="106"/>
      <c r="AH534" s="79"/>
      <c r="AI534" s="53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</row>
    <row r="535" spans="1:110" ht="13.8" x14ac:dyDescent="0.25">
      <c r="A535" s="24">
        <v>1301103</v>
      </c>
      <c r="B535" s="26" t="s">
        <v>600</v>
      </c>
      <c r="C535" s="25" t="s">
        <v>899</v>
      </c>
      <c r="D535" s="26"/>
      <c r="E535" s="10" t="s">
        <v>614</v>
      </c>
      <c r="F535" s="10" t="s">
        <v>607</v>
      </c>
      <c r="G535" s="55">
        <f t="shared" si="13"/>
        <v>0</v>
      </c>
      <c r="H535" s="10">
        <v>4</v>
      </c>
      <c r="I535" s="13"/>
      <c r="J535" s="56"/>
      <c r="K535" s="57"/>
      <c r="M535" s="14"/>
      <c r="N535" s="14"/>
      <c r="O535" s="14"/>
      <c r="P535" s="14"/>
      <c r="Q535" s="14"/>
      <c r="R535" s="14"/>
      <c r="S535" s="14"/>
      <c r="T535" s="70"/>
      <c r="U535" s="76">
        <v>0</v>
      </c>
      <c r="V535" s="97">
        <v>0</v>
      </c>
      <c r="W535" s="76">
        <v>0</v>
      </c>
      <c r="X535" s="76">
        <v>0</v>
      </c>
      <c r="Y535" s="97" t="s">
        <v>35</v>
      </c>
      <c r="Z535" s="87">
        <v>1.62</v>
      </c>
      <c r="AA535" s="79" t="s">
        <v>272</v>
      </c>
      <c r="AB535" s="79" t="s">
        <v>35</v>
      </c>
      <c r="AC535" s="79" t="s">
        <v>35</v>
      </c>
      <c r="AD535" s="79"/>
      <c r="AE535" s="79"/>
      <c r="AF535" s="79"/>
      <c r="AG535" s="79"/>
      <c r="AH535" s="79"/>
      <c r="AI535" s="53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</row>
    <row r="536" spans="1:110" ht="13.8" x14ac:dyDescent="0.25">
      <c r="A536" s="24">
        <v>1301104</v>
      </c>
      <c r="B536" s="26" t="s">
        <v>600</v>
      </c>
      <c r="C536" s="25" t="s">
        <v>900</v>
      </c>
      <c r="D536" s="26"/>
      <c r="E536" s="10" t="s">
        <v>617</v>
      </c>
      <c r="F536" s="10" t="s">
        <v>618</v>
      </c>
      <c r="G536" s="55">
        <f t="shared" si="13"/>
        <v>13.680317040951124</v>
      </c>
      <c r="H536" s="10">
        <v>2</v>
      </c>
      <c r="I536" s="36">
        <v>3.7850000000000001</v>
      </c>
      <c r="J536" s="56"/>
      <c r="K536" s="57"/>
      <c r="M536" s="14"/>
      <c r="N536" s="14"/>
      <c r="O536" s="14"/>
      <c r="P536" s="14"/>
      <c r="Q536" s="14"/>
      <c r="R536" s="14"/>
      <c r="S536" s="14"/>
      <c r="T536" s="70"/>
      <c r="U536" s="76">
        <v>13.680317040951124</v>
      </c>
      <c r="V536" s="76">
        <v>0</v>
      </c>
      <c r="W536" s="76">
        <v>13.680317040951124</v>
      </c>
      <c r="X536" s="76">
        <v>0</v>
      </c>
      <c r="Y536" s="97"/>
      <c r="Z536" s="107">
        <v>3.7850000000000001</v>
      </c>
      <c r="AA536" s="79" t="s">
        <v>121</v>
      </c>
      <c r="AB536" s="79" t="s">
        <v>35</v>
      </c>
      <c r="AC536" s="79"/>
      <c r="AD536" s="79" t="s">
        <v>38</v>
      </c>
      <c r="AE536" s="79" t="s">
        <v>619</v>
      </c>
      <c r="AF536" s="106"/>
      <c r="AG536" s="79" t="s">
        <v>620</v>
      </c>
      <c r="AH536" s="79"/>
      <c r="AI536" s="53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</row>
    <row r="537" spans="1:110" ht="13.8" x14ac:dyDescent="0.25">
      <c r="A537" s="24">
        <v>1301105</v>
      </c>
      <c r="B537" s="26" t="s">
        <v>600</v>
      </c>
      <c r="C537" s="25" t="s">
        <v>901</v>
      </c>
      <c r="D537" s="26"/>
      <c r="E537" s="10" t="s">
        <v>617</v>
      </c>
      <c r="F537" s="10" t="s">
        <v>618</v>
      </c>
      <c r="G537" s="55">
        <f t="shared" si="13"/>
        <v>12.697490092470279</v>
      </c>
      <c r="H537" s="10">
        <v>2</v>
      </c>
      <c r="I537" s="36">
        <v>3.7850000000000001</v>
      </c>
      <c r="J537" s="56"/>
      <c r="K537" s="57"/>
      <c r="M537" s="14"/>
      <c r="N537" s="14"/>
      <c r="O537" s="14"/>
      <c r="P537" s="14"/>
      <c r="Q537" s="14"/>
      <c r="R537" s="14"/>
      <c r="S537" s="14"/>
      <c r="T537" s="70"/>
      <c r="U537" s="76">
        <v>12.697490092470279</v>
      </c>
      <c r="V537" s="76">
        <v>0</v>
      </c>
      <c r="W537" s="76">
        <v>12.697490092470279</v>
      </c>
      <c r="X537" s="76">
        <v>0</v>
      </c>
      <c r="Y537" s="97"/>
      <c r="Z537" s="107">
        <v>0.94599999999999995</v>
      </c>
      <c r="AA537" s="79" t="s">
        <v>121</v>
      </c>
      <c r="AB537" s="79" t="s">
        <v>35</v>
      </c>
      <c r="AC537" s="79"/>
      <c r="AD537" s="79" t="s">
        <v>38</v>
      </c>
      <c r="AE537" s="79" t="s">
        <v>619</v>
      </c>
      <c r="AF537" s="106"/>
      <c r="AG537" s="79" t="s">
        <v>620</v>
      </c>
      <c r="AH537" s="79"/>
      <c r="AI537" s="53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</row>
    <row r="538" spans="1:110" ht="13.8" x14ac:dyDescent="0.25">
      <c r="A538" s="24">
        <v>1301106</v>
      </c>
      <c r="B538" s="26" t="s">
        <v>600</v>
      </c>
      <c r="C538" s="25" t="s">
        <v>902</v>
      </c>
      <c r="D538" s="26"/>
      <c r="E538" s="10" t="s">
        <v>289</v>
      </c>
      <c r="F538" s="10"/>
      <c r="G538" s="55"/>
      <c r="H538" s="10"/>
      <c r="I538" s="36"/>
      <c r="J538" s="56"/>
      <c r="K538" s="57"/>
      <c r="M538" s="14"/>
      <c r="N538" s="14"/>
      <c r="O538" s="14"/>
      <c r="P538" s="14"/>
      <c r="Q538" s="14"/>
      <c r="R538" s="14"/>
      <c r="S538" s="14"/>
      <c r="T538" s="70"/>
      <c r="U538" s="76"/>
      <c r="V538" s="76"/>
      <c r="W538" s="76"/>
      <c r="X538" s="76"/>
      <c r="Y538" s="97"/>
      <c r="Z538" s="107"/>
      <c r="AA538" s="79"/>
      <c r="AB538" s="79"/>
      <c r="AC538" s="79"/>
      <c r="AD538" s="79"/>
      <c r="AE538" s="79"/>
      <c r="AF538" s="106"/>
      <c r="AG538" s="79"/>
      <c r="AH538" s="79"/>
      <c r="AI538" s="53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</row>
    <row r="539" spans="1:110" ht="13.8" x14ac:dyDescent="0.25">
      <c r="A539" s="24">
        <v>1301107</v>
      </c>
      <c r="B539" s="26" t="s">
        <v>600</v>
      </c>
      <c r="C539" s="25" t="s">
        <v>903</v>
      </c>
      <c r="D539" s="26"/>
      <c r="E539" s="10" t="s">
        <v>742</v>
      </c>
      <c r="F539" s="10"/>
      <c r="G539" s="55"/>
      <c r="H539" s="10"/>
      <c r="I539" s="36"/>
      <c r="J539" s="56"/>
      <c r="K539" s="57"/>
      <c r="M539" s="14"/>
      <c r="N539" s="14"/>
      <c r="O539" s="14"/>
      <c r="P539" s="14"/>
      <c r="Q539" s="14"/>
      <c r="R539" s="14"/>
      <c r="S539" s="14"/>
      <c r="T539" s="70"/>
      <c r="U539" s="76"/>
      <c r="V539" s="76"/>
      <c r="W539" s="76"/>
      <c r="X539" s="76"/>
      <c r="Y539" s="97"/>
      <c r="Z539" s="107"/>
      <c r="AA539" s="79"/>
      <c r="AB539" s="79"/>
      <c r="AC539" s="79"/>
      <c r="AD539" s="79"/>
      <c r="AE539" s="79"/>
      <c r="AF539" s="106"/>
      <c r="AG539" s="79"/>
      <c r="AH539" s="79"/>
      <c r="AI539" s="53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</row>
    <row r="540" spans="1:110" ht="20.399999999999999" x14ac:dyDescent="0.25">
      <c r="A540" s="24">
        <v>1301108</v>
      </c>
      <c r="B540" s="26" t="s">
        <v>600</v>
      </c>
      <c r="C540" s="25" t="s">
        <v>1560</v>
      </c>
      <c r="D540" s="26"/>
      <c r="E540" s="10" t="s">
        <v>577</v>
      </c>
      <c r="F540" s="10" t="s">
        <v>623</v>
      </c>
      <c r="G540" s="55">
        <f t="shared" ref="G540:G558" si="14">IF(U540="Obsolete",U540,U540+V540)</f>
        <v>25.2</v>
      </c>
      <c r="H540" s="10">
        <v>14</v>
      </c>
      <c r="I540" s="36">
        <v>5</v>
      </c>
      <c r="J540" s="56"/>
      <c r="K540" s="57"/>
      <c r="M540" s="14">
        <v>25.2</v>
      </c>
      <c r="N540" s="14"/>
      <c r="O540" s="14"/>
      <c r="P540" s="14"/>
      <c r="Q540" s="14"/>
      <c r="R540" s="14"/>
      <c r="S540" s="14"/>
      <c r="T540" s="70"/>
      <c r="U540" s="76">
        <v>25.2</v>
      </c>
      <c r="V540" s="76">
        <v>0</v>
      </c>
      <c r="W540" s="76">
        <v>25.2</v>
      </c>
      <c r="X540" s="76">
        <v>0</v>
      </c>
      <c r="Y540" s="97" t="s">
        <v>37</v>
      </c>
      <c r="Z540" s="107">
        <v>5</v>
      </c>
      <c r="AA540" s="79" t="s">
        <v>284</v>
      </c>
      <c r="AB540" s="79" t="s">
        <v>35</v>
      </c>
      <c r="AC540" s="79" t="s">
        <v>37</v>
      </c>
      <c r="AD540" s="79" t="s">
        <v>38</v>
      </c>
      <c r="AE540" s="79" t="s">
        <v>1556</v>
      </c>
      <c r="AF540" s="106" t="s">
        <v>1557</v>
      </c>
      <c r="AG540" s="79" t="s">
        <v>1558</v>
      </c>
      <c r="AH540" s="79"/>
      <c r="AI540" s="53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</row>
    <row r="541" spans="1:110" ht="13.8" x14ac:dyDescent="0.25">
      <c r="A541" s="24">
        <v>1301109</v>
      </c>
      <c r="B541" s="26" t="s">
        <v>600</v>
      </c>
      <c r="C541" s="25" t="s">
        <v>1613</v>
      </c>
      <c r="D541" s="26"/>
      <c r="E541" s="10" t="s">
        <v>1612</v>
      </c>
      <c r="F541" s="10"/>
      <c r="G541" s="55">
        <f t="shared" si="14"/>
        <v>0</v>
      </c>
      <c r="H541" s="10"/>
      <c r="I541" s="36"/>
      <c r="J541" s="56"/>
      <c r="K541" s="57"/>
      <c r="M541" s="14"/>
      <c r="N541" s="14"/>
      <c r="O541" s="14"/>
      <c r="P541" s="14"/>
      <c r="Q541" s="14"/>
      <c r="R541" s="14"/>
      <c r="S541" s="14"/>
      <c r="T541" s="70"/>
      <c r="U541" s="76"/>
      <c r="V541" s="76"/>
      <c r="W541" s="76"/>
      <c r="X541" s="76"/>
      <c r="Y541" s="97"/>
      <c r="Z541" s="107"/>
      <c r="AA541" s="79"/>
      <c r="AB541" s="79"/>
      <c r="AC541" s="79"/>
      <c r="AD541" s="79"/>
      <c r="AE541" s="79"/>
      <c r="AF541" s="106"/>
      <c r="AG541" s="79"/>
      <c r="AH541" s="79"/>
      <c r="AI541" s="53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</row>
    <row r="542" spans="1:110" ht="13.8" x14ac:dyDescent="0.25">
      <c r="A542" s="24">
        <v>1302001</v>
      </c>
      <c r="B542" s="11" t="s">
        <v>882</v>
      </c>
      <c r="C542" s="12" t="s">
        <v>886</v>
      </c>
      <c r="D542" s="11"/>
      <c r="E542" s="10" t="s">
        <v>684</v>
      </c>
      <c r="F542" s="10" t="s">
        <v>904</v>
      </c>
      <c r="G542" s="55">
        <f t="shared" si="14"/>
        <v>52.519999999999996</v>
      </c>
      <c r="H542" s="10">
        <v>1</v>
      </c>
      <c r="I542" s="13" t="s">
        <v>905</v>
      </c>
      <c r="J542" s="56">
        <v>44348</v>
      </c>
      <c r="K542" s="57">
        <v>47.519999999999996</v>
      </c>
      <c r="M542" s="14"/>
      <c r="N542" s="14"/>
      <c r="O542" s="14"/>
      <c r="P542" s="14"/>
      <c r="Q542" s="14"/>
      <c r="R542" s="14"/>
      <c r="S542" s="14"/>
      <c r="T542" s="70"/>
      <c r="U542" s="76">
        <v>47</v>
      </c>
      <c r="V542" s="97">
        <v>5.52</v>
      </c>
      <c r="W542" s="76">
        <v>47</v>
      </c>
      <c r="X542" s="76">
        <v>5.52</v>
      </c>
      <c r="Y542" s="97" t="s">
        <v>37</v>
      </c>
      <c r="Z542" s="78"/>
      <c r="AA542" s="79" t="s">
        <v>36</v>
      </c>
      <c r="AB542" s="79" t="s">
        <v>37</v>
      </c>
      <c r="AC542" s="79" t="s">
        <v>37</v>
      </c>
      <c r="AD542" s="91" t="s">
        <v>57</v>
      </c>
      <c r="AE542" s="79" t="s">
        <v>685</v>
      </c>
      <c r="AF542" s="79" t="s">
        <v>686</v>
      </c>
      <c r="AG542" s="79" t="s">
        <v>687</v>
      </c>
      <c r="AH542" s="79"/>
      <c r="AI542" s="53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</row>
    <row r="543" spans="1:110" ht="13.8" x14ac:dyDescent="0.25">
      <c r="A543" s="24">
        <v>1302004</v>
      </c>
      <c r="B543" s="11" t="s">
        <v>882</v>
      </c>
      <c r="C543" s="12" t="s">
        <v>906</v>
      </c>
      <c r="D543" s="11"/>
      <c r="E543" s="10" t="s">
        <v>55</v>
      </c>
      <c r="F543" s="10" t="s">
        <v>34</v>
      </c>
      <c r="G543" s="55" t="str">
        <f t="shared" si="14"/>
        <v>Obsolete</v>
      </c>
      <c r="H543" s="10"/>
      <c r="I543" s="13"/>
      <c r="J543" s="56"/>
      <c r="K543" s="57"/>
      <c r="M543" s="14">
        <v>120.48</v>
      </c>
      <c r="N543" s="14"/>
      <c r="O543" s="14"/>
      <c r="P543" s="14"/>
      <c r="Q543" s="14"/>
      <c r="R543" s="14"/>
      <c r="S543" s="14"/>
      <c r="T543" s="70"/>
      <c r="U543" s="76" t="s">
        <v>54</v>
      </c>
      <c r="V543" s="97"/>
      <c r="W543" s="76" t="s">
        <v>54</v>
      </c>
      <c r="X543" s="76"/>
      <c r="Y543" s="97"/>
      <c r="Z543" s="78"/>
      <c r="AA543" s="79" t="s">
        <v>55</v>
      </c>
      <c r="AB543" s="79" t="s">
        <v>37</v>
      </c>
      <c r="AC543" s="79" t="s">
        <v>37</v>
      </c>
      <c r="AD543" s="79"/>
      <c r="AE543" s="79"/>
      <c r="AF543" s="79"/>
      <c r="AG543" s="79"/>
      <c r="AH543" s="79"/>
      <c r="AI543" s="53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</row>
    <row r="544" spans="1:110" ht="13.8" x14ac:dyDescent="0.25">
      <c r="A544" s="24">
        <v>1302006</v>
      </c>
      <c r="B544" s="11" t="s">
        <v>882</v>
      </c>
      <c r="C544" s="12" t="s">
        <v>907</v>
      </c>
      <c r="D544" s="11"/>
      <c r="E544" s="17" t="s">
        <v>57</v>
      </c>
      <c r="F544" s="10" t="s">
        <v>34</v>
      </c>
      <c r="G544" s="55" t="str">
        <f t="shared" si="14"/>
        <v>Obsolete</v>
      </c>
      <c r="H544" s="10"/>
      <c r="I544" s="13"/>
      <c r="J544" s="56"/>
      <c r="K544" s="57"/>
      <c r="M544" s="14"/>
      <c r="N544" s="14"/>
      <c r="O544" s="14"/>
      <c r="P544" s="14"/>
      <c r="Q544" s="14"/>
      <c r="R544" s="14"/>
      <c r="S544" s="14"/>
      <c r="T544" s="70"/>
      <c r="U544" s="76" t="s">
        <v>54</v>
      </c>
      <c r="V544" s="97"/>
      <c r="W544" s="76" t="s">
        <v>54</v>
      </c>
      <c r="X544" s="76"/>
      <c r="Y544" s="97"/>
      <c r="Z544" s="78"/>
      <c r="AA544" s="79" t="s">
        <v>55</v>
      </c>
      <c r="AB544" s="79" t="s">
        <v>37</v>
      </c>
      <c r="AC544" s="79" t="s">
        <v>37</v>
      </c>
      <c r="AD544" s="79"/>
      <c r="AE544" s="79"/>
      <c r="AF544" s="79"/>
      <c r="AG544" s="79"/>
      <c r="AH544" s="79"/>
      <c r="AI544" s="53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</row>
    <row r="545" spans="1:110" ht="13.8" x14ac:dyDescent="0.25">
      <c r="A545" s="24">
        <v>1302007</v>
      </c>
      <c r="B545" s="11" t="s">
        <v>882</v>
      </c>
      <c r="C545" s="12" t="s">
        <v>908</v>
      </c>
      <c r="D545" s="11"/>
      <c r="E545" s="17" t="s">
        <v>57</v>
      </c>
      <c r="F545" s="10" t="s">
        <v>34</v>
      </c>
      <c r="G545" s="55" t="str">
        <f t="shared" si="14"/>
        <v>Obsolete</v>
      </c>
      <c r="H545" s="10"/>
      <c r="I545" s="13"/>
      <c r="J545" s="56"/>
      <c r="K545" s="57"/>
      <c r="M545" s="14"/>
      <c r="N545" s="14"/>
      <c r="O545" s="14"/>
      <c r="P545" s="14"/>
      <c r="Q545" s="14"/>
      <c r="R545" s="14"/>
      <c r="S545" s="14"/>
      <c r="T545" s="70"/>
      <c r="U545" s="76" t="s">
        <v>54</v>
      </c>
      <c r="V545" s="97"/>
      <c r="W545" s="76" t="s">
        <v>54</v>
      </c>
      <c r="X545" s="76"/>
      <c r="Y545" s="97"/>
      <c r="Z545" s="78"/>
      <c r="AA545" s="79" t="s">
        <v>55</v>
      </c>
      <c r="AB545" s="79" t="s">
        <v>37</v>
      </c>
      <c r="AC545" s="79" t="s">
        <v>37</v>
      </c>
      <c r="AD545" s="79"/>
      <c r="AE545" s="79"/>
      <c r="AF545" s="79"/>
      <c r="AG545" s="79"/>
      <c r="AH545" s="79"/>
      <c r="AI545" s="53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</row>
    <row r="546" spans="1:110" ht="13.8" x14ac:dyDescent="0.25">
      <c r="A546" s="24">
        <v>1302008</v>
      </c>
      <c r="B546" s="26" t="s">
        <v>882</v>
      </c>
      <c r="C546" s="25" t="s">
        <v>909</v>
      </c>
      <c r="D546" s="26"/>
      <c r="E546" s="17" t="s">
        <v>57</v>
      </c>
      <c r="F546" s="10" t="s">
        <v>34</v>
      </c>
      <c r="G546" s="55" t="str">
        <f t="shared" si="14"/>
        <v>Obsolete</v>
      </c>
      <c r="H546" s="10"/>
      <c r="I546" s="13"/>
      <c r="J546" s="56"/>
      <c r="K546" s="57"/>
      <c r="M546" s="14"/>
      <c r="N546" s="14"/>
      <c r="O546" s="14"/>
      <c r="P546" s="14"/>
      <c r="Q546" s="14"/>
      <c r="R546" s="14"/>
      <c r="S546" s="14"/>
      <c r="T546" s="70"/>
      <c r="U546" s="76" t="s">
        <v>54</v>
      </c>
      <c r="V546" s="97"/>
      <c r="W546" s="76" t="s">
        <v>54</v>
      </c>
      <c r="X546" s="76"/>
      <c r="Y546" s="97"/>
      <c r="Z546" s="87"/>
      <c r="AA546" s="79"/>
      <c r="AB546" s="79" t="s">
        <v>37</v>
      </c>
      <c r="AC546" s="79" t="s">
        <v>37</v>
      </c>
      <c r="AD546" s="79"/>
      <c r="AE546" s="79"/>
      <c r="AF546" s="79"/>
      <c r="AG546" s="79"/>
      <c r="AH546" s="79"/>
      <c r="AI546" s="53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</row>
    <row r="547" spans="1:110" ht="13.8" x14ac:dyDescent="0.25">
      <c r="A547" s="24">
        <v>1302009</v>
      </c>
      <c r="B547" s="11" t="s">
        <v>882</v>
      </c>
      <c r="C547" s="12" t="s">
        <v>910</v>
      </c>
      <c r="D547" s="11"/>
      <c r="E547" s="17" t="s">
        <v>57</v>
      </c>
      <c r="F547" s="10" t="s">
        <v>34</v>
      </c>
      <c r="G547" s="55" t="str">
        <f t="shared" si="14"/>
        <v>Obsolete</v>
      </c>
      <c r="H547" s="10"/>
      <c r="I547" s="13"/>
      <c r="J547" s="56"/>
      <c r="K547" s="57"/>
      <c r="M547" s="14"/>
      <c r="N547" s="14"/>
      <c r="O547" s="14"/>
      <c r="P547" s="14"/>
      <c r="Q547" s="14"/>
      <c r="R547" s="14"/>
      <c r="S547" s="14"/>
      <c r="T547" s="70"/>
      <c r="U547" s="76" t="s">
        <v>54</v>
      </c>
      <c r="V547" s="97"/>
      <c r="W547" s="76" t="s">
        <v>54</v>
      </c>
      <c r="X547" s="76"/>
      <c r="Y547" s="97"/>
      <c r="Z547" s="78"/>
      <c r="AA547" s="79" t="s">
        <v>55</v>
      </c>
      <c r="AB547" s="79" t="s">
        <v>37</v>
      </c>
      <c r="AC547" s="79" t="s">
        <v>37</v>
      </c>
      <c r="AD547" s="79"/>
      <c r="AE547" s="79"/>
      <c r="AF547" s="79"/>
      <c r="AG547" s="79"/>
      <c r="AH547" s="79"/>
      <c r="AI547" s="53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</row>
    <row r="548" spans="1:110" ht="13.8" x14ac:dyDescent="0.25">
      <c r="A548" s="24">
        <v>1302010</v>
      </c>
      <c r="B548" s="11" t="s">
        <v>882</v>
      </c>
      <c r="C548" s="12" t="s">
        <v>911</v>
      </c>
      <c r="D548" s="11"/>
      <c r="E548" s="17" t="s">
        <v>57</v>
      </c>
      <c r="F548" s="10" t="s">
        <v>34</v>
      </c>
      <c r="G548" s="55" t="str">
        <f t="shared" si="14"/>
        <v>Obsolete</v>
      </c>
      <c r="H548" s="10"/>
      <c r="I548" s="13"/>
      <c r="J548" s="56"/>
      <c r="K548" s="57"/>
      <c r="M548" s="14"/>
      <c r="N548" s="14"/>
      <c r="O548" s="14"/>
      <c r="P548" s="14"/>
      <c r="Q548" s="14"/>
      <c r="R548" s="14"/>
      <c r="S548" s="14"/>
      <c r="T548" s="70"/>
      <c r="U548" s="76" t="s">
        <v>54</v>
      </c>
      <c r="V548" s="97"/>
      <c r="W548" s="76" t="s">
        <v>54</v>
      </c>
      <c r="X548" s="76"/>
      <c r="Y548" s="97"/>
      <c r="Z548" s="78"/>
      <c r="AA548" s="79" t="s">
        <v>55</v>
      </c>
      <c r="AB548" s="79" t="s">
        <v>37</v>
      </c>
      <c r="AC548" s="79" t="s">
        <v>37</v>
      </c>
      <c r="AD548" s="79"/>
      <c r="AE548" s="79"/>
      <c r="AF548" s="79"/>
      <c r="AG548" s="79"/>
      <c r="AH548" s="79"/>
      <c r="AI548" s="53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</row>
    <row r="549" spans="1:110" ht="13.8" x14ac:dyDescent="0.25">
      <c r="A549" s="24">
        <v>1302011</v>
      </c>
      <c r="B549" s="11" t="s">
        <v>882</v>
      </c>
      <c r="C549" s="25" t="s">
        <v>912</v>
      </c>
      <c r="D549" s="26"/>
      <c r="E549" s="17" t="s">
        <v>57</v>
      </c>
      <c r="F549" s="10" t="s">
        <v>34</v>
      </c>
      <c r="G549" s="55" t="str">
        <f t="shared" si="14"/>
        <v>Obsolete</v>
      </c>
      <c r="H549" s="10"/>
      <c r="I549" s="13"/>
      <c r="J549" s="56"/>
      <c r="K549" s="57"/>
      <c r="M549" s="14"/>
      <c r="N549" s="14"/>
      <c r="O549" s="14"/>
      <c r="P549" s="14"/>
      <c r="Q549" s="14"/>
      <c r="R549" s="14"/>
      <c r="S549" s="14"/>
      <c r="T549" s="70"/>
      <c r="U549" s="76" t="s">
        <v>54</v>
      </c>
      <c r="V549" s="97"/>
      <c r="W549" s="76" t="s">
        <v>54</v>
      </c>
      <c r="X549" s="76"/>
      <c r="Y549" s="97"/>
      <c r="Z549" s="87"/>
      <c r="AA549" s="79"/>
      <c r="AB549" s="79" t="s">
        <v>37</v>
      </c>
      <c r="AC549" s="79" t="s">
        <v>37</v>
      </c>
      <c r="AD549" s="79"/>
      <c r="AE549" s="79"/>
      <c r="AF549" s="79"/>
      <c r="AG549" s="79"/>
      <c r="AH549" s="79"/>
      <c r="AI549" s="53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</row>
    <row r="550" spans="1:110" ht="13.8" x14ac:dyDescent="0.25">
      <c r="A550" s="24">
        <v>1302012</v>
      </c>
      <c r="B550" s="11" t="s">
        <v>882</v>
      </c>
      <c r="C550" s="12" t="s">
        <v>913</v>
      </c>
      <c r="D550" s="11"/>
      <c r="E550" s="17" t="s">
        <v>57</v>
      </c>
      <c r="F550" s="10" t="s">
        <v>34</v>
      </c>
      <c r="G550" s="55" t="str">
        <f t="shared" si="14"/>
        <v>Obsolete</v>
      </c>
      <c r="H550" s="10"/>
      <c r="I550" s="13"/>
      <c r="J550" s="56"/>
      <c r="K550" s="57"/>
      <c r="M550" s="14"/>
      <c r="N550" s="14"/>
      <c r="O550" s="14"/>
      <c r="P550" s="14"/>
      <c r="Q550" s="14"/>
      <c r="R550" s="14"/>
      <c r="S550" s="14"/>
      <c r="T550" s="70"/>
      <c r="U550" s="76" t="s">
        <v>54</v>
      </c>
      <c r="V550" s="97"/>
      <c r="W550" s="76" t="s">
        <v>54</v>
      </c>
      <c r="X550" s="76"/>
      <c r="Y550" s="97"/>
      <c r="Z550" s="78"/>
      <c r="AA550" s="79" t="s">
        <v>55</v>
      </c>
      <c r="AB550" s="79" t="s">
        <v>37</v>
      </c>
      <c r="AC550" s="79" t="s">
        <v>37</v>
      </c>
      <c r="AD550" s="79"/>
      <c r="AE550" s="79"/>
      <c r="AF550" s="79"/>
      <c r="AG550" s="79"/>
      <c r="AH550" s="79"/>
      <c r="AI550" s="53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</row>
    <row r="551" spans="1:110" ht="13.8" x14ac:dyDescent="0.25">
      <c r="A551" s="24">
        <v>1302013</v>
      </c>
      <c r="B551" s="11" t="s">
        <v>882</v>
      </c>
      <c r="C551" s="25" t="s">
        <v>914</v>
      </c>
      <c r="D551" s="26"/>
      <c r="E551" s="17" t="s">
        <v>57</v>
      </c>
      <c r="F551" s="10" t="s">
        <v>34</v>
      </c>
      <c r="G551" s="55" t="str">
        <f t="shared" si="14"/>
        <v>Obsolete</v>
      </c>
      <c r="H551" s="10"/>
      <c r="I551" s="13"/>
      <c r="J551" s="56"/>
      <c r="K551" s="57"/>
      <c r="M551" s="14"/>
      <c r="N551" s="14"/>
      <c r="O551" s="14"/>
      <c r="P551" s="14"/>
      <c r="Q551" s="14"/>
      <c r="R551" s="14"/>
      <c r="S551" s="14"/>
      <c r="T551" s="70"/>
      <c r="U551" s="76" t="s">
        <v>54</v>
      </c>
      <c r="V551" s="97"/>
      <c r="W551" s="76" t="s">
        <v>54</v>
      </c>
      <c r="X551" s="76"/>
      <c r="Y551" s="97"/>
      <c r="Z551" s="87"/>
      <c r="AA551" s="79"/>
      <c r="AB551" s="79" t="s">
        <v>37</v>
      </c>
      <c r="AC551" s="79" t="s">
        <v>37</v>
      </c>
      <c r="AD551" s="79"/>
      <c r="AE551" s="79"/>
      <c r="AF551" s="79"/>
      <c r="AG551" s="79"/>
      <c r="AH551" s="79"/>
      <c r="AI551" s="53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</row>
    <row r="552" spans="1:110" ht="13.8" x14ac:dyDescent="0.25">
      <c r="A552" s="24">
        <v>1302014</v>
      </c>
      <c r="B552" s="11" t="s">
        <v>882</v>
      </c>
      <c r="C552" s="25" t="s">
        <v>915</v>
      </c>
      <c r="D552" s="26"/>
      <c r="E552" s="17" t="s">
        <v>57</v>
      </c>
      <c r="F552" s="10" t="s">
        <v>34</v>
      </c>
      <c r="G552" s="55" t="str">
        <f t="shared" si="14"/>
        <v>Obsolete</v>
      </c>
      <c r="H552" s="10"/>
      <c r="I552" s="13"/>
      <c r="J552" s="56"/>
      <c r="K552" s="57"/>
      <c r="M552" s="14"/>
      <c r="N552" s="14"/>
      <c r="O552" s="14"/>
      <c r="P552" s="14"/>
      <c r="Q552" s="14"/>
      <c r="R552" s="14"/>
      <c r="S552" s="14"/>
      <c r="T552" s="70"/>
      <c r="U552" s="76" t="s">
        <v>54</v>
      </c>
      <c r="V552" s="97"/>
      <c r="W552" s="76" t="s">
        <v>54</v>
      </c>
      <c r="X552" s="76"/>
      <c r="Y552" s="97"/>
      <c r="Z552" s="87"/>
      <c r="AA552" s="79"/>
      <c r="AB552" s="79" t="s">
        <v>37</v>
      </c>
      <c r="AC552" s="79" t="s">
        <v>37</v>
      </c>
      <c r="AD552" s="79"/>
      <c r="AE552" s="79"/>
      <c r="AF552" s="79"/>
      <c r="AG552" s="79"/>
      <c r="AH552" s="79"/>
      <c r="AI552" s="53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</row>
    <row r="553" spans="1:110" ht="13.8" x14ac:dyDescent="0.25">
      <c r="A553" s="24">
        <v>1302015</v>
      </c>
      <c r="B553" s="26" t="s">
        <v>567</v>
      </c>
      <c r="C553" s="25" t="s">
        <v>916</v>
      </c>
      <c r="D553" s="26"/>
      <c r="E553" s="17" t="s">
        <v>57</v>
      </c>
      <c r="F553" s="10" t="s">
        <v>34</v>
      </c>
      <c r="G553" s="55" t="str">
        <f t="shared" si="14"/>
        <v>Obsolete</v>
      </c>
      <c r="H553" s="10"/>
      <c r="I553" s="13"/>
      <c r="J553" s="56"/>
      <c r="K553" s="57"/>
      <c r="M553" s="14"/>
      <c r="N553" s="14"/>
      <c r="O553" s="14"/>
      <c r="P553" s="14"/>
      <c r="Q553" s="14"/>
      <c r="R553" s="14"/>
      <c r="S553" s="14"/>
      <c r="T553" s="70"/>
      <c r="U553" s="76" t="s">
        <v>54</v>
      </c>
      <c r="V553" s="97"/>
      <c r="W553" s="76" t="s">
        <v>54</v>
      </c>
      <c r="X553" s="76"/>
      <c r="Y553" s="97"/>
      <c r="Z553" s="87"/>
      <c r="AA553" s="79"/>
      <c r="AB553" s="79" t="s">
        <v>37</v>
      </c>
      <c r="AC553" s="79" t="s">
        <v>37</v>
      </c>
      <c r="AD553" s="79"/>
      <c r="AE553" s="79"/>
      <c r="AF553" s="79"/>
      <c r="AG553" s="79"/>
      <c r="AH553" s="79"/>
      <c r="AI553" s="53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</row>
    <row r="554" spans="1:110" ht="13.8" x14ac:dyDescent="0.25">
      <c r="A554" s="24">
        <v>1302016</v>
      </c>
      <c r="B554" s="26" t="s">
        <v>567</v>
      </c>
      <c r="C554" s="25" t="s">
        <v>917</v>
      </c>
      <c r="D554" s="26"/>
      <c r="E554" s="17" t="s">
        <v>57</v>
      </c>
      <c r="F554" s="10" t="s">
        <v>34</v>
      </c>
      <c r="G554" s="55" t="str">
        <f t="shared" si="14"/>
        <v>Obsolete</v>
      </c>
      <c r="H554" s="10"/>
      <c r="I554" s="13"/>
      <c r="J554" s="56"/>
      <c r="K554" s="57"/>
      <c r="M554" s="14"/>
      <c r="N554" s="14"/>
      <c r="O554" s="14"/>
      <c r="P554" s="14"/>
      <c r="Q554" s="14"/>
      <c r="R554" s="14"/>
      <c r="S554" s="14"/>
      <c r="T554" s="70"/>
      <c r="U554" s="76" t="s">
        <v>54</v>
      </c>
      <c r="V554" s="97"/>
      <c r="W554" s="76" t="s">
        <v>54</v>
      </c>
      <c r="X554" s="76"/>
      <c r="Y554" s="97"/>
      <c r="Z554" s="87"/>
      <c r="AA554" s="79"/>
      <c r="AB554" s="79" t="s">
        <v>37</v>
      </c>
      <c r="AC554" s="79" t="s">
        <v>37</v>
      </c>
      <c r="AD554" s="79"/>
      <c r="AE554" s="79"/>
      <c r="AF554" s="79"/>
      <c r="AG554" s="79"/>
      <c r="AH554" s="79"/>
      <c r="AI554" s="53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</row>
    <row r="555" spans="1:110" ht="13.8" x14ac:dyDescent="0.25">
      <c r="A555" s="24">
        <v>1302017</v>
      </c>
      <c r="B555" s="26"/>
      <c r="C555" s="25" t="s">
        <v>918</v>
      </c>
      <c r="D555" s="26"/>
      <c r="E555" s="17" t="s">
        <v>57</v>
      </c>
      <c r="F555" s="10" t="s">
        <v>34</v>
      </c>
      <c r="G555" s="55" t="str">
        <f t="shared" si="14"/>
        <v>Obsolete</v>
      </c>
      <c r="H555" s="10"/>
      <c r="I555" s="13"/>
      <c r="J555" s="56"/>
      <c r="K555" s="57"/>
      <c r="M555" s="14"/>
      <c r="N555" s="14"/>
      <c r="O555" s="14"/>
      <c r="P555" s="14"/>
      <c r="Q555" s="14"/>
      <c r="R555" s="14"/>
      <c r="S555" s="14"/>
      <c r="T555" s="70"/>
      <c r="U555" s="76" t="s">
        <v>54</v>
      </c>
      <c r="V555" s="97"/>
      <c r="W555" s="76" t="s">
        <v>54</v>
      </c>
      <c r="X555" s="76"/>
      <c r="Y555" s="97"/>
      <c r="Z555" s="87"/>
      <c r="AA555" s="79"/>
      <c r="AB555" s="79" t="s">
        <v>37</v>
      </c>
      <c r="AC555" s="79" t="s">
        <v>37</v>
      </c>
      <c r="AD555" s="79"/>
      <c r="AE555" s="79"/>
      <c r="AF555" s="79"/>
      <c r="AG555" s="79"/>
      <c r="AH555" s="79"/>
      <c r="AI555" s="53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</row>
    <row r="556" spans="1:110" ht="13.8" x14ac:dyDescent="0.25">
      <c r="A556" s="24">
        <v>1302018</v>
      </c>
      <c r="B556" s="26" t="s">
        <v>882</v>
      </c>
      <c r="C556" s="25" t="s">
        <v>919</v>
      </c>
      <c r="D556" s="26"/>
      <c r="E556" s="10" t="s">
        <v>577</v>
      </c>
      <c r="F556" s="10" t="s">
        <v>34</v>
      </c>
      <c r="G556" s="55" t="str">
        <f t="shared" si="14"/>
        <v>Obsolete</v>
      </c>
      <c r="H556" s="10"/>
      <c r="I556" s="13" t="s">
        <v>920</v>
      </c>
      <c r="J556" s="56"/>
      <c r="K556" s="57"/>
      <c r="M556" s="14">
        <v>110.35</v>
      </c>
      <c r="N556" s="14"/>
      <c r="O556" s="14"/>
      <c r="P556" s="14"/>
      <c r="Q556" s="14"/>
      <c r="R556" s="14"/>
      <c r="S556" s="14"/>
      <c r="T556" s="70"/>
      <c r="U556" s="76" t="s">
        <v>54</v>
      </c>
      <c r="V556" s="97"/>
      <c r="W556" s="76" t="s">
        <v>54</v>
      </c>
      <c r="X556" s="76"/>
      <c r="Y556" s="97"/>
      <c r="Z556" s="87"/>
      <c r="AA556" s="79" t="s">
        <v>64</v>
      </c>
      <c r="AB556" s="79" t="s">
        <v>37</v>
      </c>
      <c r="AC556" s="79" t="s">
        <v>37</v>
      </c>
      <c r="AD556" s="79"/>
      <c r="AE556" s="79" t="s">
        <v>579</v>
      </c>
      <c r="AF556" s="79" t="s">
        <v>580</v>
      </c>
      <c r="AG556" s="105" t="s">
        <v>581</v>
      </c>
      <c r="AH556" s="79"/>
      <c r="AI556" s="53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</row>
    <row r="557" spans="1:110" ht="20.399999999999999" x14ac:dyDescent="0.25">
      <c r="A557" s="24">
        <v>1302019</v>
      </c>
      <c r="B557" s="26" t="s">
        <v>882</v>
      </c>
      <c r="C557" s="25" t="s">
        <v>921</v>
      </c>
      <c r="D557" s="26"/>
      <c r="E557" s="10" t="s">
        <v>614</v>
      </c>
      <c r="F557" s="10" t="s">
        <v>607</v>
      </c>
      <c r="G557" s="55">
        <f t="shared" si="14"/>
        <v>0</v>
      </c>
      <c r="H557" s="10">
        <v>4</v>
      </c>
      <c r="I557" s="39">
        <v>1.62</v>
      </c>
      <c r="J557" s="56"/>
      <c r="K557" s="57"/>
      <c r="M557" s="14"/>
      <c r="N557" s="14"/>
      <c r="O557" s="14"/>
      <c r="P557" s="14"/>
      <c r="Q557" s="14"/>
      <c r="R557" s="14"/>
      <c r="S557" s="14"/>
      <c r="T557" s="70"/>
      <c r="U557" s="76">
        <v>0</v>
      </c>
      <c r="V557" s="97">
        <v>0</v>
      </c>
      <c r="W557" s="76">
        <v>0</v>
      </c>
      <c r="X557" s="76">
        <v>0</v>
      </c>
      <c r="Y557" s="97" t="s">
        <v>35</v>
      </c>
      <c r="Z557" s="87">
        <v>1.62</v>
      </c>
      <c r="AA557" s="79" t="s">
        <v>272</v>
      </c>
      <c r="AB557" s="79" t="s">
        <v>35</v>
      </c>
      <c r="AC557" s="79" t="s">
        <v>35</v>
      </c>
      <c r="AD557" s="79"/>
      <c r="AE557" s="79"/>
      <c r="AF557" s="79"/>
      <c r="AG557" s="109"/>
      <c r="AH557" s="79"/>
      <c r="AI557" s="53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</row>
    <row r="558" spans="1:110" ht="13.8" x14ac:dyDescent="0.25">
      <c r="A558" s="24">
        <v>1302020</v>
      </c>
      <c r="B558" s="26" t="s">
        <v>882</v>
      </c>
      <c r="C558" s="25" t="s">
        <v>922</v>
      </c>
      <c r="D558" s="26"/>
      <c r="E558" s="10" t="s">
        <v>617</v>
      </c>
      <c r="F558" s="10" t="s">
        <v>618</v>
      </c>
      <c r="G558" s="55">
        <f t="shared" si="14"/>
        <v>40.570824524312897</v>
      </c>
      <c r="H558" s="10">
        <v>2</v>
      </c>
      <c r="I558" s="36">
        <v>0.94599999999999995</v>
      </c>
      <c r="J558" s="56"/>
      <c r="K558" s="57"/>
      <c r="M558" s="14"/>
      <c r="N558" s="14"/>
      <c r="O558" s="14"/>
      <c r="P558" s="14"/>
      <c r="Q558" s="14"/>
      <c r="R558" s="14"/>
      <c r="S558" s="14"/>
      <c r="T558" s="70"/>
      <c r="U558" s="76">
        <v>40.570824524312897</v>
      </c>
      <c r="V558" s="76">
        <v>0</v>
      </c>
      <c r="W558" s="76">
        <v>40.570824524312897</v>
      </c>
      <c r="X558" s="76">
        <v>0</v>
      </c>
      <c r="Y558" s="97"/>
      <c r="Z558" s="107">
        <v>0.94599999999999995</v>
      </c>
      <c r="AA558" s="79" t="s">
        <v>121</v>
      </c>
      <c r="AB558" s="79" t="s">
        <v>35</v>
      </c>
      <c r="AC558" s="79"/>
      <c r="AD558" s="79" t="s">
        <v>38</v>
      </c>
      <c r="AE558" s="79" t="s">
        <v>619</v>
      </c>
      <c r="AF558" s="106"/>
      <c r="AG558" s="108" t="s">
        <v>620</v>
      </c>
      <c r="AH558" s="79"/>
      <c r="AI558" s="53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</row>
    <row r="559" spans="1:110" ht="13.8" x14ac:dyDescent="0.25">
      <c r="A559" s="24">
        <v>1302021</v>
      </c>
      <c r="B559" s="26" t="s">
        <v>882</v>
      </c>
      <c r="C559" s="25" t="s">
        <v>883</v>
      </c>
      <c r="D559" s="26"/>
      <c r="E559" s="10" t="s">
        <v>289</v>
      </c>
      <c r="F559" s="10"/>
      <c r="G559" s="55"/>
      <c r="H559" s="10"/>
      <c r="I559" s="36"/>
      <c r="J559" s="56"/>
      <c r="K559" s="57"/>
      <c r="M559" s="14"/>
      <c r="N559" s="14"/>
      <c r="O559" s="14"/>
      <c r="P559" s="14"/>
      <c r="Q559" s="14"/>
      <c r="R559" s="14"/>
      <c r="S559" s="14"/>
      <c r="T559" s="70"/>
      <c r="U559" s="76"/>
      <c r="V559" s="76"/>
      <c r="W559" s="76"/>
      <c r="X559" s="76"/>
      <c r="Y559" s="97"/>
      <c r="Z559" s="107"/>
      <c r="AA559" s="79"/>
      <c r="AB559" s="79"/>
      <c r="AC559" s="79"/>
      <c r="AD559" s="79"/>
      <c r="AE559" s="79"/>
      <c r="AF559" s="106"/>
      <c r="AG559" s="108"/>
      <c r="AH559" s="79"/>
      <c r="AI559" s="53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</row>
    <row r="560" spans="1:110" ht="13.8" x14ac:dyDescent="0.25">
      <c r="A560" s="24">
        <v>1302022</v>
      </c>
      <c r="B560" s="26" t="s">
        <v>882</v>
      </c>
      <c r="C560" s="25" t="s">
        <v>923</v>
      </c>
      <c r="D560" s="26"/>
      <c r="E560" s="10" t="s">
        <v>742</v>
      </c>
      <c r="F560" s="10"/>
      <c r="G560" s="55"/>
      <c r="H560" s="10"/>
      <c r="I560" s="36"/>
      <c r="J560" s="56"/>
      <c r="K560" s="57"/>
      <c r="M560" s="14"/>
      <c r="N560" s="14"/>
      <c r="O560" s="14"/>
      <c r="P560" s="14"/>
      <c r="Q560" s="14"/>
      <c r="R560" s="14"/>
      <c r="S560" s="14"/>
      <c r="T560" s="70"/>
      <c r="U560" s="76"/>
      <c r="V560" s="76"/>
      <c r="W560" s="76"/>
      <c r="X560" s="76"/>
      <c r="Y560" s="97"/>
      <c r="Z560" s="107"/>
      <c r="AA560" s="79"/>
      <c r="AB560" s="79"/>
      <c r="AC560" s="79"/>
      <c r="AD560" s="79"/>
      <c r="AE560" s="79"/>
      <c r="AF560" s="106"/>
      <c r="AG560" s="108"/>
      <c r="AH560" s="79"/>
      <c r="AI560" s="53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</row>
    <row r="561" spans="1:110" ht="13.8" x14ac:dyDescent="0.25">
      <c r="A561" s="24">
        <v>1302021</v>
      </c>
      <c r="B561" s="26" t="s">
        <v>882</v>
      </c>
      <c r="C561" s="25" t="s">
        <v>924</v>
      </c>
      <c r="D561" s="26"/>
      <c r="E561" s="10" t="s">
        <v>617</v>
      </c>
      <c r="F561" s="10" t="s">
        <v>618</v>
      </c>
      <c r="G561" s="55">
        <f>IF(U561="Obsolete",U561,U561+V561)</f>
        <v>66.739999999999995</v>
      </c>
      <c r="H561" s="10">
        <v>2</v>
      </c>
      <c r="I561" s="39">
        <v>0.5</v>
      </c>
      <c r="J561" s="56"/>
      <c r="K561" s="57"/>
      <c r="M561" s="14"/>
      <c r="N561" s="14"/>
      <c r="O561" s="14"/>
      <c r="P561" s="14"/>
      <c r="Q561" s="14"/>
      <c r="R561" s="14"/>
      <c r="S561" s="14"/>
      <c r="T561" s="70"/>
      <c r="U561" s="76">
        <v>66.739999999999995</v>
      </c>
      <c r="V561" s="76">
        <v>0</v>
      </c>
      <c r="W561" s="76">
        <v>66.739999999999995</v>
      </c>
      <c r="X561" s="76">
        <v>0</v>
      </c>
      <c r="Y561" s="97"/>
      <c r="Z561" s="107">
        <v>0.5</v>
      </c>
      <c r="AA561" s="79" t="s">
        <v>121</v>
      </c>
      <c r="AB561" s="79" t="s">
        <v>35</v>
      </c>
      <c r="AC561" s="79"/>
      <c r="AD561" s="79" t="s">
        <v>38</v>
      </c>
      <c r="AE561" s="79" t="s">
        <v>619</v>
      </c>
      <c r="AF561" s="106"/>
      <c r="AG561" s="108" t="s">
        <v>620</v>
      </c>
      <c r="AH561" s="79"/>
      <c r="AI561" s="53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</row>
    <row r="562" spans="1:110" ht="20.399999999999999" x14ac:dyDescent="0.25">
      <c r="A562" s="24">
        <v>1302023</v>
      </c>
      <c r="B562" s="26" t="s">
        <v>882</v>
      </c>
      <c r="C562" s="25" t="s">
        <v>1559</v>
      </c>
      <c r="D562" s="26"/>
      <c r="E562" s="10" t="s">
        <v>577</v>
      </c>
      <c r="F562" s="10" t="s">
        <v>623</v>
      </c>
      <c r="G562" s="55">
        <f>IF(U562="Obsolete",U562,U562+V562)</f>
        <v>132.69999999999999</v>
      </c>
      <c r="H562" s="10">
        <v>14</v>
      </c>
      <c r="I562" s="39">
        <v>5</v>
      </c>
      <c r="J562" s="56"/>
      <c r="K562" s="57"/>
      <c r="M562" s="14">
        <v>132.69999999999999</v>
      </c>
      <c r="N562" s="14"/>
      <c r="O562" s="14"/>
      <c r="P562" s="14"/>
      <c r="Q562" s="14"/>
      <c r="R562" s="14"/>
      <c r="S562" s="14"/>
      <c r="T562" s="70"/>
      <c r="U562" s="76">
        <v>132.69999999999999</v>
      </c>
      <c r="V562" s="76">
        <v>0</v>
      </c>
      <c r="W562" s="76">
        <v>132.69999999999999</v>
      </c>
      <c r="X562" s="76">
        <v>0</v>
      </c>
      <c r="Y562" s="97" t="s">
        <v>37</v>
      </c>
      <c r="Z562" s="107">
        <v>5</v>
      </c>
      <c r="AA562" s="79" t="s">
        <v>284</v>
      </c>
      <c r="AB562" s="79" t="s">
        <v>35</v>
      </c>
      <c r="AC562" s="79" t="s">
        <v>37</v>
      </c>
      <c r="AD562" s="79" t="s">
        <v>38</v>
      </c>
      <c r="AE562" s="79" t="s">
        <v>1556</v>
      </c>
      <c r="AF562" s="106" t="s">
        <v>1557</v>
      </c>
      <c r="AG562" s="79" t="s">
        <v>1558</v>
      </c>
      <c r="AH562" s="79"/>
      <c r="AI562" s="53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</row>
    <row r="563" spans="1:110" ht="13.8" x14ac:dyDescent="0.25">
      <c r="A563" s="24">
        <v>1302024</v>
      </c>
      <c r="B563" s="26" t="s">
        <v>882</v>
      </c>
      <c r="C563" s="25" t="s">
        <v>1615</v>
      </c>
      <c r="D563" s="26"/>
      <c r="E563" s="10" t="s">
        <v>1612</v>
      </c>
      <c r="F563" s="10"/>
      <c r="G563" s="55">
        <f>IF(U563="Obsolete",U563,U563+V563)</f>
        <v>0</v>
      </c>
      <c r="H563" s="10"/>
      <c r="I563" s="39"/>
      <c r="J563" s="56"/>
      <c r="K563" s="57"/>
      <c r="M563" s="14"/>
      <c r="N563" s="14"/>
      <c r="O563" s="14"/>
      <c r="P563" s="14"/>
      <c r="Q563" s="14"/>
      <c r="R563" s="14"/>
      <c r="S563" s="14"/>
      <c r="T563" s="70"/>
      <c r="U563" s="76"/>
      <c r="V563" s="76"/>
      <c r="W563" s="76"/>
      <c r="X563" s="76"/>
      <c r="Y563" s="97"/>
      <c r="Z563" s="107"/>
      <c r="AA563" s="79"/>
      <c r="AB563" s="79"/>
      <c r="AC563" s="79"/>
      <c r="AD563" s="79"/>
      <c r="AE563" s="79"/>
      <c r="AF563" s="106"/>
      <c r="AG563" s="79"/>
      <c r="AH563" s="79"/>
      <c r="AI563" s="53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</row>
    <row r="564" spans="1:110" ht="20.399999999999999" x14ac:dyDescent="0.25">
      <c r="A564" s="24">
        <v>1304001</v>
      </c>
      <c r="B564" s="26" t="s">
        <v>925</v>
      </c>
      <c r="C564" s="25" t="s">
        <v>926</v>
      </c>
      <c r="D564" s="26"/>
      <c r="E564" s="10" t="s">
        <v>289</v>
      </c>
      <c r="F564" s="10"/>
      <c r="G564" s="55"/>
      <c r="H564" s="10"/>
      <c r="I564" s="39"/>
      <c r="J564" s="56"/>
      <c r="K564" s="57"/>
      <c r="M564" s="14"/>
      <c r="N564" s="14"/>
      <c r="O564" s="14"/>
      <c r="P564" s="14"/>
      <c r="Q564" s="14"/>
      <c r="R564" s="14"/>
      <c r="S564" s="14"/>
      <c r="T564" s="70"/>
      <c r="U564" s="76"/>
      <c r="V564" s="76"/>
      <c r="W564" s="76"/>
      <c r="X564" s="76"/>
      <c r="Y564" s="97"/>
      <c r="Z564" s="107"/>
      <c r="AA564" s="79"/>
      <c r="AB564" s="79"/>
      <c r="AC564" s="79"/>
      <c r="AD564" s="79"/>
      <c r="AE564" s="79"/>
      <c r="AF564" s="106"/>
      <c r="AG564" s="108"/>
      <c r="AH564" s="79"/>
      <c r="AI564" s="53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</row>
    <row r="565" spans="1:110" ht="13.8" x14ac:dyDescent="0.25">
      <c r="A565" s="10">
        <v>1305001</v>
      </c>
      <c r="B565" s="11"/>
      <c r="C565" s="12" t="s">
        <v>927</v>
      </c>
      <c r="D565" s="11"/>
      <c r="E565" s="10" t="s">
        <v>55</v>
      </c>
      <c r="F565" s="10" t="s">
        <v>34</v>
      </c>
      <c r="G565" s="55" t="str">
        <f>IF(U565="Obsolete",U565,U565+V565)</f>
        <v>Obsolete</v>
      </c>
      <c r="H565" s="10">
        <v>1</v>
      </c>
      <c r="I565" s="13"/>
      <c r="J565" s="56"/>
      <c r="K565" s="57"/>
      <c r="M565" s="14">
        <v>29.33</v>
      </c>
      <c r="N565" s="14"/>
      <c r="O565" s="14"/>
      <c r="P565" s="14"/>
      <c r="Q565" s="14"/>
      <c r="R565" s="14"/>
      <c r="S565" s="14"/>
      <c r="T565" s="70"/>
      <c r="U565" s="76" t="s">
        <v>54</v>
      </c>
      <c r="V565" s="97"/>
      <c r="W565" s="76" t="s">
        <v>54</v>
      </c>
      <c r="X565" s="76"/>
      <c r="Y565" s="97"/>
      <c r="Z565" s="78"/>
      <c r="AA565" s="79" t="s">
        <v>55</v>
      </c>
      <c r="AB565" s="79" t="s">
        <v>37</v>
      </c>
      <c r="AC565" s="79" t="s">
        <v>37</v>
      </c>
      <c r="AD565" s="79"/>
      <c r="AE565" s="79"/>
      <c r="AF565" s="79"/>
      <c r="AG565" s="79"/>
      <c r="AH565" s="79"/>
      <c r="AI565" s="53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</row>
    <row r="566" spans="1:110" ht="13.8" x14ac:dyDescent="0.25">
      <c r="A566" s="10">
        <v>1306001</v>
      </c>
      <c r="B566" s="11"/>
      <c r="C566" s="12" t="s">
        <v>928</v>
      </c>
      <c r="D566" s="11"/>
      <c r="E566" s="10" t="s">
        <v>929</v>
      </c>
      <c r="F566" s="10" t="s">
        <v>930</v>
      </c>
      <c r="G566" s="55" t="str">
        <f>IF(U566="Obsolete",U566,U566+V566)</f>
        <v>Obsolete</v>
      </c>
      <c r="H566" s="10">
        <v>1</v>
      </c>
      <c r="I566" s="13"/>
      <c r="J566" s="56"/>
      <c r="K566" s="57"/>
      <c r="M566" s="14"/>
      <c r="N566" s="14"/>
      <c r="O566" s="14"/>
      <c r="P566" s="14"/>
      <c r="Q566" s="14"/>
      <c r="R566" s="14"/>
      <c r="S566" s="14"/>
      <c r="T566" s="70"/>
      <c r="U566" s="76" t="s">
        <v>54</v>
      </c>
      <c r="V566" s="97"/>
      <c r="W566" s="76" t="s">
        <v>54</v>
      </c>
      <c r="X566" s="76"/>
      <c r="Y566" s="97"/>
      <c r="Z566" s="78"/>
      <c r="AA566" s="79" t="s">
        <v>36</v>
      </c>
      <c r="AB566" s="79" t="s">
        <v>37</v>
      </c>
      <c r="AC566" s="79" t="s">
        <v>37</v>
      </c>
      <c r="AD566" s="79"/>
      <c r="AE566" s="79"/>
      <c r="AF566" s="79"/>
      <c r="AG566" s="79"/>
      <c r="AH566" s="79"/>
      <c r="AI566" s="53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</row>
    <row r="567" spans="1:110" ht="13.8" x14ac:dyDescent="0.25">
      <c r="A567" s="10">
        <v>1306002</v>
      </c>
      <c r="B567" s="11" t="s">
        <v>931</v>
      </c>
      <c r="C567" s="12" t="s">
        <v>932</v>
      </c>
      <c r="D567" s="11"/>
      <c r="E567" s="10" t="s">
        <v>614</v>
      </c>
      <c r="F567" s="10" t="s">
        <v>607</v>
      </c>
      <c r="G567" s="55">
        <f>IF(U567="Obsolete",U567,U567+V567)</f>
        <v>0</v>
      </c>
      <c r="H567" s="10">
        <v>4</v>
      </c>
      <c r="I567" s="13"/>
      <c r="J567" s="56"/>
      <c r="K567" s="57"/>
      <c r="M567" s="14"/>
      <c r="N567" s="14"/>
      <c r="O567" s="14"/>
      <c r="P567" s="14"/>
      <c r="Q567" s="14"/>
      <c r="R567" s="14"/>
      <c r="S567" s="14"/>
      <c r="T567" s="70"/>
      <c r="U567" s="76">
        <v>0</v>
      </c>
      <c r="V567" s="97">
        <v>0</v>
      </c>
      <c r="W567" s="76">
        <v>0</v>
      </c>
      <c r="X567" s="76">
        <v>0</v>
      </c>
      <c r="Y567" s="97" t="s">
        <v>35</v>
      </c>
      <c r="Z567" s="87">
        <v>1.62</v>
      </c>
      <c r="AA567" s="79" t="s">
        <v>272</v>
      </c>
      <c r="AB567" s="79" t="s">
        <v>35</v>
      </c>
      <c r="AC567" s="79" t="s">
        <v>35</v>
      </c>
      <c r="AD567" s="79"/>
      <c r="AE567" s="79"/>
      <c r="AF567" s="79"/>
      <c r="AG567" s="109"/>
      <c r="AH567" s="79"/>
      <c r="AI567" s="53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</row>
    <row r="568" spans="1:110" ht="13.8" x14ac:dyDescent="0.25">
      <c r="A568" s="10">
        <v>1306003</v>
      </c>
      <c r="B568" s="11" t="s">
        <v>931</v>
      </c>
      <c r="C568" s="12" t="s">
        <v>933</v>
      </c>
      <c r="D568" s="11"/>
      <c r="E568" s="10" t="s">
        <v>742</v>
      </c>
      <c r="F568" s="10"/>
      <c r="G568" s="55"/>
      <c r="H568" s="10"/>
      <c r="I568" s="13"/>
      <c r="J568" s="56"/>
      <c r="K568" s="57"/>
      <c r="M568" s="14"/>
      <c r="N568" s="14"/>
      <c r="O568" s="14"/>
      <c r="P568" s="14"/>
      <c r="Q568" s="14"/>
      <c r="R568" s="14"/>
      <c r="S568" s="14"/>
      <c r="T568" s="70"/>
      <c r="U568" s="76"/>
      <c r="V568" s="97"/>
      <c r="W568" s="76"/>
      <c r="X568" s="76"/>
      <c r="Y568" s="97"/>
      <c r="Z568" s="87"/>
      <c r="AA568" s="79"/>
      <c r="AB568" s="79"/>
      <c r="AC568" s="79"/>
      <c r="AD568" s="79"/>
      <c r="AE568" s="79"/>
      <c r="AF568" s="79"/>
      <c r="AG568" s="109"/>
      <c r="AH568" s="79"/>
      <c r="AI568" s="53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</row>
    <row r="569" spans="1:110" ht="20.399999999999999" x14ac:dyDescent="0.25">
      <c r="A569" s="24">
        <v>1401001</v>
      </c>
      <c r="B569" s="26" t="s">
        <v>934</v>
      </c>
      <c r="C569" s="25" t="s">
        <v>935</v>
      </c>
      <c r="D569" s="26"/>
      <c r="E569" s="10" t="s">
        <v>936</v>
      </c>
      <c r="F569" s="10" t="s">
        <v>557</v>
      </c>
      <c r="G569" s="55">
        <f t="shared" ref="G569:G632" si="15">IF(U569="Obsolete",U569,U569+V569)</f>
        <v>0.48109999999999997</v>
      </c>
      <c r="H569" s="10">
        <v>4</v>
      </c>
      <c r="I569" s="13">
        <v>5760</v>
      </c>
      <c r="J569" s="56"/>
      <c r="K569" s="57"/>
      <c r="M569" s="14"/>
      <c r="N569" s="14"/>
      <c r="O569" s="14"/>
      <c r="P569" s="14"/>
      <c r="Q569" s="14"/>
      <c r="R569" s="14"/>
      <c r="S569" s="14"/>
      <c r="T569" s="70"/>
      <c r="U569" s="76">
        <v>0.4511</v>
      </c>
      <c r="V569" s="76">
        <v>0.03</v>
      </c>
      <c r="W569" s="76">
        <v>0.4511</v>
      </c>
      <c r="X569" s="76">
        <v>0.03</v>
      </c>
      <c r="Y569" s="77" t="s">
        <v>35</v>
      </c>
      <c r="Z569" s="87">
        <v>720</v>
      </c>
      <c r="AA569" s="79" t="s">
        <v>36</v>
      </c>
      <c r="AB569" s="79" t="s">
        <v>35</v>
      </c>
      <c r="AC569" s="79" t="s">
        <v>37</v>
      </c>
      <c r="AD569" s="79" t="s">
        <v>38</v>
      </c>
      <c r="AE569" s="79" t="s">
        <v>937</v>
      </c>
      <c r="AF569" s="79" t="s">
        <v>938</v>
      </c>
      <c r="AG569" s="79" t="s">
        <v>939</v>
      </c>
      <c r="AH569" s="79"/>
      <c r="AI569" s="53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</row>
    <row r="570" spans="1:110" ht="13.8" x14ac:dyDescent="0.25">
      <c r="A570" s="10">
        <v>1401002</v>
      </c>
      <c r="B570" s="11" t="s">
        <v>940</v>
      </c>
      <c r="C570" s="12" t="s">
        <v>941</v>
      </c>
      <c r="D570" s="11"/>
      <c r="E570" s="10" t="s">
        <v>942</v>
      </c>
      <c r="F570" s="10" t="s">
        <v>557</v>
      </c>
      <c r="G570" s="55" t="str">
        <f t="shared" si="15"/>
        <v>Obsolete</v>
      </c>
      <c r="H570" s="10">
        <v>4</v>
      </c>
      <c r="I570" s="13"/>
      <c r="J570" s="56"/>
      <c r="K570" s="57"/>
      <c r="M570" s="14"/>
      <c r="N570" s="14"/>
      <c r="O570" s="14"/>
      <c r="P570" s="14"/>
      <c r="Q570" s="14"/>
      <c r="R570" s="14"/>
      <c r="S570" s="14"/>
      <c r="T570" s="70"/>
      <c r="U570" s="76" t="s">
        <v>54</v>
      </c>
      <c r="V570" s="97"/>
      <c r="W570" s="76" t="s">
        <v>54</v>
      </c>
      <c r="X570" s="76"/>
      <c r="Y570" s="97"/>
      <c r="Z570" s="78"/>
      <c r="AA570" s="79" t="s">
        <v>36</v>
      </c>
      <c r="AB570" s="79" t="s">
        <v>37</v>
      </c>
      <c r="AC570" s="79" t="s">
        <v>37</v>
      </c>
      <c r="AD570" s="79"/>
      <c r="AE570" s="79"/>
      <c r="AF570" s="79"/>
      <c r="AG570" s="79"/>
      <c r="AH570" s="79"/>
      <c r="AI570" s="53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</row>
    <row r="571" spans="1:110" ht="20.399999999999999" x14ac:dyDescent="0.25">
      <c r="A571" s="10">
        <v>1401003</v>
      </c>
      <c r="B571" s="11" t="s">
        <v>940</v>
      </c>
      <c r="C571" s="25" t="s">
        <v>943</v>
      </c>
      <c r="D571" s="11"/>
      <c r="E571" s="10" t="s">
        <v>942</v>
      </c>
      <c r="F571" s="10" t="s">
        <v>557</v>
      </c>
      <c r="G571" s="55" t="str">
        <f t="shared" si="15"/>
        <v>Obsolete</v>
      </c>
      <c r="H571" s="10">
        <v>4</v>
      </c>
      <c r="I571" s="13"/>
      <c r="J571" s="56"/>
      <c r="K571" s="57"/>
      <c r="M571" s="14"/>
      <c r="N571" s="14"/>
      <c r="O571" s="14"/>
      <c r="P571" s="14"/>
      <c r="Q571" s="14"/>
      <c r="R571" s="14"/>
      <c r="S571" s="14"/>
      <c r="T571" s="70"/>
      <c r="U571" s="76" t="s">
        <v>54</v>
      </c>
      <c r="V571" s="76">
        <v>5.5964000000000003E-4</v>
      </c>
      <c r="W571" s="76" t="s">
        <v>54</v>
      </c>
      <c r="X571" s="76">
        <v>5.5964000000000003E-4</v>
      </c>
      <c r="Y571" s="97"/>
      <c r="Z571" s="78"/>
      <c r="AA571" s="79" t="s">
        <v>36</v>
      </c>
      <c r="AB571" s="79" t="s">
        <v>37</v>
      </c>
      <c r="AC571" s="79" t="s">
        <v>37</v>
      </c>
      <c r="AD571" s="79" t="s">
        <v>38</v>
      </c>
      <c r="AE571" s="79"/>
      <c r="AF571" s="79"/>
      <c r="AG571" s="79"/>
      <c r="AH571" s="79"/>
      <c r="AI571" s="53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</row>
    <row r="572" spans="1:110" ht="20.399999999999999" x14ac:dyDescent="0.25">
      <c r="A572" s="10">
        <v>1401004</v>
      </c>
      <c r="B572" s="11" t="s">
        <v>940</v>
      </c>
      <c r="C572" s="25" t="s">
        <v>944</v>
      </c>
      <c r="D572" s="11"/>
      <c r="E572" s="10" t="s">
        <v>942</v>
      </c>
      <c r="F572" s="10" t="s">
        <v>557</v>
      </c>
      <c r="G572" s="55" t="str">
        <f t="shared" si="15"/>
        <v>Obsolete</v>
      </c>
      <c r="H572" s="10">
        <v>4</v>
      </c>
      <c r="I572" s="13"/>
      <c r="J572" s="56"/>
      <c r="K572" s="57"/>
      <c r="M572" s="14"/>
      <c r="N572" s="14"/>
      <c r="O572" s="14"/>
      <c r="P572" s="14"/>
      <c r="Q572" s="14"/>
      <c r="R572" s="14"/>
      <c r="S572" s="14"/>
      <c r="T572" s="70"/>
      <c r="U572" s="76" t="s">
        <v>54</v>
      </c>
      <c r="V572" s="76">
        <v>5.5964000000000003E-4</v>
      </c>
      <c r="W572" s="76" t="s">
        <v>54</v>
      </c>
      <c r="X572" s="76">
        <v>5.5964000000000003E-4</v>
      </c>
      <c r="Y572" s="97"/>
      <c r="Z572" s="78"/>
      <c r="AA572" s="79" t="s">
        <v>36</v>
      </c>
      <c r="AB572" s="79" t="s">
        <v>37</v>
      </c>
      <c r="AC572" s="79" t="s">
        <v>37</v>
      </c>
      <c r="AD572" s="79" t="s">
        <v>38</v>
      </c>
      <c r="AE572" s="79"/>
      <c r="AF572" s="79"/>
      <c r="AG572" s="79"/>
      <c r="AH572" s="79"/>
      <c r="AI572" s="53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</row>
    <row r="573" spans="1:110" ht="20.399999999999999" x14ac:dyDescent="0.25">
      <c r="A573" s="10">
        <v>1401005</v>
      </c>
      <c r="B573" s="11" t="s">
        <v>940</v>
      </c>
      <c r="C573" s="25" t="s">
        <v>945</v>
      </c>
      <c r="D573" s="11"/>
      <c r="E573" s="10" t="s">
        <v>946</v>
      </c>
      <c r="F573" s="10" t="s">
        <v>557</v>
      </c>
      <c r="G573" s="55">
        <f t="shared" si="15"/>
        <v>0.15309999999999999</v>
      </c>
      <c r="H573" s="10">
        <v>4</v>
      </c>
      <c r="I573" s="13">
        <v>100000</v>
      </c>
      <c r="J573" s="56"/>
      <c r="K573" s="57"/>
      <c r="M573" s="14"/>
      <c r="N573" s="14"/>
      <c r="O573" s="14"/>
      <c r="P573" s="14"/>
      <c r="Q573" s="14"/>
      <c r="R573" s="14"/>
      <c r="S573" s="14"/>
      <c r="T573" s="70"/>
      <c r="U573" s="76">
        <v>0.15</v>
      </c>
      <c r="V573" s="76">
        <v>3.0999999999999999E-3</v>
      </c>
      <c r="W573" s="76">
        <v>0.15</v>
      </c>
      <c r="X573" s="76">
        <v>3.0999999999999999E-3</v>
      </c>
      <c r="Y573" s="110"/>
      <c r="Z573" s="78"/>
      <c r="AA573" s="79" t="s">
        <v>36</v>
      </c>
      <c r="AB573" s="79" t="s">
        <v>35</v>
      </c>
      <c r="AC573" s="79" t="s">
        <v>37</v>
      </c>
      <c r="AD573" s="79" t="s">
        <v>38</v>
      </c>
      <c r="AE573" s="79" t="s">
        <v>947</v>
      </c>
      <c r="AF573" s="94" t="s">
        <v>948</v>
      </c>
      <c r="AG573" s="79" t="s">
        <v>949</v>
      </c>
      <c r="AH573" s="79"/>
      <c r="AI573" s="53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</row>
    <row r="574" spans="1:110" ht="13.8" x14ac:dyDescent="0.25">
      <c r="A574" s="24">
        <v>1401006</v>
      </c>
      <c r="B574" s="11" t="s">
        <v>940</v>
      </c>
      <c r="C574" s="12" t="s">
        <v>950</v>
      </c>
      <c r="D574" s="40"/>
      <c r="E574" s="10" t="s">
        <v>951</v>
      </c>
      <c r="F574" s="10" t="s">
        <v>557</v>
      </c>
      <c r="G574" s="55" t="str">
        <f t="shared" si="15"/>
        <v>Obsolete</v>
      </c>
      <c r="H574" s="10">
        <v>4</v>
      </c>
      <c r="I574" s="13">
        <v>1000</v>
      </c>
      <c r="J574" s="56"/>
      <c r="K574" s="57"/>
      <c r="M574" s="14">
        <v>5.8000000000000003E-2</v>
      </c>
      <c r="N574" s="14"/>
      <c r="O574" s="14"/>
      <c r="P574" s="14"/>
      <c r="Q574" s="14"/>
      <c r="R574" s="14"/>
      <c r="S574" s="14"/>
      <c r="T574" s="70"/>
      <c r="U574" s="76" t="s">
        <v>54</v>
      </c>
      <c r="V574" s="97"/>
      <c r="W574" s="76" t="s">
        <v>54</v>
      </c>
      <c r="X574" s="76"/>
      <c r="Y574" s="97"/>
      <c r="Z574" s="78">
        <v>1000</v>
      </c>
      <c r="AA574" s="79" t="s">
        <v>36</v>
      </c>
      <c r="AB574" s="79" t="s">
        <v>37</v>
      </c>
      <c r="AC574" s="79" t="s">
        <v>37</v>
      </c>
      <c r="AD574" s="79"/>
      <c r="AE574" s="79" t="s">
        <v>952</v>
      </c>
      <c r="AF574" s="79" t="s">
        <v>953</v>
      </c>
      <c r="AG574" s="79" t="s">
        <v>954</v>
      </c>
      <c r="AH574" s="79"/>
      <c r="AI574" s="53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</row>
    <row r="575" spans="1:110" ht="13.8" x14ac:dyDescent="0.25">
      <c r="A575" s="24">
        <v>1401007</v>
      </c>
      <c r="B575" s="11" t="s">
        <v>940</v>
      </c>
      <c r="C575" s="12" t="s">
        <v>955</v>
      </c>
      <c r="D575" s="40"/>
      <c r="E575" s="10" t="s">
        <v>946</v>
      </c>
      <c r="F575" s="10" t="s">
        <v>557</v>
      </c>
      <c r="G575" s="55">
        <f t="shared" si="15"/>
        <v>0.1051</v>
      </c>
      <c r="H575" s="10">
        <v>4</v>
      </c>
      <c r="I575" s="13">
        <v>15000</v>
      </c>
      <c r="J575" s="56"/>
      <c r="K575" s="57"/>
      <c r="M575" s="14"/>
      <c r="N575" s="14"/>
      <c r="O575" s="14"/>
      <c r="P575" s="14"/>
      <c r="Q575" s="14"/>
      <c r="R575" s="14"/>
      <c r="S575" s="14"/>
      <c r="T575" s="70"/>
      <c r="U575" s="76">
        <v>0.10199999999999999</v>
      </c>
      <c r="V575" s="76">
        <v>3.0999999999999999E-3</v>
      </c>
      <c r="W575" s="76">
        <v>0.10199999999999999</v>
      </c>
      <c r="X575" s="76">
        <v>3.0999999999999999E-3</v>
      </c>
      <c r="Y575" s="97"/>
      <c r="Z575" s="78"/>
      <c r="AA575" s="79" t="s">
        <v>36</v>
      </c>
      <c r="AB575" s="79" t="s">
        <v>35</v>
      </c>
      <c r="AC575" s="79" t="s">
        <v>37</v>
      </c>
      <c r="AD575" s="79" t="s">
        <v>38</v>
      </c>
      <c r="AE575" s="79" t="s">
        <v>947</v>
      </c>
      <c r="AF575" s="94" t="s">
        <v>948</v>
      </c>
      <c r="AG575" s="79" t="s">
        <v>949</v>
      </c>
      <c r="AH575" s="79"/>
      <c r="AI575" s="53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</row>
    <row r="576" spans="1:110" ht="13.8" x14ac:dyDescent="0.25">
      <c r="A576" s="10">
        <v>1402001</v>
      </c>
      <c r="B576" s="26" t="s">
        <v>956</v>
      </c>
      <c r="C576" s="12" t="s">
        <v>957</v>
      </c>
      <c r="D576" s="11"/>
      <c r="E576" s="10" t="s">
        <v>958</v>
      </c>
      <c r="F576" s="10" t="s">
        <v>557</v>
      </c>
      <c r="G576" s="55" t="str">
        <f t="shared" si="15"/>
        <v>Obsolete</v>
      </c>
      <c r="H576" s="10">
        <v>4</v>
      </c>
      <c r="I576" s="13" t="s">
        <v>959</v>
      </c>
      <c r="J576" s="56"/>
      <c r="K576" s="57"/>
      <c r="M576" s="14"/>
      <c r="N576" s="14"/>
      <c r="O576" s="14"/>
      <c r="P576" s="14"/>
      <c r="Q576" s="14"/>
      <c r="R576" s="14"/>
      <c r="S576" s="14"/>
      <c r="T576" s="70"/>
      <c r="U576" s="76" t="s">
        <v>54</v>
      </c>
      <c r="V576" s="97"/>
      <c r="W576" s="76" t="s">
        <v>54</v>
      </c>
      <c r="X576" s="76"/>
      <c r="Y576" s="97"/>
      <c r="Z576" s="78"/>
      <c r="AA576" s="79" t="s">
        <v>960</v>
      </c>
      <c r="AB576" s="79" t="s">
        <v>37</v>
      </c>
      <c r="AC576" s="79" t="s">
        <v>37</v>
      </c>
      <c r="AD576" s="79"/>
      <c r="AE576" s="79"/>
      <c r="AF576" s="79"/>
      <c r="AG576" s="79"/>
      <c r="AH576" s="79"/>
      <c r="AI576" s="53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</row>
    <row r="577" spans="1:110" ht="20.399999999999999" x14ac:dyDescent="0.25">
      <c r="A577" s="24">
        <v>1402002</v>
      </c>
      <c r="B577" s="26" t="s">
        <v>956</v>
      </c>
      <c r="C577" s="25" t="s">
        <v>961</v>
      </c>
      <c r="D577" s="26"/>
      <c r="E577" s="10" t="s">
        <v>962</v>
      </c>
      <c r="F577" s="10" t="s">
        <v>557</v>
      </c>
      <c r="G577" s="55" t="str">
        <f t="shared" si="15"/>
        <v>Obsolete</v>
      </c>
      <c r="H577" s="10">
        <v>1</v>
      </c>
      <c r="I577" s="13">
        <v>100</v>
      </c>
      <c r="J577" s="56"/>
      <c r="K577" s="57"/>
      <c r="M577" s="14"/>
      <c r="N577" s="14"/>
      <c r="O577" s="14"/>
      <c r="P577" s="14"/>
      <c r="Q577" s="14"/>
      <c r="R577" s="14"/>
      <c r="S577" s="14"/>
      <c r="T577" s="70"/>
      <c r="U577" s="76" t="s">
        <v>54</v>
      </c>
      <c r="V577" s="97"/>
      <c r="W577" s="76" t="s">
        <v>54</v>
      </c>
      <c r="X577" s="76"/>
      <c r="Y577" s="97"/>
      <c r="Z577" s="87"/>
      <c r="AA577" s="79" t="s">
        <v>292</v>
      </c>
      <c r="AB577" s="79" t="s">
        <v>37</v>
      </c>
      <c r="AC577" s="79" t="s">
        <v>37</v>
      </c>
      <c r="AD577" s="79"/>
      <c r="AE577" s="79"/>
      <c r="AF577" s="79"/>
      <c r="AG577" s="79"/>
      <c r="AH577" s="79"/>
      <c r="AI577" s="53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</row>
    <row r="578" spans="1:110" ht="20.399999999999999" x14ac:dyDescent="0.25">
      <c r="A578" s="24">
        <v>1402003</v>
      </c>
      <c r="B578" s="26" t="s">
        <v>956</v>
      </c>
      <c r="C578" s="25" t="s">
        <v>963</v>
      </c>
      <c r="D578" s="26"/>
      <c r="E578" s="10" t="s">
        <v>962</v>
      </c>
      <c r="F578" s="10" t="s">
        <v>557</v>
      </c>
      <c r="G578" s="55" t="str">
        <f t="shared" si="15"/>
        <v>Obsolete</v>
      </c>
      <c r="H578" s="10">
        <v>1</v>
      </c>
      <c r="I578" s="13">
        <v>100</v>
      </c>
      <c r="J578" s="56"/>
      <c r="K578" s="57"/>
      <c r="M578" s="14"/>
      <c r="N578" s="14"/>
      <c r="O578" s="14"/>
      <c r="P578" s="14"/>
      <c r="Q578" s="14"/>
      <c r="R578" s="14"/>
      <c r="S578" s="14"/>
      <c r="T578" s="70"/>
      <c r="U578" s="76" t="s">
        <v>54</v>
      </c>
      <c r="V578" s="97"/>
      <c r="W578" s="76" t="s">
        <v>54</v>
      </c>
      <c r="X578" s="76"/>
      <c r="Y578" s="97"/>
      <c r="Z578" s="87"/>
      <c r="AA578" s="79" t="s">
        <v>292</v>
      </c>
      <c r="AB578" s="79" t="s">
        <v>37</v>
      </c>
      <c r="AC578" s="79" t="s">
        <v>37</v>
      </c>
      <c r="AD578" s="79"/>
      <c r="AE578" s="79"/>
      <c r="AF578" s="79"/>
      <c r="AG578" s="79"/>
      <c r="AH578" s="79"/>
      <c r="AI578" s="53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</row>
    <row r="579" spans="1:110" ht="20.399999999999999" x14ac:dyDescent="0.25">
      <c r="A579" s="24">
        <v>1402004</v>
      </c>
      <c r="B579" s="26" t="s">
        <v>956</v>
      </c>
      <c r="C579" s="25" t="s">
        <v>964</v>
      </c>
      <c r="D579" s="26"/>
      <c r="E579" s="10" t="s">
        <v>962</v>
      </c>
      <c r="F579" s="10" t="s">
        <v>557</v>
      </c>
      <c r="G579" s="55" t="str">
        <f t="shared" si="15"/>
        <v>Obsolete</v>
      </c>
      <c r="H579" s="10"/>
      <c r="I579" s="13"/>
      <c r="J579" s="56"/>
      <c r="K579" s="57"/>
      <c r="M579" s="14"/>
      <c r="N579" s="14"/>
      <c r="O579" s="14"/>
      <c r="P579" s="14"/>
      <c r="Q579" s="14"/>
      <c r="R579" s="14"/>
      <c r="S579" s="14"/>
      <c r="T579" s="70"/>
      <c r="U579" s="76" t="s">
        <v>54</v>
      </c>
      <c r="V579" s="97"/>
      <c r="W579" s="76" t="s">
        <v>54</v>
      </c>
      <c r="X579" s="76"/>
      <c r="Y579" s="97"/>
      <c r="Z579" s="87"/>
      <c r="AA579" s="79" t="s">
        <v>292</v>
      </c>
      <c r="AB579" s="79" t="s">
        <v>37</v>
      </c>
      <c r="AC579" s="79" t="s">
        <v>37</v>
      </c>
      <c r="AD579" s="79"/>
      <c r="AE579" s="79"/>
      <c r="AF579" s="79"/>
      <c r="AG579" s="79"/>
      <c r="AH579" s="79"/>
      <c r="AI579" s="53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</row>
    <row r="580" spans="1:110" ht="13.8" x14ac:dyDescent="0.25">
      <c r="A580" s="24">
        <v>1402005</v>
      </c>
      <c r="B580" s="26" t="s">
        <v>956</v>
      </c>
      <c r="C580" s="25" t="s">
        <v>965</v>
      </c>
      <c r="D580" s="26"/>
      <c r="E580" s="10" t="s">
        <v>966</v>
      </c>
      <c r="F580" s="10" t="s">
        <v>557</v>
      </c>
      <c r="G580" s="55" t="str">
        <f t="shared" si="15"/>
        <v>Obsolete</v>
      </c>
      <c r="H580" s="10"/>
      <c r="I580" s="13"/>
      <c r="J580" s="56"/>
      <c r="K580" s="57"/>
      <c r="M580" s="14"/>
      <c r="N580" s="14"/>
      <c r="O580" s="14"/>
      <c r="P580" s="14"/>
      <c r="Q580" s="14"/>
      <c r="R580" s="14"/>
      <c r="S580" s="14"/>
      <c r="T580" s="70"/>
      <c r="U580" s="76" t="s">
        <v>54</v>
      </c>
      <c r="V580" s="97"/>
      <c r="W580" s="76" t="s">
        <v>54</v>
      </c>
      <c r="X580" s="76"/>
      <c r="Y580" s="97"/>
      <c r="Z580" s="87"/>
      <c r="AA580" s="79" t="s">
        <v>966</v>
      </c>
      <c r="AB580" s="79" t="s">
        <v>37</v>
      </c>
      <c r="AC580" s="79" t="s">
        <v>37</v>
      </c>
      <c r="AD580" s="79"/>
      <c r="AE580" s="79"/>
      <c r="AF580" s="79"/>
      <c r="AG580" s="79"/>
      <c r="AH580" s="79"/>
      <c r="AI580" s="53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</row>
    <row r="581" spans="1:110" ht="13.8" x14ac:dyDescent="0.25">
      <c r="A581" s="24">
        <v>1402006</v>
      </c>
      <c r="B581" s="26" t="s">
        <v>956</v>
      </c>
      <c r="C581" s="25" t="s">
        <v>967</v>
      </c>
      <c r="D581" s="26"/>
      <c r="E581" s="10" t="s">
        <v>962</v>
      </c>
      <c r="F581" s="10" t="s">
        <v>557</v>
      </c>
      <c r="G581" s="55" t="str">
        <f t="shared" si="15"/>
        <v>Obsolete</v>
      </c>
      <c r="H581" s="10"/>
      <c r="I581" s="13">
        <v>16500</v>
      </c>
      <c r="J581" s="56"/>
      <c r="K581" s="57"/>
      <c r="M581" s="14"/>
      <c r="N581" s="14"/>
      <c r="O581" s="14"/>
      <c r="P581" s="14"/>
      <c r="Q581" s="14"/>
      <c r="R581" s="14"/>
      <c r="S581" s="14"/>
      <c r="T581" s="70"/>
      <c r="U581" s="76" t="s">
        <v>54</v>
      </c>
      <c r="V581" s="97"/>
      <c r="W581" s="76" t="s">
        <v>54</v>
      </c>
      <c r="X581" s="76"/>
      <c r="Y581" s="97"/>
      <c r="Z581" s="87"/>
      <c r="AA581" s="79" t="s">
        <v>968</v>
      </c>
      <c r="AB581" s="79" t="s">
        <v>37</v>
      </c>
      <c r="AC581" s="79" t="s">
        <v>37</v>
      </c>
      <c r="AD581" s="79"/>
      <c r="AE581" s="79"/>
      <c r="AF581" s="79"/>
      <c r="AG581" s="79"/>
      <c r="AH581" s="79"/>
      <c r="AI581" s="53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</row>
    <row r="582" spans="1:110" ht="13.8" x14ac:dyDescent="0.25">
      <c r="A582" s="24">
        <v>1402007</v>
      </c>
      <c r="B582" s="26" t="s">
        <v>956</v>
      </c>
      <c r="C582" s="25" t="s">
        <v>969</v>
      </c>
      <c r="D582" s="26"/>
      <c r="E582" s="10" t="s">
        <v>962</v>
      </c>
      <c r="F582" s="10" t="s">
        <v>557</v>
      </c>
      <c r="G582" s="55" t="str">
        <f t="shared" si="15"/>
        <v>Obsolete</v>
      </c>
      <c r="H582" s="10"/>
      <c r="I582" s="13">
        <v>16500</v>
      </c>
      <c r="J582" s="56"/>
      <c r="K582" s="57"/>
      <c r="M582" s="14"/>
      <c r="N582" s="14"/>
      <c r="O582" s="14"/>
      <c r="P582" s="14"/>
      <c r="Q582" s="14"/>
      <c r="R582" s="14"/>
      <c r="S582" s="14"/>
      <c r="T582" s="70"/>
      <c r="U582" s="76" t="s">
        <v>54</v>
      </c>
      <c r="V582" s="97"/>
      <c r="W582" s="76" t="s">
        <v>54</v>
      </c>
      <c r="X582" s="76"/>
      <c r="Y582" s="97"/>
      <c r="Z582" s="87"/>
      <c r="AA582" s="79" t="s">
        <v>968</v>
      </c>
      <c r="AB582" s="79" t="s">
        <v>37</v>
      </c>
      <c r="AC582" s="79" t="s">
        <v>37</v>
      </c>
      <c r="AD582" s="79"/>
      <c r="AE582" s="79"/>
      <c r="AF582" s="79"/>
      <c r="AG582" s="79"/>
      <c r="AH582" s="79"/>
      <c r="AI582" s="53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</row>
    <row r="583" spans="1:110" ht="13.8" x14ac:dyDescent="0.25">
      <c r="A583" s="24">
        <v>1402008</v>
      </c>
      <c r="B583" s="26" t="s">
        <v>934</v>
      </c>
      <c r="C583" s="25" t="s">
        <v>970</v>
      </c>
      <c r="D583" s="26" t="s">
        <v>971</v>
      </c>
      <c r="E583" s="10" t="s">
        <v>972</v>
      </c>
      <c r="F583" s="10" t="s">
        <v>557</v>
      </c>
      <c r="G583" s="55">
        <f t="shared" si="15"/>
        <v>0.18454999999999999</v>
      </c>
      <c r="H583" s="10">
        <v>10</v>
      </c>
      <c r="I583" s="13">
        <v>4500</v>
      </c>
      <c r="J583" s="56"/>
      <c r="K583" s="57"/>
      <c r="M583" s="14"/>
      <c r="N583" s="14"/>
      <c r="O583" s="14"/>
      <c r="P583" s="14"/>
      <c r="Q583" s="14"/>
      <c r="R583" s="14"/>
      <c r="S583" s="14"/>
      <c r="T583" s="70"/>
      <c r="U583" s="76">
        <v>0.1479</v>
      </c>
      <c r="V583" s="76">
        <v>3.6650000000000002E-2</v>
      </c>
      <c r="W583" s="76">
        <v>0.1479</v>
      </c>
      <c r="X583" s="76">
        <v>3.6650000000000002E-2</v>
      </c>
      <c r="Y583" s="77" t="s">
        <v>35</v>
      </c>
      <c r="Z583" s="98">
        <v>4500</v>
      </c>
      <c r="AA583" s="79" t="s">
        <v>36</v>
      </c>
      <c r="AB583" s="79" t="s">
        <v>35</v>
      </c>
      <c r="AC583" s="79" t="s">
        <v>37</v>
      </c>
      <c r="AD583" s="79" t="s">
        <v>38</v>
      </c>
      <c r="AE583" s="79" t="s">
        <v>973</v>
      </c>
      <c r="AF583" s="79" t="s">
        <v>974</v>
      </c>
      <c r="AG583" s="79" t="s">
        <v>975</v>
      </c>
      <c r="AH583" s="79"/>
      <c r="AI583" s="53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</row>
    <row r="584" spans="1:110" ht="10.5" customHeight="1" x14ac:dyDescent="0.25">
      <c r="A584" s="24">
        <v>1402009</v>
      </c>
      <c r="B584" s="26" t="s">
        <v>934</v>
      </c>
      <c r="C584" s="25" t="s">
        <v>1500</v>
      </c>
      <c r="D584" s="26"/>
      <c r="E584" s="10" t="s">
        <v>976</v>
      </c>
      <c r="F584" s="10" t="s">
        <v>557</v>
      </c>
      <c r="G584" s="55">
        <f t="shared" si="15"/>
        <v>0.12740000000000001</v>
      </c>
      <c r="H584" s="10"/>
      <c r="I584" s="13"/>
      <c r="J584" s="56"/>
      <c r="K584" s="57"/>
      <c r="M584" s="14"/>
      <c r="N584" s="14"/>
      <c r="O584" s="14"/>
      <c r="P584" s="14"/>
      <c r="Q584" s="14"/>
      <c r="R584" s="14"/>
      <c r="S584" s="14"/>
      <c r="T584" s="70"/>
      <c r="U584" s="76">
        <f>82.4/1000</f>
        <v>8.2400000000000001E-2</v>
      </c>
      <c r="V584" s="76">
        <v>4.4999999999999998E-2</v>
      </c>
      <c r="W584" s="76">
        <f>82.4/1000</f>
        <v>8.2400000000000001E-2</v>
      </c>
      <c r="X584" s="76">
        <v>4.4999999999999998E-2</v>
      </c>
      <c r="Y584" s="77"/>
      <c r="Z584" s="98"/>
      <c r="AA584" s="79"/>
      <c r="AB584" s="79"/>
      <c r="AC584" s="79"/>
      <c r="AD584" s="79"/>
      <c r="AE584" s="79"/>
      <c r="AF584" s="79"/>
      <c r="AG584" s="79"/>
      <c r="AH584" s="79"/>
      <c r="AI584" s="53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</row>
    <row r="585" spans="1:110" ht="13.5" customHeight="1" x14ac:dyDescent="0.25">
      <c r="A585" s="24">
        <v>1402020</v>
      </c>
      <c r="B585" s="26" t="s">
        <v>956</v>
      </c>
      <c r="C585" s="25" t="s">
        <v>977</v>
      </c>
      <c r="D585" s="26"/>
      <c r="E585" s="17" t="s">
        <v>57</v>
      </c>
      <c r="F585" s="10" t="s">
        <v>557</v>
      </c>
      <c r="G585" s="55" t="str">
        <f t="shared" si="15"/>
        <v>Obsolete</v>
      </c>
      <c r="H585" s="10"/>
      <c r="I585" s="13"/>
      <c r="J585" s="56"/>
      <c r="K585" s="57"/>
      <c r="M585" s="14"/>
      <c r="N585" s="14"/>
      <c r="O585" s="14"/>
      <c r="P585" s="14"/>
      <c r="Q585" s="14"/>
      <c r="R585" s="14"/>
      <c r="S585" s="14"/>
      <c r="T585" s="70"/>
      <c r="U585" s="76" t="s">
        <v>54</v>
      </c>
      <c r="V585" s="97"/>
      <c r="W585" s="76" t="s">
        <v>54</v>
      </c>
      <c r="X585" s="76"/>
      <c r="Y585" s="97"/>
      <c r="Z585" s="87"/>
      <c r="AA585" s="79"/>
      <c r="AB585" s="79" t="s">
        <v>37</v>
      </c>
      <c r="AC585" s="79" t="s">
        <v>37</v>
      </c>
      <c r="AD585" s="79"/>
      <c r="AE585" s="79"/>
      <c r="AF585" s="79"/>
      <c r="AG585" s="79"/>
      <c r="AH585" s="79"/>
      <c r="AI585" s="53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</row>
    <row r="586" spans="1:110" ht="20.399999999999999" x14ac:dyDescent="0.25">
      <c r="A586" s="10">
        <v>1403001</v>
      </c>
      <c r="B586" s="11" t="s">
        <v>934</v>
      </c>
      <c r="C586" s="25" t="s">
        <v>978</v>
      </c>
      <c r="D586" s="11"/>
      <c r="E586" s="10" t="s">
        <v>1578</v>
      </c>
      <c r="F586" s="10" t="s">
        <v>557</v>
      </c>
      <c r="G586" s="55">
        <f t="shared" si="15"/>
        <v>4.82E-2</v>
      </c>
      <c r="H586" s="10">
        <v>6</v>
      </c>
      <c r="I586" s="13">
        <v>100000</v>
      </c>
      <c r="J586" s="56">
        <v>44273</v>
      </c>
      <c r="K586" s="57">
        <v>4.5400000000000003E-2</v>
      </c>
      <c r="M586" s="14"/>
      <c r="N586" s="14"/>
      <c r="O586" s="14"/>
      <c r="P586" s="14"/>
      <c r="Q586" s="14"/>
      <c r="R586" s="14"/>
      <c r="S586" s="14"/>
      <c r="T586" s="70"/>
      <c r="U586" s="76">
        <v>4.02E-2</v>
      </c>
      <c r="V586" s="76">
        <v>8.0000000000000002E-3</v>
      </c>
      <c r="W586" s="76">
        <v>4.2000000000000003E-2</v>
      </c>
      <c r="X586" s="76">
        <v>8.0000000000000002E-3</v>
      </c>
      <c r="Y586" s="77" t="s">
        <v>35</v>
      </c>
      <c r="Z586" s="98">
        <v>10000</v>
      </c>
      <c r="AA586" s="79" t="s">
        <v>36</v>
      </c>
      <c r="AB586" s="79" t="s">
        <v>35</v>
      </c>
      <c r="AC586" s="79" t="s">
        <v>37</v>
      </c>
      <c r="AD586" s="79" t="s">
        <v>38</v>
      </c>
      <c r="AE586" s="79" t="s">
        <v>979</v>
      </c>
      <c r="AF586" s="79" t="s">
        <v>980</v>
      </c>
      <c r="AG586" s="105" t="s">
        <v>981</v>
      </c>
      <c r="AH586" s="79"/>
      <c r="AI586" s="53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</row>
    <row r="587" spans="1:110" ht="13.8" x14ac:dyDescent="0.25">
      <c r="A587" s="10">
        <v>1403002</v>
      </c>
      <c r="B587" s="11" t="s">
        <v>934</v>
      </c>
      <c r="C587" s="12" t="s">
        <v>982</v>
      </c>
      <c r="D587" s="11"/>
      <c r="E587" s="17" t="s">
        <v>57</v>
      </c>
      <c r="F587" s="10" t="s">
        <v>557</v>
      </c>
      <c r="G587" s="55" t="str">
        <f t="shared" si="15"/>
        <v>Obsolete</v>
      </c>
      <c r="H587" s="10">
        <v>6</v>
      </c>
      <c r="I587" s="13"/>
      <c r="J587" s="56"/>
      <c r="K587" s="57"/>
      <c r="M587" s="14"/>
      <c r="N587" s="14"/>
      <c r="O587" s="14"/>
      <c r="P587" s="14"/>
      <c r="Q587" s="14"/>
      <c r="R587" s="14"/>
      <c r="S587" s="14"/>
      <c r="T587" s="70"/>
      <c r="U587" s="76" t="s">
        <v>54</v>
      </c>
      <c r="V587" s="97"/>
      <c r="W587" s="76" t="s">
        <v>54</v>
      </c>
      <c r="X587" s="76"/>
      <c r="Y587" s="97"/>
      <c r="Z587" s="78"/>
      <c r="AA587" s="79" t="s">
        <v>55</v>
      </c>
      <c r="AB587" s="79" t="s">
        <v>37</v>
      </c>
      <c r="AC587" s="79" t="s">
        <v>37</v>
      </c>
      <c r="AD587" s="79"/>
      <c r="AE587" s="79"/>
      <c r="AF587" s="79"/>
      <c r="AG587" s="79"/>
      <c r="AH587" s="79"/>
      <c r="AI587" s="53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</row>
    <row r="588" spans="1:110" ht="13.8" x14ac:dyDescent="0.25">
      <c r="A588" s="24">
        <v>1403003</v>
      </c>
      <c r="B588" s="26" t="s">
        <v>956</v>
      </c>
      <c r="C588" s="25" t="s">
        <v>983</v>
      </c>
      <c r="D588" s="26"/>
      <c r="E588" s="17" t="s">
        <v>57</v>
      </c>
      <c r="F588" s="10" t="s">
        <v>557</v>
      </c>
      <c r="G588" s="55" t="str">
        <f t="shared" si="15"/>
        <v>Obsolete</v>
      </c>
      <c r="H588" s="10"/>
      <c r="I588" s="13"/>
      <c r="J588" s="56"/>
      <c r="K588" s="57"/>
      <c r="M588" s="14"/>
      <c r="N588" s="14"/>
      <c r="O588" s="14"/>
      <c r="P588" s="14"/>
      <c r="Q588" s="14"/>
      <c r="R588" s="14"/>
      <c r="S588" s="14"/>
      <c r="T588" s="70"/>
      <c r="U588" s="76" t="s">
        <v>54</v>
      </c>
      <c r="V588" s="97"/>
      <c r="W588" s="76" t="s">
        <v>54</v>
      </c>
      <c r="X588" s="76"/>
      <c r="Y588" s="97"/>
      <c r="Z588" s="87"/>
      <c r="AA588" s="79"/>
      <c r="AB588" s="79" t="s">
        <v>37</v>
      </c>
      <c r="AC588" s="79" t="s">
        <v>37</v>
      </c>
      <c r="AD588" s="79"/>
      <c r="AE588" s="79"/>
      <c r="AF588" s="79"/>
      <c r="AG588" s="79"/>
      <c r="AH588" s="79"/>
      <c r="AI588" s="53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</row>
    <row r="589" spans="1:110" ht="13.8" x14ac:dyDescent="0.25">
      <c r="A589" s="24">
        <v>1403004</v>
      </c>
      <c r="B589" s="26" t="s">
        <v>934</v>
      </c>
      <c r="C589" s="25" t="s">
        <v>984</v>
      </c>
      <c r="D589" s="26"/>
      <c r="E589" s="10" t="s">
        <v>1578</v>
      </c>
      <c r="F589" s="10" t="s">
        <v>557</v>
      </c>
      <c r="G589" s="55">
        <f t="shared" si="15"/>
        <v>0.121</v>
      </c>
      <c r="H589" s="10">
        <v>8</v>
      </c>
      <c r="I589" s="13">
        <v>50000</v>
      </c>
      <c r="J589" s="56">
        <v>44273</v>
      </c>
      <c r="K589" s="57">
        <v>0.10469999999999999</v>
      </c>
      <c r="M589" s="14"/>
      <c r="N589" s="14"/>
      <c r="O589" s="14"/>
      <c r="P589" s="14"/>
      <c r="Q589" s="14"/>
      <c r="R589" s="14"/>
      <c r="S589" s="14"/>
      <c r="T589" s="70"/>
      <c r="U589" s="76">
        <v>0.109</v>
      </c>
      <c r="V589" s="76">
        <f>600/50000</f>
        <v>1.2E-2</v>
      </c>
      <c r="W589" s="76">
        <v>0.109</v>
      </c>
      <c r="X589" s="76">
        <f>600/50000</f>
        <v>1.2E-2</v>
      </c>
      <c r="Y589" s="77" t="s">
        <v>35</v>
      </c>
      <c r="Z589" s="98">
        <v>10000</v>
      </c>
      <c r="AA589" s="79" t="s">
        <v>36</v>
      </c>
      <c r="AB589" s="79" t="s">
        <v>35</v>
      </c>
      <c r="AC589" s="79" t="s">
        <v>37</v>
      </c>
      <c r="AD589" s="79" t="s">
        <v>38</v>
      </c>
      <c r="AE589" s="79" t="s">
        <v>979</v>
      </c>
      <c r="AF589" s="79" t="s">
        <v>980</v>
      </c>
      <c r="AG589" s="105" t="s">
        <v>981</v>
      </c>
      <c r="AH589" s="79"/>
      <c r="AI589" s="53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</row>
    <row r="590" spans="1:110" ht="20.399999999999999" x14ac:dyDescent="0.25">
      <c r="A590" s="24">
        <v>1403005</v>
      </c>
      <c r="B590" s="26" t="s">
        <v>934</v>
      </c>
      <c r="C590" s="25" t="s">
        <v>985</v>
      </c>
      <c r="D590" s="26"/>
      <c r="E590" s="10" t="s">
        <v>1578</v>
      </c>
      <c r="F590" s="10" t="s">
        <v>557</v>
      </c>
      <c r="G590" s="55">
        <f t="shared" si="15"/>
        <v>9.227272727272727E-2</v>
      </c>
      <c r="H590" s="10">
        <v>8</v>
      </c>
      <c r="I590" s="13">
        <v>100000</v>
      </c>
      <c r="J590" s="56">
        <v>44273</v>
      </c>
      <c r="K590" s="57">
        <v>0.06</v>
      </c>
      <c r="M590" s="14"/>
      <c r="N590" s="14"/>
      <c r="O590" s="14"/>
      <c r="P590" s="14"/>
      <c r="Q590" s="14"/>
      <c r="R590" s="14"/>
      <c r="S590" s="14"/>
      <c r="T590" s="70"/>
      <c r="U590" s="76">
        <v>6.5000000000000002E-2</v>
      </c>
      <c r="V590" s="76">
        <f>600/22000</f>
        <v>2.7272727272727271E-2</v>
      </c>
      <c r="W590" s="76">
        <v>5.1999999999999998E-2</v>
      </c>
      <c r="X590" s="76">
        <f>600/22000</f>
        <v>2.7272727272727271E-2</v>
      </c>
      <c r="Y590" s="77" t="s">
        <v>35</v>
      </c>
      <c r="Z590" s="98">
        <v>10000</v>
      </c>
      <c r="AA590" s="79" t="s">
        <v>36</v>
      </c>
      <c r="AB590" s="79" t="s">
        <v>35</v>
      </c>
      <c r="AC590" s="79" t="s">
        <v>37</v>
      </c>
      <c r="AD590" s="79" t="s">
        <v>38</v>
      </c>
      <c r="AE590" s="79" t="s">
        <v>979</v>
      </c>
      <c r="AF590" s="79" t="s">
        <v>980</v>
      </c>
      <c r="AG590" s="105" t="s">
        <v>981</v>
      </c>
      <c r="AH590" s="79"/>
      <c r="AI590" s="53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</row>
    <row r="591" spans="1:110" ht="20.399999999999999" x14ac:dyDescent="0.25">
      <c r="A591" s="24">
        <v>1403006</v>
      </c>
      <c r="B591" s="26" t="s">
        <v>956</v>
      </c>
      <c r="C591" s="25" t="s">
        <v>986</v>
      </c>
      <c r="D591" s="26"/>
      <c r="E591" s="10" t="s">
        <v>987</v>
      </c>
      <c r="F591" s="10" t="s">
        <v>557</v>
      </c>
      <c r="G591" s="55" t="str">
        <f t="shared" si="15"/>
        <v>Obsolete</v>
      </c>
      <c r="H591" s="10">
        <v>7</v>
      </c>
      <c r="I591" s="13">
        <v>75000</v>
      </c>
      <c r="J591" s="56"/>
      <c r="K591" s="57"/>
      <c r="M591" s="14"/>
      <c r="N591" s="14"/>
      <c r="O591" s="14"/>
      <c r="P591" s="14"/>
      <c r="Q591" s="14"/>
      <c r="R591" s="14"/>
      <c r="S591" s="14"/>
      <c r="T591" s="70"/>
      <c r="U591" s="76" t="s">
        <v>54</v>
      </c>
      <c r="V591" s="76">
        <v>1.7830000000000001E-3</v>
      </c>
      <c r="W591" s="76" t="s">
        <v>54</v>
      </c>
      <c r="X591" s="76">
        <v>1.7830000000000001E-3</v>
      </c>
      <c r="Y591" s="77" t="s">
        <v>35</v>
      </c>
      <c r="Z591" s="87"/>
      <c r="AA591" s="79" t="s">
        <v>988</v>
      </c>
      <c r="AB591" s="79" t="s">
        <v>37</v>
      </c>
      <c r="AC591" s="79" t="s">
        <v>35</v>
      </c>
      <c r="AD591" s="79"/>
      <c r="AE591" s="79" t="s">
        <v>989</v>
      </c>
      <c r="AF591" s="79" t="s">
        <v>990</v>
      </c>
      <c r="AG591" s="105" t="s">
        <v>991</v>
      </c>
      <c r="AH591" s="79"/>
      <c r="AI591" s="53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</row>
    <row r="592" spans="1:110" ht="20.399999999999999" x14ac:dyDescent="0.25">
      <c r="A592" s="24">
        <v>1403007</v>
      </c>
      <c r="B592" s="26" t="s">
        <v>956</v>
      </c>
      <c r="C592" s="25" t="s">
        <v>992</v>
      </c>
      <c r="D592" s="26"/>
      <c r="E592" s="10" t="s">
        <v>993</v>
      </c>
      <c r="F592" s="10" t="s">
        <v>557</v>
      </c>
      <c r="G592" s="55">
        <f t="shared" si="15"/>
        <v>5.8810000000000001E-2</v>
      </c>
      <c r="H592" s="10">
        <v>10</v>
      </c>
      <c r="I592" s="13">
        <v>30000</v>
      </c>
      <c r="J592" s="56"/>
      <c r="K592" s="57"/>
      <c r="M592" s="14"/>
      <c r="N592" s="14"/>
      <c r="O592" s="14"/>
      <c r="P592" s="14"/>
      <c r="Q592" s="14"/>
      <c r="R592" s="14"/>
      <c r="S592" s="14"/>
      <c r="T592" s="70"/>
      <c r="U592" s="76">
        <v>5.6300000000000003E-2</v>
      </c>
      <c r="V592" s="76">
        <v>2.5100000000000001E-3</v>
      </c>
      <c r="W592" s="76">
        <v>5.6300000000000003E-2</v>
      </c>
      <c r="X592" s="76">
        <v>2.5100000000000001E-3</v>
      </c>
      <c r="Y592" s="77" t="s">
        <v>37</v>
      </c>
      <c r="Z592" s="87"/>
      <c r="AA592" s="79" t="s">
        <v>517</v>
      </c>
      <c r="AB592" s="79" t="s">
        <v>35</v>
      </c>
      <c r="AC592" s="79" t="s">
        <v>35</v>
      </c>
      <c r="AD592" s="79"/>
      <c r="AE592" s="79" t="s">
        <v>994</v>
      </c>
      <c r="AF592" s="79" t="s">
        <v>995</v>
      </c>
      <c r="AG592" s="105" t="s">
        <v>996</v>
      </c>
      <c r="AH592" s="79"/>
      <c r="AI592" s="53"/>
      <c r="AJ592" s="7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</row>
    <row r="593" spans="1:110" ht="13.8" x14ac:dyDescent="0.25">
      <c r="A593" s="24">
        <v>1403008</v>
      </c>
      <c r="B593" s="26" t="s">
        <v>956</v>
      </c>
      <c r="C593" s="25" t="s">
        <v>997</v>
      </c>
      <c r="D593" s="26"/>
      <c r="E593" s="10" t="s">
        <v>998</v>
      </c>
      <c r="F593" s="10" t="s">
        <v>557</v>
      </c>
      <c r="G593" s="55">
        <f t="shared" si="15"/>
        <v>0.44</v>
      </c>
      <c r="H593" s="10">
        <v>14</v>
      </c>
      <c r="I593" s="13">
        <v>10000</v>
      </c>
      <c r="J593" s="56"/>
      <c r="K593" s="57"/>
      <c r="M593" s="14"/>
      <c r="N593" s="14"/>
      <c r="O593" s="14"/>
      <c r="P593" s="14"/>
      <c r="Q593" s="14"/>
      <c r="R593" s="14"/>
      <c r="S593" s="14"/>
      <c r="T593" s="70">
        <v>0.41499999999999998</v>
      </c>
      <c r="U593" s="76">
        <v>0.41499999999999998</v>
      </c>
      <c r="V593" s="76">
        <v>2.5000000000000001E-2</v>
      </c>
      <c r="W593" s="76">
        <v>0.41499999999999998</v>
      </c>
      <c r="X593" s="76">
        <v>2.5000000000000001E-2</v>
      </c>
      <c r="Y593" s="77" t="s">
        <v>35</v>
      </c>
      <c r="Z593" s="87">
        <v>10000</v>
      </c>
      <c r="AA593" s="79" t="s">
        <v>36</v>
      </c>
      <c r="AB593" s="79" t="s">
        <v>35</v>
      </c>
      <c r="AC593" s="79" t="s">
        <v>37</v>
      </c>
      <c r="AD593" s="79" t="s">
        <v>38</v>
      </c>
      <c r="AE593" s="79" t="s">
        <v>999</v>
      </c>
      <c r="AF593" s="79" t="s">
        <v>1000</v>
      </c>
      <c r="AG593" s="105" t="s">
        <v>1001</v>
      </c>
      <c r="AH593" s="79"/>
      <c r="AI593" s="53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</row>
    <row r="594" spans="1:110" ht="13.8" x14ac:dyDescent="0.25">
      <c r="A594" s="24">
        <v>1403009</v>
      </c>
      <c r="B594" s="26" t="s">
        <v>956</v>
      </c>
      <c r="C594" s="25" t="s">
        <v>1002</v>
      </c>
      <c r="D594" s="26"/>
      <c r="E594" s="10" t="s">
        <v>998</v>
      </c>
      <c r="F594" s="10" t="s">
        <v>557</v>
      </c>
      <c r="G594" s="55">
        <f t="shared" si="15"/>
        <v>0.44</v>
      </c>
      <c r="H594" s="10">
        <v>14</v>
      </c>
      <c r="I594" s="13">
        <v>10000</v>
      </c>
      <c r="J594" s="56"/>
      <c r="K594" s="57"/>
      <c r="M594" s="14"/>
      <c r="N594" s="14"/>
      <c r="O594" s="14"/>
      <c r="P594" s="14"/>
      <c r="Q594" s="14"/>
      <c r="R594" s="14"/>
      <c r="S594" s="14"/>
      <c r="T594" s="70">
        <v>0.41499999999999998</v>
      </c>
      <c r="U594" s="76">
        <v>0.41499999999999998</v>
      </c>
      <c r="V594" s="76">
        <v>2.5000000000000001E-2</v>
      </c>
      <c r="W594" s="76">
        <v>0.41499999999999998</v>
      </c>
      <c r="X594" s="76">
        <v>2.5000000000000001E-2</v>
      </c>
      <c r="Y594" s="77" t="s">
        <v>35</v>
      </c>
      <c r="Z594" s="87">
        <v>10000</v>
      </c>
      <c r="AA594" s="79" t="s">
        <v>36</v>
      </c>
      <c r="AB594" s="79" t="s">
        <v>35</v>
      </c>
      <c r="AC594" s="79" t="s">
        <v>37</v>
      </c>
      <c r="AD594" s="79" t="s">
        <v>38</v>
      </c>
      <c r="AE594" s="79" t="s">
        <v>999</v>
      </c>
      <c r="AF594" s="79" t="s">
        <v>1000</v>
      </c>
      <c r="AG594" s="105" t="s">
        <v>1001</v>
      </c>
      <c r="AH594" s="79"/>
      <c r="AI594" s="53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</row>
    <row r="595" spans="1:110" ht="13.8" x14ac:dyDescent="0.25">
      <c r="A595" s="43">
        <v>1403011</v>
      </c>
      <c r="B595" s="41" t="s">
        <v>956</v>
      </c>
      <c r="C595" s="42" t="s">
        <v>1003</v>
      </c>
      <c r="D595" s="11"/>
      <c r="E595" s="43" t="s">
        <v>1004</v>
      </c>
      <c r="F595" s="43" t="s">
        <v>557</v>
      </c>
      <c r="G595" s="55">
        <f t="shared" si="15"/>
        <v>0.12040000000000001</v>
      </c>
      <c r="H595" s="43">
        <v>12</v>
      </c>
      <c r="I595" s="13"/>
      <c r="J595" s="56"/>
      <c r="K595" s="57"/>
      <c r="M595" s="14"/>
      <c r="N595" s="14"/>
      <c r="O595" s="14"/>
      <c r="P595" s="14"/>
      <c r="Q595" s="14"/>
      <c r="R595" s="14"/>
      <c r="S595" s="14"/>
      <c r="T595" s="70"/>
      <c r="U595" s="111">
        <v>5.3400000000000003E-2</v>
      </c>
      <c r="V595" s="112">
        <v>6.7000000000000004E-2</v>
      </c>
      <c r="W595" s="111">
        <v>5.3400000000000003E-2</v>
      </c>
      <c r="X595" s="112">
        <v>6.7000000000000004E-2</v>
      </c>
      <c r="Y595" s="113" t="s">
        <v>37</v>
      </c>
      <c r="Z595" s="114">
        <v>1000</v>
      </c>
      <c r="AA595" s="115" t="s">
        <v>284</v>
      </c>
      <c r="AB595" s="115" t="s">
        <v>35</v>
      </c>
      <c r="AC595" s="115" t="s">
        <v>35</v>
      </c>
      <c r="AD595" s="79"/>
      <c r="AE595" s="115" t="s">
        <v>1005</v>
      </c>
      <c r="AF595" s="115" t="s">
        <v>1006</v>
      </c>
      <c r="AG595" s="115" t="s">
        <v>1007</v>
      </c>
      <c r="AH595" s="79"/>
      <c r="AI595" s="53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</row>
    <row r="596" spans="1:110" ht="13.8" x14ac:dyDescent="0.25">
      <c r="A596" s="10">
        <v>1404001</v>
      </c>
      <c r="B596" s="11" t="s">
        <v>956</v>
      </c>
      <c r="C596" s="12" t="s">
        <v>1008</v>
      </c>
      <c r="D596" s="11" t="s">
        <v>1009</v>
      </c>
      <c r="E596" s="10" t="s">
        <v>55</v>
      </c>
      <c r="F596" s="10" t="s">
        <v>557</v>
      </c>
      <c r="G596" s="55" t="str">
        <f t="shared" si="15"/>
        <v>Obsolete</v>
      </c>
      <c r="H596" s="10">
        <v>1</v>
      </c>
      <c r="I596" s="13" t="s">
        <v>38</v>
      </c>
      <c r="J596" s="56"/>
      <c r="K596" s="57"/>
      <c r="M596" s="14">
        <v>0.36299999999999999</v>
      </c>
      <c r="N596" s="14"/>
      <c r="O596" s="14"/>
      <c r="P596" s="14"/>
      <c r="Q596" s="14"/>
      <c r="R596" s="14"/>
      <c r="S596" s="14"/>
      <c r="T596" s="70"/>
      <c r="U596" s="76" t="s">
        <v>54</v>
      </c>
      <c r="V596" s="97"/>
      <c r="W596" s="76" t="s">
        <v>54</v>
      </c>
      <c r="X596" s="76"/>
      <c r="Y596" s="97"/>
      <c r="Z596" s="78">
        <v>3000</v>
      </c>
      <c r="AA596" s="79" t="s">
        <v>55</v>
      </c>
      <c r="AB596" s="79" t="s">
        <v>37</v>
      </c>
      <c r="AC596" s="79" t="s">
        <v>37</v>
      </c>
      <c r="AD596" s="79"/>
      <c r="AE596" s="79"/>
      <c r="AF596" s="79"/>
      <c r="AG596" s="79"/>
      <c r="AH596" s="79"/>
      <c r="AI596" s="53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</row>
    <row r="597" spans="1:110" ht="13.8" x14ac:dyDescent="0.25">
      <c r="A597" s="10">
        <v>1404002</v>
      </c>
      <c r="B597" s="11" t="s">
        <v>956</v>
      </c>
      <c r="C597" s="12" t="s">
        <v>1010</v>
      </c>
      <c r="D597" s="11" t="s">
        <v>1011</v>
      </c>
      <c r="E597" s="10" t="s">
        <v>55</v>
      </c>
      <c r="F597" s="10" t="s">
        <v>557</v>
      </c>
      <c r="G597" s="55" t="str">
        <f t="shared" si="15"/>
        <v>Obsolete</v>
      </c>
      <c r="H597" s="10">
        <v>1</v>
      </c>
      <c r="I597" s="13" t="s">
        <v>38</v>
      </c>
      <c r="J597" s="56"/>
      <c r="K597" s="57"/>
      <c r="M597" s="14">
        <v>0.36299999999999999</v>
      </c>
      <c r="N597" s="14"/>
      <c r="O597" s="14"/>
      <c r="P597" s="14"/>
      <c r="Q597" s="14"/>
      <c r="R597" s="14"/>
      <c r="S597" s="14"/>
      <c r="T597" s="70"/>
      <c r="U597" s="76" t="s">
        <v>54</v>
      </c>
      <c r="V597" s="97"/>
      <c r="W597" s="76" t="s">
        <v>54</v>
      </c>
      <c r="X597" s="76"/>
      <c r="Y597" s="97"/>
      <c r="Z597" s="78">
        <v>3000</v>
      </c>
      <c r="AA597" s="79" t="s">
        <v>55</v>
      </c>
      <c r="AB597" s="79" t="s">
        <v>37</v>
      </c>
      <c r="AC597" s="79" t="s">
        <v>37</v>
      </c>
      <c r="AD597" s="79"/>
      <c r="AE597" s="79"/>
      <c r="AF597" s="79"/>
      <c r="AG597" s="79"/>
      <c r="AH597" s="79"/>
      <c r="AI597" s="53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</row>
    <row r="598" spans="1:110" ht="13.8" x14ac:dyDescent="0.25">
      <c r="A598" s="24">
        <v>1404003</v>
      </c>
      <c r="B598" s="26" t="s">
        <v>956</v>
      </c>
      <c r="C598" s="25" t="s">
        <v>1012</v>
      </c>
      <c r="D598" s="26"/>
      <c r="E598" s="10" t="s">
        <v>1013</v>
      </c>
      <c r="F598" s="10" t="s">
        <v>557</v>
      </c>
      <c r="G598" s="55" t="str">
        <f t="shared" si="15"/>
        <v>Obsolete</v>
      </c>
      <c r="H598" s="10"/>
      <c r="I598" s="13"/>
      <c r="J598" s="56"/>
      <c r="K598" s="57"/>
      <c r="M598" s="14"/>
      <c r="N598" s="14"/>
      <c r="O598" s="14"/>
      <c r="P598" s="14"/>
      <c r="Q598" s="14"/>
      <c r="R598" s="14"/>
      <c r="S598" s="14"/>
      <c r="T598" s="70"/>
      <c r="U598" s="76" t="s">
        <v>54</v>
      </c>
      <c r="V598" s="97"/>
      <c r="W598" s="76" t="s">
        <v>54</v>
      </c>
      <c r="X598" s="76"/>
      <c r="Y598" s="97"/>
      <c r="Z598" s="87"/>
      <c r="AA598" s="79"/>
      <c r="AB598" s="79" t="s">
        <v>37</v>
      </c>
      <c r="AC598" s="79" t="s">
        <v>37</v>
      </c>
      <c r="AD598" s="79"/>
      <c r="AE598" s="79"/>
      <c r="AF598" s="79"/>
      <c r="AG598" s="79"/>
      <c r="AH598" s="79"/>
      <c r="AI598" s="53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</row>
    <row r="599" spans="1:110" ht="13.8" x14ac:dyDescent="0.25">
      <c r="A599" s="24">
        <v>1404004</v>
      </c>
      <c r="B599" s="26" t="s">
        <v>956</v>
      </c>
      <c r="C599" s="25" t="s">
        <v>1014</v>
      </c>
      <c r="D599" s="26"/>
      <c r="E599" s="10" t="s">
        <v>1013</v>
      </c>
      <c r="F599" s="10" t="s">
        <v>557</v>
      </c>
      <c r="G599" s="55" t="str">
        <f t="shared" si="15"/>
        <v>Obsolete</v>
      </c>
      <c r="H599" s="10"/>
      <c r="I599" s="13"/>
      <c r="J599" s="56"/>
      <c r="K599" s="57"/>
      <c r="M599" s="14"/>
      <c r="N599" s="14"/>
      <c r="O599" s="14"/>
      <c r="P599" s="14"/>
      <c r="Q599" s="14"/>
      <c r="R599" s="14"/>
      <c r="S599" s="14"/>
      <c r="T599" s="70"/>
      <c r="U599" s="76" t="s">
        <v>54</v>
      </c>
      <c r="V599" s="97"/>
      <c r="W599" s="76" t="s">
        <v>54</v>
      </c>
      <c r="X599" s="76"/>
      <c r="Y599" s="97"/>
      <c r="Z599" s="87"/>
      <c r="AA599" s="79"/>
      <c r="AB599" s="79" t="s">
        <v>37</v>
      </c>
      <c r="AC599" s="79" t="s">
        <v>37</v>
      </c>
      <c r="AD599" s="79"/>
      <c r="AE599" s="79"/>
      <c r="AF599" s="79"/>
      <c r="AG599" s="79"/>
      <c r="AH599" s="79"/>
      <c r="AI599" s="53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</row>
    <row r="600" spans="1:110" ht="13.8" x14ac:dyDescent="0.25">
      <c r="A600" s="24">
        <v>1404005</v>
      </c>
      <c r="B600" s="10" t="s">
        <v>956</v>
      </c>
      <c r="C600" s="16" t="s">
        <v>1015</v>
      </c>
      <c r="D600" s="26" t="s">
        <v>496</v>
      </c>
      <c r="E600" s="10" t="s">
        <v>1016</v>
      </c>
      <c r="F600" s="10" t="s">
        <v>557</v>
      </c>
      <c r="G600" s="55" t="str">
        <f t="shared" si="15"/>
        <v>Obsolete</v>
      </c>
      <c r="H600" s="10"/>
      <c r="I600" s="13"/>
      <c r="J600" s="56"/>
      <c r="K600" s="57"/>
      <c r="M600" s="14"/>
      <c r="N600" s="14"/>
      <c r="O600" s="14"/>
      <c r="P600" s="14"/>
      <c r="Q600" s="14"/>
      <c r="R600" s="14"/>
      <c r="S600" s="14"/>
      <c r="T600" s="70"/>
      <c r="U600" s="76" t="s">
        <v>54</v>
      </c>
      <c r="V600" s="97"/>
      <c r="W600" s="76" t="s">
        <v>54</v>
      </c>
      <c r="X600" s="76"/>
      <c r="Y600" s="97"/>
      <c r="Z600" s="87"/>
      <c r="AA600" s="79"/>
      <c r="AB600" s="79" t="s">
        <v>37</v>
      </c>
      <c r="AC600" s="79" t="s">
        <v>37</v>
      </c>
      <c r="AD600" s="79"/>
      <c r="AE600" s="79"/>
      <c r="AF600" s="79"/>
      <c r="AG600" s="79"/>
      <c r="AH600" s="79"/>
      <c r="AI600" s="53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</row>
    <row r="601" spans="1:110" ht="13.8" x14ac:dyDescent="0.25">
      <c r="A601" s="24">
        <v>1404006</v>
      </c>
      <c r="B601" s="10" t="s">
        <v>956</v>
      </c>
      <c r="C601" s="16" t="s">
        <v>1017</v>
      </c>
      <c r="D601" s="26" t="s">
        <v>496</v>
      </c>
      <c r="E601" s="10" t="s">
        <v>1018</v>
      </c>
      <c r="F601" s="10" t="s">
        <v>557</v>
      </c>
      <c r="G601" s="55" t="str">
        <f t="shared" si="15"/>
        <v>Obsolete</v>
      </c>
      <c r="H601" s="10"/>
      <c r="I601" s="13"/>
      <c r="J601" s="56"/>
      <c r="K601" s="57"/>
      <c r="M601" s="14"/>
      <c r="N601" s="14"/>
      <c r="O601" s="14"/>
      <c r="P601" s="14"/>
      <c r="Q601" s="14"/>
      <c r="R601" s="14"/>
      <c r="S601" s="14"/>
      <c r="T601" s="70"/>
      <c r="U601" s="76" t="s">
        <v>54</v>
      </c>
      <c r="V601" s="97"/>
      <c r="W601" s="76" t="s">
        <v>54</v>
      </c>
      <c r="X601" s="76"/>
      <c r="Y601" s="97"/>
      <c r="Z601" s="87"/>
      <c r="AA601" s="79"/>
      <c r="AB601" s="79" t="s">
        <v>37</v>
      </c>
      <c r="AC601" s="79" t="s">
        <v>37</v>
      </c>
      <c r="AD601" s="79"/>
      <c r="AE601" s="79"/>
      <c r="AF601" s="79"/>
      <c r="AG601" s="79"/>
      <c r="AH601" s="79"/>
      <c r="AI601" s="53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</row>
    <row r="602" spans="1:110" ht="13.8" x14ac:dyDescent="0.25">
      <c r="A602" s="24">
        <v>1404007</v>
      </c>
      <c r="B602" s="10" t="s">
        <v>956</v>
      </c>
      <c r="C602" s="16" t="s">
        <v>1019</v>
      </c>
      <c r="D602" s="26" t="s">
        <v>496</v>
      </c>
      <c r="E602" s="10" t="s">
        <v>1018</v>
      </c>
      <c r="F602" s="10" t="s">
        <v>557</v>
      </c>
      <c r="G602" s="55" t="str">
        <f t="shared" si="15"/>
        <v>Obsolete</v>
      </c>
      <c r="H602" s="10"/>
      <c r="I602" s="13"/>
      <c r="J602" s="56"/>
      <c r="K602" s="57"/>
      <c r="M602" s="14"/>
      <c r="N602" s="14"/>
      <c r="O602" s="14"/>
      <c r="P602" s="14"/>
      <c r="Q602" s="14"/>
      <c r="R602" s="14"/>
      <c r="S602" s="14"/>
      <c r="T602" s="70"/>
      <c r="U602" s="76" t="s">
        <v>54</v>
      </c>
      <c r="V602" s="97"/>
      <c r="W602" s="76" t="s">
        <v>54</v>
      </c>
      <c r="X602" s="76"/>
      <c r="Y602" s="97"/>
      <c r="Z602" s="87"/>
      <c r="AA602" s="79"/>
      <c r="AB602" s="79" t="s">
        <v>37</v>
      </c>
      <c r="AC602" s="79" t="s">
        <v>37</v>
      </c>
      <c r="AD602" s="79"/>
      <c r="AE602" s="79"/>
      <c r="AF602" s="79"/>
      <c r="AG602" s="79"/>
      <c r="AH602" s="79"/>
      <c r="AI602" s="53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</row>
    <row r="603" spans="1:110" ht="13.8" x14ac:dyDescent="0.25">
      <c r="A603" s="24">
        <v>1404008</v>
      </c>
      <c r="B603" s="10" t="s">
        <v>956</v>
      </c>
      <c r="C603" s="16" t="s">
        <v>1020</v>
      </c>
      <c r="D603" s="26" t="s">
        <v>496</v>
      </c>
      <c r="E603" s="10" t="s">
        <v>1018</v>
      </c>
      <c r="F603" s="10" t="s">
        <v>557</v>
      </c>
      <c r="G603" s="55" t="str">
        <f t="shared" si="15"/>
        <v>Obsolete</v>
      </c>
      <c r="H603" s="10"/>
      <c r="I603" s="13"/>
      <c r="J603" s="56"/>
      <c r="K603" s="57"/>
      <c r="M603" s="14"/>
      <c r="N603" s="14"/>
      <c r="O603" s="14"/>
      <c r="P603" s="14"/>
      <c r="Q603" s="14"/>
      <c r="R603" s="14"/>
      <c r="S603" s="14"/>
      <c r="T603" s="70"/>
      <c r="U603" s="76" t="s">
        <v>54</v>
      </c>
      <c r="V603" s="97"/>
      <c r="W603" s="76" t="s">
        <v>54</v>
      </c>
      <c r="X603" s="76"/>
      <c r="Y603" s="97"/>
      <c r="Z603" s="87"/>
      <c r="AA603" s="79"/>
      <c r="AB603" s="79" t="s">
        <v>37</v>
      </c>
      <c r="AC603" s="79" t="s">
        <v>37</v>
      </c>
      <c r="AD603" s="79"/>
      <c r="AE603" s="79"/>
      <c r="AF603" s="79"/>
      <c r="AG603" s="79"/>
      <c r="AH603" s="79"/>
      <c r="AI603" s="53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</row>
    <row r="604" spans="1:110" ht="13.8" x14ac:dyDescent="0.25">
      <c r="A604" s="24">
        <v>1404009</v>
      </c>
      <c r="B604" s="10" t="s">
        <v>956</v>
      </c>
      <c r="C604" s="16" t="s">
        <v>1021</v>
      </c>
      <c r="D604" s="26" t="s">
        <v>496</v>
      </c>
      <c r="E604" s="10" t="s">
        <v>1016</v>
      </c>
      <c r="F604" s="10" t="s">
        <v>557</v>
      </c>
      <c r="G604" s="55" t="str">
        <f t="shared" si="15"/>
        <v>Obsolete</v>
      </c>
      <c r="H604" s="10"/>
      <c r="I604" s="13"/>
      <c r="J604" s="56"/>
      <c r="K604" s="57"/>
      <c r="M604" s="14"/>
      <c r="N604" s="14"/>
      <c r="O604" s="14"/>
      <c r="P604" s="14"/>
      <c r="Q604" s="14"/>
      <c r="R604" s="14"/>
      <c r="S604" s="14"/>
      <c r="T604" s="70"/>
      <c r="U604" s="76" t="s">
        <v>54</v>
      </c>
      <c r="V604" s="97"/>
      <c r="W604" s="76" t="s">
        <v>54</v>
      </c>
      <c r="X604" s="76"/>
      <c r="Y604" s="97"/>
      <c r="Z604" s="87"/>
      <c r="AA604" s="79"/>
      <c r="AB604" s="79" t="s">
        <v>37</v>
      </c>
      <c r="AC604" s="79" t="s">
        <v>37</v>
      </c>
      <c r="AD604" s="79"/>
      <c r="AE604" s="79"/>
      <c r="AF604" s="79"/>
      <c r="AG604" s="79"/>
      <c r="AH604" s="79"/>
      <c r="AI604" s="53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</row>
    <row r="605" spans="1:110" ht="13.8" x14ac:dyDescent="0.25">
      <c r="A605" s="10">
        <v>1404010</v>
      </c>
      <c r="B605" s="10" t="s">
        <v>956</v>
      </c>
      <c r="C605" s="12" t="s">
        <v>1022</v>
      </c>
      <c r="D605" s="11"/>
      <c r="E605" s="10" t="s">
        <v>1023</v>
      </c>
      <c r="F605" s="10" t="s">
        <v>557</v>
      </c>
      <c r="G605" s="55" t="str">
        <f t="shared" si="15"/>
        <v>Obsolete</v>
      </c>
      <c r="H605" s="10">
        <v>6</v>
      </c>
      <c r="I605" s="13">
        <v>5076</v>
      </c>
      <c r="J605" s="56"/>
      <c r="K605" s="57"/>
      <c r="M605" s="14">
        <v>1.3080000000000001</v>
      </c>
      <c r="N605" s="14"/>
      <c r="O605" s="14"/>
      <c r="P605" s="14"/>
      <c r="Q605" s="14"/>
      <c r="R605" s="14"/>
      <c r="S605" s="14"/>
      <c r="T605" s="70"/>
      <c r="U605" s="76" t="s">
        <v>54</v>
      </c>
      <c r="V605" s="97"/>
      <c r="W605" s="76" t="s">
        <v>54</v>
      </c>
      <c r="X605" s="76"/>
      <c r="Y605" s="97"/>
      <c r="Z605" s="78">
        <v>108</v>
      </c>
      <c r="AA605" s="79" t="s">
        <v>36</v>
      </c>
      <c r="AB605" s="79" t="s">
        <v>37</v>
      </c>
      <c r="AC605" s="79" t="s">
        <v>37</v>
      </c>
      <c r="AD605" s="79"/>
      <c r="AE605" s="79" t="s">
        <v>1024</v>
      </c>
      <c r="AF605" s="106" t="s">
        <v>1025</v>
      </c>
      <c r="AG605" s="79" t="s">
        <v>1026</v>
      </c>
      <c r="AH605" s="79"/>
      <c r="AI605" s="53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</row>
    <row r="606" spans="1:110" ht="20.399999999999999" x14ac:dyDescent="0.25">
      <c r="A606" s="10">
        <v>1404011</v>
      </c>
      <c r="B606" s="10" t="s">
        <v>956</v>
      </c>
      <c r="C606" s="25" t="s">
        <v>1027</v>
      </c>
      <c r="D606" s="11"/>
      <c r="E606" s="10" t="s">
        <v>1028</v>
      </c>
      <c r="F606" s="10" t="s">
        <v>557</v>
      </c>
      <c r="G606" s="55" t="str">
        <f t="shared" si="15"/>
        <v>Obsolete</v>
      </c>
      <c r="H606" s="10"/>
      <c r="I606" s="13"/>
      <c r="J606" s="56"/>
      <c r="K606" s="57"/>
      <c r="M606" s="14"/>
      <c r="N606" s="14"/>
      <c r="O606" s="14"/>
      <c r="P606" s="14"/>
      <c r="Q606" s="14"/>
      <c r="R606" s="14"/>
      <c r="S606" s="14"/>
      <c r="T606" s="70"/>
      <c r="U606" s="76" t="s">
        <v>54</v>
      </c>
      <c r="V606" s="97"/>
      <c r="W606" s="76" t="s">
        <v>54</v>
      </c>
      <c r="X606" s="76"/>
      <c r="Y606" s="97"/>
      <c r="Z606" s="78"/>
      <c r="AA606" s="79" t="s">
        <v>55</v>
      </c>
      <c r="AB606" s="79" t="s">
        <v>37</v>
      </c>
      <c r="AC606" s="79" t="s">
        <v>37</v>
      </c>
      <c r="AD606" s="79"/>
      <c r="AE606" s="79"/>
      <c r="AF606" s="79"/>
      <c r="AG606" s="79"/>
      <c r="AH606" s="79"/>
      <c r="AI606" s="53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</row>
    <row r="607" spans="1:110" ht="20.399999999999999" x14ac:dyDescent="0.25">
      <c r="A607" s="10">
        <v>1404012</v>
      </c>
      <c r="B607" s="10" t="s">
        <v>956</v>
      </c>
      <c r="C607" s="25" t="s">
        <v>1029</v>
      </c>
      <c r="D607" s="11"/>
      <c r="E607" s="10" t="s">
        <v>1028</v>
      </c>
      <c r="F607" s="10" t="s">
        <v>557</v>
      </c>
      <c r="G607" s="55" t="str">
        <f t="shared" si="15"/>
        <v>Obsolete</v>
      </c>
      <c r="H607" s="10"/>
      <c r="I607" s="13"/>
      <c r="J607" s="56"/>
      <c r="K607" s="57"/>
      <c r="M607" s="14"/>
      <c r="N607" s="14"/>
      <c r="O607" s="14"/>
      <c r="P607" s="14"/>
      <c r="Q607" s="14"/>
      <c r="R607" s="14"/>
      <c r="S607" s="14"/>
      <c r="T607" s="70"/>
      <c r="U607" s="76" t="s">
        <v>54</v>
      </c>
      <c r="V607" s="97"/>
      <c r="W607" s="76" t="s">
        <v>54</v>
      </c>
      <c r="X607" s="76"/>
      <c r="Y607" s="97"/>
      <c r="Z607" s="78"/>
      <c r="AA607" s="79" t="s">
        <v>55</v>
      </c>
      <c r="AB607" s="79" t="s">
        <v>37</v>
      </c>
      <c r="AC607" s="79" t="s">
        <v>37</v>
      </c>
      <c r="AD607" s="79"/>
      <c r="AE607" s="79"/>
      <c r="AF607" s="79"/>
      <c r="AG607" s="79"/>
      <c r="AH607" s="79"/>
      <c r="AI607" s="53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</row>
    <row r="608" spans="1:110" ht="20.399999999999999" x14ac:dyDescent="0.25">
      <c r="A608" s="10">
        <v>1404013</v>
      </c>
      <c r="B608" s="10" t="s">
        <v>956</v>
      </c>
      <c r="C608" s="25" t="s">
        <v>1030</v>
      </c>
      <c r="D608" s="11"/>
      <c r="E608" s="10" t="s">
        <v>1028</v>
      </c>
      <c r="F608" s="10" t="s">
        <v>557</v>
      </c>
      <c r="G608" s="55" t="str">
        <f t="shared" si="15"/>
        <v>Obsolete</v>
      </c>
      <c r="H608" s="10"/>
      <c r="I608" s="13"/>
      <c r="J608" s="56"/>
      <c r="K608" s="57"/>
      <c r="M608" s="14"/>
      <c r="N608" s="14"/>
      <c r="O608" s="14"/>
      <c r="P608" s="14"/>
      <c r="Q608" s="14"/>
      <c r="R608" s="14"/>
      <c r="S608" s="14"/>
      <c r="T608" s="70"/>
      <c r="U608" s="76" t="s">
        <v>54</v>
      </c>
      <c r="V608" s="97"/>
      <c r="W608" s="76" t="s">
        <v>54</v>
      </c>
      <c r="X608" s="76"/>
      <c r="Y608" s="97"/>
      <c r="Z608" s="78"/>
      <c r="AA608" s="79" t="s">
        <v>55</v>
      </c>
      <c r="AB608" s="79" t="s">
        <v>37</v>
      </c>
      <c r="AC608" s="79" t="s">
        <v>37</v>
      </c>
      <c r="AD608" s="79"/>
      <c r="AE608" s="79"/>
      <c r="AF608" s="79"/>
      <c r="AG608" s="79"/>
      <c r="AH608" s="79"/>
      <c r="AI608" s="53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</row>
    <row r="609" spans="1:110" ht="20.399999999999999" x14ac:dyDescent="0.25">
      <c r="A609" s="10">
        <v>1404014</v>
      </c>
      <c r="B609" s="10" t="s">
        <v>956</v>
      </c>
      <c r="C609" s="25" t="s">
        <v>1031</v>
      </c>
      <c r="D609" s="11"/>
      <c r="E609" s="10" t="s">
        <v>1028</v>
      </c>
      <c r="F609" s="10" t="s">
        <v>557</v>
      </c>
      <c r="G609" s="55" t="str">
        <f t="shared" si="15"/>
        <v>Obsolete</v>
      </c>
      <c r="H609" s="10"/>
      <c r="I609" s="13"/>
      <c r="J609" s="56"/>
      <c r="K609" s="57"/>
      <c r="M609" s="14"/>
      <c r="N609" s="14"/>
      <c r="O609" s="14"/>
      <c r="P609" s="14"/>
      <c r="Q609" s="14"/>
      <c r="R609" s="14"/>
      <c r="S609" s="14"/>
      <c r="T609" s="70"/>
      <c r="U609" s="76" t="s">
        <v>54</v>
      </c>
      <c r="V609" s="97"/>
      <c r="W609" s="76" t="s">
        <v>54</v>
      </c>
      <c r="X609" s="76"/>
      <c r="Y609" s="97"/>
      <c r="Z609" s="78"/>
      <c r="AA609" s="79" t="s">
        <v>55</v>
      </c>
      <c r="AB609" s="79" t="s">
        <v>37</v>
      </c>
      <c r="AC609" s="79" t="s">
        <v>37</v>
      </c>
      <c r="AD609" s="79"/>
      <c r="AE609" s="79"/>
      <c r="AF609" s="79"/>
      <c r="AG609" s="79"/>
      <c r="AH609" s="79"/>
      <c r="AI609" s="53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</row>
    <row r="610" spans="1:110" ht="13.8" x14ac:dyDescent="0.25">
      <c r="A610" s="10">
        <v>1404015</v>
      </c>
      <c r="B610" s="10" t="s">
        <v>956</v>
      </c>
      <c r="C610" s="25" t="s">
        <v>1032</v>
      </c>
      <c r="D610" s="11"/>
      <c r="E610" s="10" t="s">
        <v>1033</v>
      </c>
      <c r="F610" s="10" t="s">
        <v>557</v>
      </c>
      <c r="G610" s="55" t="str">
        <f t="shared" si="15"/>
        <v>Obsolete</v>
      </c>
      <c r="H610" s="10">
        <v>1</v>
      </c>
      <c r="I610" s="13">
        <v>50000</v>
      </c>
      <c r="J610" s="56"/>
      <c r="K610" s="57"/>
      <c r="M610" s="14"/>
      <c r="N610" s="14"/>
      <c r="O610" s="14"/>
      <c r="P610" s="14"/>
      <c r="Q610" s="14"/>
      <c r="R610" s="14"/>
      <c r="S610" s="14"/>
      <c r="T610" s="70">
        <v>3.644E-2</v>
      </c>
      <c r="U610" s="76" t="s">
        <v>54</v>
      </c>
      <c r="V610" s="116"/>
      <c r="W610" s="76" t="s">
        <v>54</v>
      </c>
      <c r="X610" s="76"/>
      <c r="Y610" s="116"/>
      <c r="Z610" s="78"/>
      <c r="AA610" s="79" t="s">
        <v>169</v>
      </c>
      <c r="AB610" s="79" t="s">
        <v>37</v>
      </c>
      <c r="AC610" s="79" t="s">
        <v>37</v>
      </c>
      <c r="AD610" s="79"/>
      <c r="AE610" s="79"/>
      <c r="AF610" s="79"/>
      <c r="AG610" s="79"/>
      <c r="AH610" s="79"/>
      <c r="AI610" s="53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</row>
    <row r="611" spans="1:110" ht="13.8" x14ac:dyDescent="0.25">
      <c r="A611" s="10">
        <v>1404016</v>
      </c>
      <c r="B611" s="10" t="s">
        <v>956</v>
      </c>
      <c r="C611" s="16" t="s">
        <v>1034</v>
      </c>
      <c r="D611" s="11" t="s">
        <v>496</v>
      </c>
      <c r="E611" s="10" t="s">
        <v>1018</v>
      </c>
      <c r="F611" s="10" t="s">
        <v>557</v>
      </c>
      <c r="G611" s="55" t="str">
        <f t="shared" si="15"/>
        <v>Obsolete</v>
      </c>
      <c r="H611" s="10"/>
      <c r="I611" s="13"/>
      <c r="J611" s="56"/>
      <c r="K611" s="57"/>
      <c r="M611" s="14"/>
      <c r="N611" s="14"/>
      <c r="O611" s="14"/>
      <c r="P611" s="14"/>
      <c r="Q611" s="14"/>
      <c r="R611" s="14"/>
      <c r="S611" s="14"/>
      <c r="T611" s="70"/>
      <c r="U611" s="76" t="s">
        <v>54</v>
      </c>
      <c r="V611" s="97"/>
      <c r="W611" s="76" t="s">
        <v>54</v>
      </c>
      <c r="X611" s="76"/>
      <c r="Y611" s="97"/>
      <c r="Z611" s="78"/>
      <c r="AA611" s="79"/>
      <c r="AB611" s="79" t="s">
        <v>37</v>
      </c>
      <c r="AC611" s="79" t="s">
        <v>37</v>
      </c>
      <c r="AD611" s="79"/>
      <c r="AE611" s="79"/>
      <c r="AF611" s="79"/>
      <c r="AG611" s="79"/>
      <c r="AH611" s="79"/>
      <c r="AI611" s="53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</row>
    <row r="612" spans="1:110" ht="13.8" x14ac:dyDescent="0.25">
      <c r="A612" s="10">
        <v>1404020</v>
      </c>
      <c r="B612" s="10" t="s">
        <v>956</v>
      </c>
      <c r="C612" s="16" t="s">
        <v>1035</v>
      </c>
      <c r="D612" s="11" t="s">
        <v>206</v>
      </c>
      <c r="E612" s="10" t="s">
        <v>206</v>
      </c>
      <c r="F612" s="10" t="s">
        <v>557</v>
      </c>
      <c r="G612" s="55" t="str">
        <f t="shared" si="15"/>
        <v>Obsolete</v>
      </c>
      <c r="H612" s="10"/>
      <c r="I612" s="13"/>
      <c r="J612" s="56"/>
      <c r="K612" s="57"/>
      <c r="M612" s="14"/>
      <c r="N612" s="14"/>
      <c r="O612" s="14"/>
      <c r="P612" s="14"/>
      <c r="Q612" s="14"/>
      <c r="R612" s="14"/>
      <c r="S612" s="14"/>
      <c r="T612" s="70"/>
      <c r="U612" s="76" t="s">
        <v>54</v>
      </c>
      <c r="V612" s="97"/>
      <c r="W612" s="76" t="s">
        <v>54</v>
      </c>
      <c r="X612" s="76"/>
      <c r="Y612" s="97"/>
      <c r="Z612" s="78"/>
      <c r="AA612" s="79"/>
      <c r="AB612" s="79" t="s">
        <v>37</v>
      </c>
      <c r="AC612" s="79" t="s">
        <v>37</v>
      </c>
      <c r="AD612" s="79"/>
      <c r="AE612" s="79"/>
      <c r="AF612" s="79"/>
      <c r="AG612" s="79"/>
      <c r="AH612" s="79"/>
      <c r="AI612" s="53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</row>
    <row r="613" spans="1:110" ht="13.8" x14ac:dyDescent="0.25">
      <c r="A613" s="10">
        <v>1404021</v>
      </c>
      <c r="B613" s="10" t="s">
        <v>956</v>
      </c>
      <c r="C613" s="16" t="s">
        <v>1036</v>
      </c>
      <c r="D613" s="11" t="s">
        <v>292</v>
      </c>
      <c r="E613" s="10" t="s">
        <v>1037</v>
      </c>
      <c r="F613" s="10" t="s">
        <v>557</v>
      </c>
      <c r="G613" s="55" t="str">
        <f t="shared" si="15"/>
        <v>Obsolete</v>
      </c>
      <c r="H613" s="10"/>
      <c r="I613" s="13"/>
      <c r="J613" s="56"/>
      <c r="K613" s="57"/>
      <c r="M613" s="14"/>
      <c r="N613" s="14"/>
      <c r="O613" s="14"/>
      <c r="P613" s="14"/>
      <c r="Q613" s="14"/>
      <c r="R613" s="14"/>
      <c r="S613" s="14"/>
      <c r="T613" s="70"/>
      <c r="U613" s="76" t="s">
        <v>54</v>
      </c>
      <c r="V613" s="97"/>
      <c r="W613" s="76" t="s">
        <v>54</v>
      </c>
      <c r="X613" s="76"/>
      <c r="Y613" s="97"/>
      <c r="Z613" s="78"/>
      <c r="AA613" s="79"/>
      <c r="AB613" s="79" t="s">
        <v>37</v>
      </c>
      <c r="AC613" s="79" t="s">
        <v>37</v>
      </c>
      <c r="AD613" s="79"/>
      <c r="AE613" s="79"/>
      <c r="AF613" s="79"/>
      <c r="AG613" s="79"/>
      <c r="AH613" s="79"/>
      <c r="AI613" s="53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</row>
    <row r="614" spans="1:110" ht="30.6" x14ac:dyDescent="0.25">
      <c r="A614" s="10">
        <v>1404022</v>
      </c>
      <c r="B614" s="10" t="s">
        <v>956</v>
      </c>
      <c r="C614" s="16" t="s">
        <v>1593</v>
      </c>
      <c r="D614" s="11"/>
      <c r="E614" s="10" t="s">
        <v>1585</v>
      </c>
      <c r="F614" s="10" t="s">
        <v>34</v>
      </c>
      <c r="G614" s="55">
        <f t="shared" si="15"/>
        <v>0</v>
      </c>
      <c r="H614" s="10">
        <v>2</v>
      </c>
      <c r="I614" s="13"/>
      <c r="J614" s="56"/>
      <c r="K614" s="57"/>
      <c r="M614" s="15"/>
      <c r="N614" s="15"/>
      <c r="O614" s="14"/>
      <c r="P614" s="14"/>
      <c r="Q614" s="14"/>
      <c r="R614" s="14"/>
      <c r="S614" s="14"/>
      <c r="T614" s="70"/>
      <c r="U614" s="76">
        <v>0</v>
      </c>
      <c r="V614" s="76">
        <v>0</v>
      </c>
      <c r="W614" s="76">
        <v>0</v>
      </c>
      <c r="X614" s="76">
        <v>0</v>
      </c>
      <c r="Y614" s="77" t="s">
        <v>35</v>
      </c>
      <c r="Z614" s="99"/>
      <c r="AA614" s="100" t="s">
        <v>1588</v>
      </c>
      <c r="AB614" s="79" t="s">
        <v>35</v>
      </c>
      <c r="AC614" s="79" t="s">
        <v>37</v>
      </c>
      <c r="AD614" s="79" t="s">
        <v>38</v>
      </c>
      <c r="AE614" s="79" t="s">
        <v>1589</v>
      </c>
      <c r="AF614" s="83" t="s">
        <v>1590</v>
      </c>
      <c r="AG614" s="79" t="s">
        <v>1591</v>
      </c>
      <c r="AH614" s="79"/>
      <c r="AI614" s="53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</row>
    <row r="615" spans="1:110" ht="30.6" x14ac:dyDescent="0.25">
      <c r="A615" s="10">
        <v>1404023</v>
      </c>
      <c r="B615" s="10" t="s">
        <v>956</v>
      </c>
      <c r="C615" s="16" t="s">
        <v>1595</v>
      </c>
      <c r="D615" s="11"/>
      <c r="E615" s="10" t="s">
        <v>1585</v>
      </c>
      <c r="F615" s="10" t="s">
        <v>34</v>
      </c>
      <c r="G615" s="55">
        <f t="shared" si="15"/>
        <v>0</v>
      </c>
      <c r="H615" s="10">
        <v>2</v>
      </c>
      <c r="I615" s="13"/>
      <c r="J615" s="56"/>
      <c r="K615" s="57"/>
      <c r="M615" s="15"/>
      <c r="N615" s="15"/>
      <c r="O615" s="14"/>
      <c r="P615" s="14"/>
      <c r="Q615" s="14"/>
      <c r="R615" s="14"/>
      <c r="S615" s="14"/>
      <c r="T615" s="70"/>
      <c r="U615" s="76">
        <v>0</v>
      </c>
      <c r="V615" s="76">
        <v>0</v>
      </c>
      <c r="W615" s="76">
        <v>0</v>
      </c>
      <c r="X615" s="76">
        <v>0</v>
      </c>
      <c r="Y615" s="77" t="s">
        <v>35</v>
      </c>
      <c r="Z615" s="99"/>
      <c r="AA615" s="100" t="s">
        <v>1588</v>
      </c>
      <c r="AB615" s="79" t="s">
        <v>35</v>
      </c>
      <c r="AC615" s="79" t="s">
        <v>37</v>
      </c>
      <c r="AD615" s="79" t="s">
        <v>38</v>
      </c>
      <c r="AE615" s="79" t="s">
        <v>1589</v>
      </c>
      <c r="AF615" s="83" t="s">
        <v>1590</v>
      </c>
      <c r="AG615" s="79" t="s">
        <v>1591</v>
      </c>
      <c r="AH615" s="79"/>
      <c r="AI615" s="53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</row>
    <row r="616" spans="1:110" ht="30.6" x14ac:dyDescent="0.25">
      <c r="A616" s="10">
        <v>1404024</v>
      </c>
      <c r="B616" s="10" t="s">
        <v>956</v>
      </c>
      <c r="C616" s="16" t="s">
        <v>1594</v>
      </c>
      <c r="D616" s="11"/>
      <c r="E616" s="10" t="s">
        <v>1585</v>
      </c>
      <c r="F616" s="10" t="s">
        <v>34</v>
      </c>
      <c r="G616" s="55">
        <f t="shared" si="15"/>
        <v>0</v>
      </c>
      <c r="H616" s="10">
        <v>2</v>
      </c>
      <c r="I616" s="13"/>
      <c r="J616" s="56"/>
      <c r="K616" s="57"/>
      <c r="M616" s="15"/>
      <c r="N616" s="15"/>
      <c r="O616" s="14"/>
      <c r="P616" s="14"/>
      <c r="Q616" s="14"/>
      <c r="R616" s="14"/>
      <c r="S616" s="14"/>
      <c r="T616" s="70"/>
      <c r="U616" s="76">
        <v>0</v>
      </c>
      <c r="V616" s="76">
        <v>0</v>
      </c>
      <c r="W616" s="76">
        <v>0</v>
      </c>
      <c r="X616" s="76">
        <v>0</v>
      </c>
      <c r="Y616" s="77" t="s">
        <v>35</v>
      </c>
      <c r="Z616" s="99"/>
      <c r="AA616" s="100" t="s">
        <v>1588</v>
      </c>
      <c r="AB616" s="79" t="s">
        <v>35</v>
      </c>
      <c r="AC616" s="79" t="s">
        <v>37</v>
      </c>
      <c r="AD616" s="79" t="s">
        <v>38</v>
      </c>
      <c r="AE616" s="79" t="s">
        <v>1589</v>
      </c>
      <c r="AF616" s="83" t="s">
        <v>1590</v>
      </c>
      <c r="AG616" s="79" t="s">
        <v>1591</v>
      </c>
      <c r="AH616" s="79"/>
      <c r="AI616" s="53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</row>
    <row r="617" spans="1:110" ht="30.6" x14ac:dyDescent="0.25">
      <c r="A617" s="10">
        <v>1404025</v>
      </c>
      <c r="B617" s="10" t="s">
        <v>956</v>
      </c>
      <c r="C617" s="16" t="s">
        <v>1596</v>
      </c>
      <c r="D617" s="11"/>
      <c r="E617" s="10" t="s">
        <v>1585</v>
      </c>
      <c r="F617" s="10" t="s">
        <v>34</v>
      </c>
      <c r="G617" s="55">
        <f t="shared" si="15"/>
        <v>0</v>
      </c>
      <c r="H617" s="10">
        <v>2</v>
      </c>
      <c r="I617" s="13"/>
      <c r="J617" s="56"/>
      <c r="K617" s="57"/>
      <c r="M617" s="15"/>
      <c r="N617" s="15"/>
      <c r="O617" s="14"/>
      <c r="P617" s="14"/>
      <c r="Q617" s="14"/>
      <c r="R617" s="14"/>
      <c r="S617" s="14"/>
      <c r="T617" s="70"/>
      <c r="U617" s="76">
        <v>0</v>
      </c>
      <c r="V617" s="76">
        <v>0</v>
      </c>
      <c r="W617" s="76">
        <v>0</v>
      </c>
      <c r="X617" s="76">
        <v>0</v>
      </c>
      <c r="Y617" s="77" t="s">
        <v>35</v>
      </c>
      <c r="Z617" s="99"/>
      <c r="AA617" s="100" t="s">
        <v>1588</v>
      </c>
      <c r="AB617" s="79" t="s">
        <v>35</v>
      </c>
      <c r="AC617" s="79" t="s">
        <v>37</v>
      </c>
      <c r="AD617" s="79" t="s">
        <v>38</v>
      </c>
      <c r="AE617" s="79" t="s">
        <v>1589</v>
      </c>
      <c r="AF617" s="83" t="s">
        <v>1590</v>
      </c>
      <c r="AG617" s="79" t="s">
        <v>1591</v>
      </c>
      <c r="AH617" s="79"/>
      <c r="AI617" s="53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</row>
    <row r="618" spans="1:110" ht="13.8" x14ac:dyDescent="0.25">
      <c r="A618" s="24">
        <v>1405000</v>
      </c>
      <c r="B618" s="10" t="s">
        <v>956</v>
      </c>
      <c r="C618" s="16" t="s">
        <v>1038</v>
      </c>
      <c r="D618" s="10" t="s">
        <v>64</v>
      </c>
      <c r="E618" s="10" t="s">
        <v>1039</v>
      </c>
      <c r="F618" s="10" t="s">
        <v>557</v>
      </c>
      <c r="G618" s="55" t="str">
        <f t="shared" si="15"/>
        <v>Obsolete</v>
      </c>
      <c r="H618" s="10"/>
      <c r="I618" s="13"/>
      <c r="J618" s="56"/>
      <c r="K618" s="57"/>
      <c r="M618" s="14"/>
      <c r="N618" s="14"/>
      <c r="O618" s="14"/>
      <c r="P618" s="14"/>
      <c r="Q618" s="14"/>
      <c r="R618" s="14"/>
      <c r="S618" s="14"/>
      <c r="T618" s="70"/>
      <c r="U618" s="76" t="s">
        <v>54</v>
      </c>
      <c r="V618" s="97"/>
      <c r="W618" s="76" t="s">
        <v>54</v>
      </c>
      <c r="X618" s="76"/>
      <c r="Y618" s="97"/>
      <c r="Z618" s="87"/>
      <c r="AA618" s="79" t="s">
        <v>64</v>
      </c>
      <c r="AB618" s="79" t="s">
        <v>37</v>
      </c>
      <c r="AC618" s="79" t="s">
        <v>37</v>
      </c>
      <c r="AD618" s="79"/>
      <c r="AE618" s="79" t="s">
        <v>1040</v>
      </c>
      <c r="AF618" s="79" t="s">
        <v>1041</v>
      </c>
      <c r="AG618" s="79"/>
      <c r="AH618" s="79"/>
      <c r="AI618" s="53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</row>
    <row r="619" spans="1:110" ht="13.8" x14ac:dyDescent="0.25">
      <c r="A619" s="24">
        <v>1405001</v>
      </c>
      <c r="B619" s="10" t="s">
        <v>956</v>
      </c>
      <c r="C619" s="25" t="s">
        <v>1042</v>
      </c>
      <c r="D619" s="26"/>
      <c r="E619" s="10" t="s">
        <v>1043</v>
      </c>
      <c r="F619" s="10" t="s">
        <v>557</v>
      </c>
      <c r="G619" s="55" t="str">
        <f t="shared" si="15"/>
        <v>Obsolete</v>
      </c>
      <c r="H619" s="10"/>
      <c r="I619" s="13"/>
      <c r="J619" s="56"/>
      <c r="K619" s="57"/>
      <c r="M619" s="14"/>
      <c r="N619" s="14"/>
      <c r="O619" s="14"/>
      <c r="P619" s="14"/>
      <c r="Q619" s="14"/>
      <c r="R619" s="14"/>
      <c r="S619" s="14"/>
      <c r="T619" s="70"/>
      <c r="U619" s="76" t="s">
        <v>54</v>
      </c>
      <c r="V619" s="97"/>
      <c r="W619" s="76" t="s">
        <v>54</v>
      </c>
      <c r="X619" s="76"/>
      <c r="Y619" s="97"/>
      <c r="Z619" s="87"/>
      <c r="AA619" s="79"/>
      <c r="AB619" s="79" t="s">
        <v>37</v>
      </c>
      <c r="AC619" s="79" t="s">
        <v>37</v>
      </c>
      <c r="AD619" s="79"/>
      <c r="AE619" s="79" t="s">
        <v>1044</v>
      </c>
      <c r="AF619" s="79" t="s">
        <v>1045</v>
      </c>
      <c r="AG619" s="79" t="s">
        <v>1046</v>
      </c>
      <c r="AH619" s="79"/>
      <c r="AI619" s="53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</row>
    <row r="620" spans="1:110" ht="13.8" x14ac:dyDescent="0.25">
      <c r="A620" s="24">
        <v>1405002</v>
      </c>
      <c r="B620" s="10" t="s">
        <v>956</v>
      </c>
      <c r="C620" s="25" t="s">
        <v>1047</v>
      </c>
      <c r="D620" s="26"/>
      <c r="E620" s="10" t="s">
        <v>64</v>
      </c>
      <c r="F620" s="10" t="s">
        <v>557</v>
      </c>
      <c r="G620" s="55" t="str">
        <f t="shared" si="15"/>
        <v>Obsolete</v>
      </c>
      <c r="H620" s="10"/>
      <c r="I620" s="13"/>
      <c r="J620" s="56"/>
      <c r="K620" s="57"/>
      <c r="M620" s="14"/>
      <c r="N620" s="14"/>
      <c r="O620" s="14"/>
      <c r="P620" s="14"/>
      <c r="Q620" s="14"/>
      <c r="R620" s="14"/>
      <c r="S620" s="14"/>
      <c r="T620" s="70"/>
      <c r="U620" s="76" t="s">
        <v>54</v>
      </c>
      <c r="V620" s="97"/>
      <c r="W620" s="76" t="s">
        <v>54</v>
      </c>
      <c r="X620" s="76"/>
      <c r="Y620" s="97"/>
      <c r="Z620" s="87"/>
      <c r="AA620" s="79" t="s">
        <v>64</v>
      </c>
      <c r="AB620" s="79" t="s">
        <v>37</v>
      </c>
      <c r="AC620" s="79" t="s">
        <v>37</v>
      </c>
      <c r="AD620" s="79"/>
      <c r="AE620" s="79"/>
      <c r="AF620" s="79"/>
      <c r="AG620" s="79"/>
      <c r="AH620" s="79"/>
      <c r="AI620" s="53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</row>
    <row r="621" spans="1:110" ht="13.8" x14ac:dyDescent="0.25">
      <c r="A621" s="24">
        <v>1405003</v>
      </c>
      <c r="B621" s="10" t="s">
        <v>956</v>
      </c>
      <c r="C621" s="25" t="s">
        <v>1048</v>
      </c>
      <c r="D621" s="26" t="s">
        <v>1049</v>
      </c>
      <c r="E621" s="10" t="s">
        <v>1043</v>
      </c>
      <c r="F621" s="10" t="s">
        <v>557</v>
      </c>
      <c r="G621" s="55" t="str">
        <f t="shared" si="15"/>
        <v>Obsolete</v>
      </c>
      <c r="H621" s="10"/>
      <c r="I621" s="13"/>
      <c r="J621" s="56"/>
      <c r="K621" s="57"/>
      <c r="M621" s="14"/>
      <c r="N621" s="14"/>
      <c r="O621" s="14"/>
      <c r="P621" s="14"/>
      <c r="Q621" s="14"/>
      <c r="R621" s="14"/>
      <c r="S621" s="14"/>
      <c r="T621" s="70"/>
      <c r="U621" s="76" t="s">
        <v>54</v>
      </c>
      <c r="V621" s="97"/>
      <c r="W621" s="76" t="s">
        <v>54</v>
      </c>
      <c r="X621" s="76"/>
      <c r="Y621" s="97"/>
      <c r="Z621" s="87"/>
      <c r="AA621" s="79" t="s">
        <v>64</v>
      </c>
      <c r="AB621" s="79" t="s">
        <v>37</v>
      </c>
      <c r="AC621" s="79" t="s">
        <v>37</v>
      </c>
      <c r="AD621" s="79"/>
      <c r="AE621" s="79" t="s">
        <v>1044</v>
      </c>
      <c r="AF621" s="79" t="s">
        <v>1045</v>
      </c>
      <c r="AG621" s="79" t="s">
        <v>1046</v>
      </c>
      <c r="AH621" s="79"/>
      <c r="AI621" s="53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</row>
    <row r="622" spans="1:110" ht="13.8" x14ac:dyDescent="0.25">
      <c r="A622" s="24">
        <v>1405004</v>
      </c>
      <c r="B622" s="10" t="s">
        <v>956</v>
      </c>
      <c r="C622" s="25" t="s">
        <v>1050</v>
      </c>
      <c r="D622" s="26"/>
      <c r="E622" s="10" t="s">
        <v>1043</v>
      </c>
      <c r="F622" s="10" t="s">
        <v>557</v>
      </c>
      <c r="G622" s="55" t="str">
        <f t="shared" si="15"/>
        <v>Obsolete</v>
      </c>
      <c r="H622" s="10"/>
      <c r="I622" s="13"/>
      <c r="J622" s="56"/>
      <c r="K622" s="57"/>
      <c r="M622" s="14"/>
      <c r="N622" s="14"/>
      <c r="O622" s="14"/>
      <c r="P622" s="14"/>
      <c r="Q622" s="14"/>
      <c r="R622" s="14"/>
      <c r="S622" s="14"/>
      <c r="T622" s="70"/>
      <c r="U622" s="76" t="s">
        <v>54</v>
      </c>
      <c r="V622" s="97"/>
      <c r="W622" s="76" t="s">
        <v>54</v>
      </c>
      <c r="X622" s="76"/>
      <c r="Y622" s="97"/>
      <c r="Z622" s="87"/>
      <c r="AA622" s="79" t="s">
        <v>64</v>
      </c>
      <c r="AB622" s="79" t="s">
        <v>37</v>
      </c>
      <c r="AC622" s="79" t="s">
        <v>37</v>
      </c>
      <c r="AD622" s="79"/>
      <c r="AE622" s="79" t="s">
        <v>1044</v>
      </c>
      <c r="AF622" s="79" t="s">
        <v>1045</v>
      </c>
      <c r="AG622" s="79" t="s">
        <v>1046</v>
      </c>
      <c r="AH622" s="79"/>
      <c r="AI622" s="53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</row>
    <row r="623" spans="1:110" ht="13.8" x14ac:dyDescent="0.25">
      <c r="A623" s="24">
        <v>1405005</v>
      </c>
      <c r="B623" s="10" t="s">
        <v>956</v>
      </c>
      <c r="C623" s="25" t="s">
        <v>1051</v>
      </c>
      <c r="D623" s="26"/>
      <c r="E623" s="17" t="s">
        <v>57</v>
      </c>
      <c r="F623" s="10" t="s">
        <v>557</v>
      </c>
      <c r="G623" s="55" t="str">
        <f t="shared" si="15"/>
        <v>Obsolete</v>
      </c>
      <c r="H623" s="10"/>
      <c r="I623" s="13"/>
      <c r="J623" s="56"/>
      <c r="K623" s="57"/>
      <c r="M623" s="14"/>
      <c r="N623" s="14"/>
      <c r="O623" s="14"/>
      <c r="P623" s="14"/>
      <c r="Q623" s="14"/>
      <c r="R623" s="14"/>
      <c r="S623" s="14"/>
      <c r="T623" s="70"/>
      <c r="U623" s="76" t="s">
        <v>54</v>
      </c>
      <c r="V623" s="97"/>
      <c r="W623" s="76" t="s">
        <v>54</v>
      </c>
      <c r="X623" s="76"/>
      <c r="Y623" s="97"/>
      <c r="Z623" s="87"/>
      <c r="AA623" s="79"/>
      <c r="AB623" s="79" t="s">
        <v>37</v>
      </c>
      <c r="AC623" s="79" t="s">
        <v>37</v>
      </c>
      <c r="AD623" s="79"/>
      <c r="AE623" s="79"/>
      <c r="AF623" s="79"/>
      <c r="AG623" s="79"/>
      <c r="AH623" s="79"/>
      <c r="AI623" s="53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</row>
    <row r="624" spans="1:110" ht="13.8" x14ac:dyDescent="0.25">
      <c r="A624" s="24">
        <v>1405006</v>
      </c>
      <c r="B624" s="10" t="s">
        <v>956</v>
      </c>
      <c r="C624" s="25" t="s">
        <v>1052</v>
      </c>
      <c r="D624" s="26"/>
      <c r="E624" s="10" t="s">
        <v>966</v>
      </c>
      <c r="F624" s="10" t="s">
        <v>557</v>
      </c>
      <c r="G624" s="55" t="str">
        <f t="shared" si="15"/>
        <v>Obsolete</v>
      </c>
      <c r="H624" s="10"/>
      <c r="I624" s="13"/>
      <c r="J624" s="56"/>
      <c r="K624" s="57"/>
      <c r="M624" s="14"/>
      <c r="N624" s="14"/>
      <c r="O624" s="14"/>
      <c r="P624" s="14"/>
      <c r="Q624" s="14"/>
      <c r="R624" s="14"/>
      <c r="S624" s="14"/>
      <c r="T624" s="70"/>
      <c r="U624" s="76" t="s">
        <v>54</v>
      </c>
      <c r="V624" s="97"/>
      <c r="W624" s="76" t="s">
        <v>54</v>
      </c>
      <c r="X624" s="76"/>
      <c r="Y624" s="97"/>
      <c r="Z624" s="87"/>
      <c r="AA624" s="79" t="s">
        <v>966</v>
      </c>
      <c r="AB624" s="79" t="s">
        <v>37</v>
      </c>
      <c r="AC624" s="79" t="s">
        <v>37</v>
      </c>
      <c r="AD624" s="79"/>
      <c r="AE624" s="79"/>
      <c r="AF624" s="79"/>
      <c r="AG624" s="79"/>
      <c r="AH624" s="79"/>
      <c r="AI624" s="53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</row>
    <row r="625" spans="1:110" ht="20.399999999999999" x14ac:dyDescent="0.25">
      <c r="A625" s="24">
        <v>1405007</v>
      </c>
      <c r="B625" s="10" t="s">
        <v>956</v>
      </c>
      <c r="C625" s="25" t="s">
        <v>1053</v>
      </c>
      <c r="D625" s="26" t="s">
        <v>1054</v>
      </c>
      <c r="E625" s="10" t="s">
        <v>1043</v>
      </c>
      <c r="F625" s="10" t="s">
        <v>557</v>
      </c>
      <c r="G625" s="55" t="str">
        <f t="shared" si="15"/>
        <v>Obsolete</v>
      </c>
      <c r="H625" s="10"/>
      <c r="I625" s="13"/>
      <c r="J625" s="56"/>
      <c r="K625" s="57"/>
      <c r="M625" s="10"/>
      <c r="N625" s="10"/>
      <c r="O625" s="29"/>
      <c r="P625" s="29"/>
      <c r="Q625" s="29"/>
      <c r="R625" s="29"/>
      <c r="S625" s="29"/>
      <c r="T625" s="72"/>
      <c r="U625" s="97" t="s">
        <v>54</v>
      </c>
      <c r="V625" s="97"/>
      <c r="W625" s="97" t="s">
        <v>54</v>
      </c>
      <c r="X625" s="97"/>
      <c r="Y625" s="97"/>
      <c r="Z625" s="87"/>
      <c r="AA625" s="79" t="s">
        <v>64</v>
      </c>
      <c r="AB625" s="79" t="s">
        <v>37</v>
      </c>
      <c r="AC625" s="79" t="s">
        <v>37</v>
      </c>
      <c r="AD625" s="79"/>
      <c r="AE625" s="79" t="s">
        <v>1044</v>
      </c>
      <c r="AF625" s="79" t="s">
        <v>1045</v>
      </c>
      <c r="AG625" s="79" t="s">
        <v>1046</v>
      </c>
      <c r="AH625" s="79"/>
      <c r="AI625" s="53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</row>
    <row r="626" spans="1:110" ht="20.399999999999999" x14ac:dyDescent="0.25">
      <c r="A626" s="24">
        <v>1405008</v>
      </c>
      <c r="B626" s="10" t="s">
        <v>956</v>
      </c>
      <c r="C626" s="25" t="s">
        <v>1055</v>
      </c>
      <c r="D626" s="26" t="s">
        <v>1054</v>
      </c>
      <c r="E626" s="10" t="s">
        <v>1043</v>
      </c>
      <c r="F626" s="10" t="s">
        <v>557</v>
      </c>
      <c r="G626" s="55" t="str">
        <f t="shared" si="15"/>
        <v>Obsolete</v>
      </c>
      <c r="H626" s="10"/>
      <c r="I626" s="13"/>
      <c r="J626" s="56"/>
      <c r="K626" s="57"/>
      <c r="M626" s="10"/>
      <c r="N626" s="10"/>
      <c r="O626" s="29"/>
      <c r="P626" s="29"/>
      <c r="Q626" s="29"/>
      <c r="R626" s="29"/>
      <c r="S626" s="29"/>
      <c r="T626" s="72"/>
      <c r="U626" s="97" t="s">
        <v>54</v>
      </c>
      <c r="V626" s="97"/>
      <c r="W626" s="97" t="s">
        <v>54</v>
      </c>
      <c r="X626" s="97"/>
      <c r="Y626" s="97"/>
      <c r="Z626" s="87"/>
      <c r="AA626" s="79" t="s">
        <v>64</v>
      </c>
      <c r="AB626" s="79" t="s">
        <v>37</v>
      </c>
      <c r="AC626" s="79" t="s">
        <v>37</v>
      </c>
      <c r="AD626" s="79"/>
      <c r="AE626" s="79" t="s">
        <v>1044</v>
      </c>
      <c r="AF626" s="79" t="s">
        <v>1045</v>
      </c>
      <c r="AG626" s="79" t="s">
        <v>1046</v>
      </c>
      <c r="AH626" s="79"/>
      <c r="AI626" s="53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</row>
    <row r="627" spans="1:110" ht="20.399999999999999" x14ac:dyDescent="0.25">
      <c r="A627" s="24">
        <v>1405009</v>
      </c>
      <c r="B627" s="10" t="s">
        <v>956</v>
      </c>
      <c r="C627" s="25" t="s">
        <v>1056</v>
      </c>
      <c r="D627" s="26" t="s">
        <v>1054</v>
      </c>
      <c r="E627" s="10" t="s">
        <v>1043</v>
      </c>
      <c r="F627" s="10" t="s">
        <v>557</v>
      </c>
      <c r="G627" s="55" t="str">
        <f t="shared" si="15"/>
        <v>Obsolete</v>
      </c>
      <c r="H627" s="10"/>
      <c r="I627" s="13"/>
      <c r="J627" s="56"/>
      <c r="K627" s="57"/>
      <c r="M627" s="10"/>
      <c r="N627" s="10"/>
      <c r="O627" s="29"/>
      <c r="P627" s="29"/>
      <c r="Q627" s="29"/>
      <c r="R627" s="29"/>
      <c r="S627" s="29"/>
      <c r="T627" s="72"/>
      <c r="U627" s="97" t="s">
        <v>54</v>
      </c>
      <c r="V627" s="97"/>
      <c r="W627" s="97" t="s">
        <v>54</v>
      </c>
      <c r="X627" s="97"/>
      <c r="Y627" s="97"/>
      <c r="Z627" s="87"/>
      <c r="AA627" s="79" t="s">
        <v>64</v>
      </c>
      <c r="AB627" s="79" t="s">
        <v>37</v>
      </c>
      <c r="AC627" s="79" t="s">
        <v>37</v>
      </c>
      <c r="AD627" s="79"/>
      <c r="AE627" s="79" t="s">
        <v>1044</v>
      </c>
      <c r="AF627" s="79" t="s">
        <v>1045</v>
      </c>
      <c r="AG627" s="79" t="s">
        <v>1046</v>
      </c>
      <c r="AH627" s="79"/>
      <c r="AI627" s="53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</row>
    <row r="628" spans="1:110" ht="20.399999999999999" x14ac:dyDescent="0.25">
      <c r="A628" s="24">
        <v>1405010</v>
      </c>
      <c r="B628" s="10" t="s">
        <v>956</v>
      </c>
      <c r="C628" s="25" t="s">
        <v>1057</v>
      </c>
      <c r="D628" s="26" t="s">
        <v>1054</v>
      </c>
      <c r="E628" s="10" t="s">
        <v>1043</v>
      </c>
      <c r="F628" s="10" t="s">
        <v>557</v>
      </c>
      <c r="G628" s="55" t="str">
        <f t="shared" si="15"/>
        <v>Obsolete</v>
      </c>
      <c r="H628" s="10"/>
      <c r="I628" s="13"/>
      <c r="J628" s="56"/>
      <c r="K628" s="57"/>
      <c r="M628" s="10"/>
      <c r="N628" s="10"/>
      <c r="O628" s="29"/>
      <c r="P628" s="29"/>
      <c r="Q628" s="29"/>
      <c r="R628" s="29"/>
      <c r="S628" s="29"/>
      <c r="T628" s="72"/>
      <c r="U628" s="97" t="s">
        <v>54</v>
      </c>
      <c r="V628" s="97"/>
      <c r="W628" s="97" t="s">
        <v>54</v>
      </c>
      <c r="X628" s="97"/>
      <c r="Y628" s="97"/>
      <c r="Z628" s="87"/>
      <c r="AA628" s="79" t="s">
        <v>64</v>
      </c>
      <c r="AB628" s="79" t="s">
        <v>37</v>
      </c>
      <c r="AC628" s="79" t="s">
        <v>37</v>
      </c>
      <c r="AD628" s="79"/>
      <c r="AE628" s="79" t="s">
        <v>1044</v>
      </c>
      <c r="AF628" s="79" t="s">
        <v>1045</v>
      </c>
      <c r="AG628" s="79" t="s">
        <v>1046</v>
      </c>
      <c r="AH628" s="79"/>
      <c r="AI628" s="53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</row>
    <row r="629" spans="1:110" ht="20.399999999999999" x14ac:dyDescent="0.25">
      <c r="A629" s="24">
        <v>1405011</v>
      </c>
      <c r="B629" s="10" t="s">
        <v>956</v>
      </c>
      <c r="C629" s="25" t="s">
        <v>1058</v>
      </c>
      <c r="D629" s="26" t="s">
        <v>1054</v>
      </c>
      <c r="E629" s="10" t="s">
        <v>1043</v>
      </c>
      <c r="F629" s="10" t="s">
        <v>557</v>
      </c>
      <c r="G629" s="55" t="str">
        <f t="shared" si="15"/>
        <v>Obsolete</v>
      </c>
      <c r="H629" s="10"/>
      <c r="I629" s="13"/>
      <c r="J629" s="56"/>
      <c r="K629" s="57"/>
      <c r="M629" s="10"/>
      <c r="N629" s="10"/>
      <c r="O629" s="29"/>
      <c r="P629" s="29"/>
      <c r="Q629" s="29"/>
      <c r="R629" s="29"/>
      <c r="S629" s="29"/>
      <c r="T629" s="72"/>
      <c r="U629" s="97" t="s">
        <v>54</v>
      </c>
      <c r="V629" s="97"/>
      <c r="W629" s="97" t="s">
        <v>54</v>
      </c>
      <c r="X629" s="97"/>
      <c r="Y629" s="97"/>
      <c r="Z629" s="87"/>
      <c r="AA629" s="79" t="s">
        <v>64</v>
      </c>
      <c r="AB629" s="79" t="s">
        <v>37</v>
      </c>
      <c r="AC629" s="79" t="s">
        <v>37</v>
      </c>
      <c r="AD629" s="79"/>
      <c r="AE629" s="79" t="s">
        <v>1044</v>
      </c>
      <c r="AF629" s="79" t="s">
        <v>1045</v>
      </c>
      <c r="AG629" s="79" t="s">
        <v>1046</v>
      </c>
      <c r="AH629" s="79"/>
      <c r="AI629" s="53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</row>
    <row r="630" spans="1:110" ht="20.399999999999999" x14ac:dyDescent="0.25">
      <c r="A630" s="24">
        <v>1405012</v>
      </c>
      <c r="B630" s="10" t="s">
        <v>956</v>
      </c>
      <c r="C630" s="25" t="s">
        <v>1059</v>
      </c>
      <c r="D630" s="26" t="s">
        <v>1054</v>
      </c>
      <c r="E630" s="10" t="s">
        <v>1043</v>
      </c>
      <c r="F630" s="10" t="s">
        <v>557</v>
      </c>
      <c r="G630" s="55" t="str">
        <f t="shared" si="15"/>
        <v>Obsolete</v>
      </c>
      <c r="H630" s="10"/>
      <c r="I630" s="13"/>
      <c r="J630" s="56"/>
      <c r="K630" s="57"/>
      <c r="M630" s="10"/>
      <c r="N630" s="10"/>
      <c r="O630" s="29"/>
      <c r="P630" s="29"/>
      <c r="Q630" s="29"/>
      <c r="R630" s="29"/>
      <c r="S630" s="29"/>
      <c r="T630" s="72"/>
      <c r="U630" s="97" t="s">
        <v>54</v>
      </c>
      <c r="V630" s="97"/>
      <c r="W630" s="97" t="s">
        <v>54</v>
      </c>
      <c r="X630" s="97"/>
      <c r="Y630" s="97"/>
      <c r="Z630" s="87"/>
      <c r="AA630" s="79" t="s">
        <v>64</v>
      </c>
      <c r="AB630" s="79" t="s">
        <v>37</v>
      </c>
      <c r="AC630" s="79" t="s">
        <v>37</v>
      </c>
      <c r="AD630" s="79"/>
      <c r="AE630" s="79" t="s">
        <v>1044</v>
      </c>
      <c r="AF630" s="79" t="s">
        <v>1045</v>
      </c>
      <c r="AG630" s="79" t="s">
        <v>1046</v>
      </c>
      <c r="AH630" s="79"/>
      <c r="AI630" s="53"/>
      <c r="AJ630" s="7"/>
      <c r="AK630" s="44" t="e">
        <v>#REF!</v>
      </c>
      <c r="AL630" s="44" t="e">
        <v>#REF!</v>
      </c>
      <c r="AM630" s="44" t="e">
        <v>#REF!</v>
      </c>
      <c r="AN630" s="44" t="e">
        <v>#REF!</v>
      </c>
      <c r="AO630" s="44" t="e">
        <v>#REF!</v>
      </c>
      <c r="AP630" s="44" t="e">
        <v>#REF!</v>
      </c>
      <c r="AQ630" s="44" t="e">
        <v>#REF!</v>
      </c>
      <c r="AR630" s="44" t="e">
        <v>#REF!</v>
      </c>
      <c r="AS630" s="44" t="e">
        <v>#REF!</v>
      </c>
      <c r="AT630" s="44" t="e">
        <v>#REF!</v>
      </c>
      <c r="AU630" s="44" t="e">
        <v>#REF!</v>
      </c>
      <c r="AV630" s="44" t="e">
        <v>#REF!</v>
      </c>
      <c r="AW630" s="44" t="e">
        <v>#REF!</v>
      </c>
      <c r="AX630" s="44" t="e">
        <v>#REF!</v>
      </c>
      <c r="AY630" s="44" t="e">
        <v>#REF!</v>
      </c>
      <c r="AZ630" s="44" t="e">
        <v>#REF!</v>
      </c>
      <c r="BA630" s="44" t="e">
        <v>#REF!</v>
      </c>
      <c r="BB630" s="44" t="e">
        <v>#REF!</v>
      </c>
      <c r="BC630" s="44" t="e">
        <v>#REF!</v>
      </c>
      <c r="BD630" s="44" t="e">
        <v>#REF!</v>
      </c>
      <c r="BE630" s="44" t="e">
        <v>#REF!</v>
      </c>
      <c r="BF630" s="44" t="e">
        <v>#REF!</v>
      </c>
      <c r="BG630" s="44" t="e">
        <v>#REF!</v>
      </c>
      <c r="BH630" s="44" t="e">
        <v>#REF!</v>
      </c>
      <c r="BI630" s="44" t="e">
        <v>#REF!</v>
      </c>
      <c r="BJ630" s="44" t="e">
        <v>#REF!</v>
      </c>
      <c r="BK630" s="44" t="e">
        <v>#REF!</v>
      </c>
      <c r="BL630" s="44" t="e">
        <v>#REF!</v>
      </c>
      <c r="BM630" s="44" t="e">
        <v>#REF!</v>
      </c>
      <c r="BN630" s="44" t="e">
        <v>#REF!</v>
      </c>
      <c r="BO630" s="44" t="e">
        <v>#REF!</v>
      </c>
      <c r="BP630" s="44" t="e">
        <v>#REF!</v>
      </c>
      <c r="BQ630" s="44" t="e">
        <v>#REF!</v>
      </c>
      <c r="BR630" s="44" t="e">
        <v>#REF!</v>
      </c>
      <c r="BS630" s="44" t="e">
        <v>#REF!</v>
      </c>
      <c r="BT630" s="44" t="e">
        <v>#REF!</v>
      </c>
      <c r="BU630" s="44" t="e">
        <v>#REF!</v>
      </c>
      <c r="BV630" s="44" t="e">
        <v>#REF!</v>
      </c>
      <c r="BW630" s="44" t="e">
        <v>#REF!</v>
      </c>
      <c r="BX630" s="44" t="e">
        <v>#REF!</v>
      </c>
      <c r="BY630" s="44" t="e">
        <v>#REF!</v>
      </c>
      <c r="BZ630" s="44" t="e">
        <v>#REF!</v>
      </c>
      <c r="CA630" s="44" t="e">
        <v>#REF!</v>
      </c>
      <c r="CB630" s="44" t="e">
        <v>#REF!</v>
      </c>
      <c r="CC630" s="44" t="e">
        <v>#REF!</v>
      </c>
      <c r="CD630" s="44" t="e">
        <v>#REF!</v>
      </c>
      <c r="CE630" s="44" t="e">
        <v>#REF!</v>
      </c>
      <c r="CF630" s="44" t="e">
        <v>#REF!</v>
      </c>
      <c r="CG630" s="44" t="e">
        <v>#REF!</v>
      </c>
      <c r="CH630" s="44" t="e">
        <v>#REF!</v>
      </c>
      <c r="CI630" s="44" t="e">
        <v>#REF!</v>
      </c>
      <c r="CJ630" s="44" t="e">
        <v>#REF!</v>
      </c>
      <c r="CK630" s="44" t="e">
        <v>#REF!</v>
      </c>
      <c r="CL630" s="44" t="e">
        <v>#REF!</v>
      </c>
      <c r="CM630" s="44" t="e">
        <v>#REF!</v>
      </c>
      <c r="CN630" s="44" t="e">
        <v>#REF!</v>
      </c>
      <c r="CO630" s="44" t="e">
        <v>#REF!</v>
      </c>
      <c r="CP630" s="44" t="e">
        <v>#REF!</v>
      </c>
      <c r="CQ630" s="44" t="e">
        <v>#REF!</v>
      </c>
      <c r="CR630" s="44" t="e">
        <v>#REF!</v>
      </c>
      <c r="CS630" s="44" t="e">
        <v>#REF!</v>
      </c>
      <c r="CT630" s="44" t="e">
        <v>#REF!</v>
      </c>
      <c r="CU630" s="44" t="e">
        <v>#REF!</v>
      </c>
      <c r="CV630" s="44" t="e">
        <v>#REF!</v>
      </c>
      <c r="CW630" s="44" t="e">
        <v>#REF!</v>
      </c>
      <c r="CX630" s="44" t="e">
        <v>#REF!</v>
      </c>
      <c r="CY630" s="44" t="e">
        <v>#REF!</v>
      </c>
      <c r="CZ630" s="44" t="e">
        <v>#REF!</v>
      </c>
      <c r="DA630" s="44" t="e">
        <v>#REF!</v>
      </c>
      <c r="DB630" s="44" t="e">
        <v>#REF!</v>
      </c>
      <c r="DC630" s="44" t="e">
        <v>#REF!</v>
      </c>
      <c r="DD630" s="44" t="e">
        <v>#REF!</v>
      </c>
      <c r="DE630" s="44" t="e">
        <v>#REF!</v>
      </c>
      <c r="DF630" s="44" t="e">
        <v>#REF!</v>
      </c>
    </row>
    <row r="631" spans="1:110" ht="13.8" x14ac:dyDescent="0.25">
      <c r="A631" s="24">
        <v>1405013</v>
      </c>
      <c r="B631" s="10" t="s">
        <v>956</v>
      </c>
      <c r="C631" s="25" t="s">
        <v>1060</v>
      </c>
      <c r="D631" s="26" t="s">
        <v>1061</v>
      </c>
      <c r="E631" s="10" t="s">
        <v>1062</v>
      </c>
      <c r="F631" s="10" t="s">
        <v>557</v>
      </c>
      <c r="G631" s="55" t="str">
        <f t="shared" si="15"/>
        <v>Obsolete</v>
      </c>
      <c r="H631" s="10">
        <v>6</v>
      </c>
      <c r="I631" s="13">
        <v>600</v>
      </c>
      <c r="J631" s="56"/>
      <c r="K631" s="57"/>
      <c r="M631" s="10">
        <v>7.3999999999999996E-2</v>
      </c>
      <c r="N631" s="10"/>
      <c r="O631" s="29"/>
      <c r="P631" s="29"/>
      <c r="Q631" s="29"/>
      <c r="R631" s="29"/>
      <c r="S631" s="29"/>
      <c r="T631" s="72"/>
      <c r="U631" s="97" t="s">
        <v>54</v>
      </c>
      <c r="V631" s="97"/>
      <c r="W631" s="97" t="s">
        <v>54</v>
      </c>
      <c r="X631" s="97"/>
      <c r="Y631" s="97"/>
      <c r="Z631" s="87"/>
      <c r="AA631" s="79" t="s">
        <v>64</v>
      </c>
      <c r="AB631" s="79" t="s">
        <v>37</v>
      </c>
      <c r="AC631" s="79" t="s">
        <v>37</v>
      </c>
      <c r="AD631" s="79"/>
      <c r="AE631" s="79"/>
      <c r="AF631" s="79"/>
      <c r="AG631" s="79"/>
      <c r="AH631" s="79"/>
      <c r="AI631" s="53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</row>
    <row r="632" spans="1:110" ht="20.399999999999999" x14ac:dyDescent="0.25">
      <c r="A632" s="24">
        <v>1405015</v>
      </c>
      <c r="B632" s="10" t="s">
        <v>956</v>
      </c>
      <c r="C632" s="25" t="s">
        <v>1063</v>
      </c>
      <c r="D632" s="26" t="s">
        <v>1064</v>
      </c>
      <c r="E632" s="10" t="s">
        <v>1043</v>
      </c>
      <c r="F632" s="10" t="s">
        <v>557</v>
      </c>
      <c r="G632" s="55" t="str">
        <f t="shared" si="15"/>
        <v>Obsolete</v>
      </c>
      <c r="H632" s="10"/>
      <c r="I632" s="13"/>
      <c r="J632" s="56"/>
      <c r="K632" s="57"/>
      <c r="M632" s="10"/>
      <c r="N632" s="10"/>
      <c r="O632" s="29"/>
      <c r="P632" s="29"/>
      <c r="Q632" s="29"/>
      <c r="R632" s="29"/>
      <c r="S632" s="29"/>
      <c r="T632" s="72"/>
      <c r="U632" s="97" t="s">
        <v>54</v>
      </c>
      <c r="V632" s="97"/>
      <c r="W632" s="97" t="s">
        <v>54</v>
      </c>
      <c r="X632" s="97"/>
      <c r="Y632" s="97"/>
      <c r="Z632" s="87"/>
      <c r="AA632" s="79" t="s">
        <v>64</v>
      </c>
      <c r="AB632" s="79" t="s">
        <v>37</v>
      </c>
      <c r="AC632" s="79" t="s">
        <v>37</v>
      </c>
      <c r="AD632" s="79"/>
      <c r="AE632" s="79" t="s">
        <v>1044</v>
      </c>
      <c r="AF632" s="79" t="s">
        <v>1045</v>
      </c>
      <c r="AG632" s="79" t="s">
        <v>1046</v>
      </c>
      <c r="AH632" s="79"/>
      <c r="AI632" s="53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</row>
    <row r="633" spans="1:110" ht="20.399999999999999" x14ac:dyDescent="0.25">
      <c r="A633" s="24">
        <v>1405016</v>
      </c>
      <c r="B633" s="10" t="s">
        <v>956</v>
      </c>
      <c r="C633" s="25" t="s">
        <v>1065</v>
      </c>
      <c r="D633" s="26" t="s">
        <v>1064</v>
      </c>
      <c r="E633" s="10" t="s">
        <v>1043</v>
      </c>
      <c r="F633" s="10" t="s">
        <v>557</v>
      </c>
      <c r="G633" s="55" t="str">
        <f t="shared" ref="G633:G696" si="16">IF(U633="Obsolete",U633,U633+V633)</f>
        <v>Obsolete</v>
      </c>
      <c r="H633" s="10"/>
      <c r="I633" s="13"/>
      <c r="J633" s="56"/>
      <c r="K633" s="57"/>
      <c r="M633" s="10"/>
      <c r="N633" s="10"/>
      <c r="O633" s="29"/>
      <c r="P633" s="29"/>
      <c r="Q633" s="29"/>
      <c r="R633" s="29"/>
      <c r="S633" s="29"/>
      <c r="T633" s="72"/>
      <c r="U633" s="97" t="s">
        <v>54</v>
      </c>
      <c r="V633" s="97"/>
      <c r="W633" s="97" t="s">
        <v>54</v>
      </c>
      <c r="X633" s="97"/>
      <c r="Y633" s="97"/>
      <c r="Z633" s="87"/>
      <c r="AA633" s="79" t="s">
        <v>64</v>
      </c>
      <c r="AB633" s="79" t="s">
        <v>37</v>
      </c>
      <c r="AC633" s="79" t="s">
        <v>37</v>
      </c>
      <c r="AD633" s="79"/>
      <c r="AE633" s="79" t="s">
        <v>1044</v>
      </c>
      <c r="AF633" s="79" t="s">
        <v>1045</v>
      </c>
      <c r="AG633" s="79" t="s">
        <v>1046</v>
      </c>
      <c r="AH633" s="79"/>
      <c r="AI633" s="53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</row>
    <row r="634" spans="1:110" ht="20.399999999999999" x14ac:dyDescent="0.25">
      <c r="A634" s="24">
        <v>1405017</v>
      </c>
      <c r="B634" s="10" t="s">
        <v>956</v>
      </c>
      <c r="C634" s="25" t="s">
        <v>1066</v>
      </c>
      <c r="D634" s="26" t="s">
        <v>1064</v>
      </c>
      <c r="E634" s="10" t="s">
        <v>1043</v>
      </c>
      <c r="F634" s="10" t="s">
        <v>557</v>
      </c>
      <c r="G634" s="55" t="str">
        <f t="shared" si="16"/>
        <v>Obsolete</v>
      </c>
      <c r="H634" s="10"/>
      <c r="I634" s="13"/>
      <c r="J634" s="56"/>
      <c r="K634" s="57"/>
      <c r="M634" s="10"/>
      <c r="N634" s="10"/>
      <c r="O634" s="29"/>
      <c r="P634" s="29"/>
      <c r="Q634" s="29"/>
      <c r="R634" s="29"/>
      <c r="S634" s="29"/>
      <c r="T634" s="72"/>
      <c r="U634" s="97" t="s">
        <v>54</v>
      </c>
      <c r="V634" s="97"/>
      <c r="W634" s="97" t="s">
        <v>54</v>
      </c>
      <c r="X634" s="97"/>
      <c r="Y634" s="97"/>
      <c r="Z634" s="87"/>
      <c r="AA634" s="79" t="s">
        <v>64</v>
      </c>
      <c r="AB634" s="79" t="s">
        <v>37</v>
      </c>
      <c r="AC634" s="79" t="s">
        <v>37</v>
      </c>
      <c r="AD634" s="79"/>
      <c r="AE634" s="79" t="s">
        <v>1044</v>
      </c>
      <c r="AF634" s="79" t="s">
        <v>1045</v>
      </c>
      <c r="AG634" s="79" t="s">
        <v>1046</v>
      </c>
      <c r="AH634" s="79"/>
      <c r="AI634" s="53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</row>
    <row r="635" spans="1:110" ht="20.399999999999999" x14ac:dyDescent="0.25">
      <c r="A635" s="24">
        <v>1405018</v>
      </c>
      <c r="B635" s="10" t="s">
        <v>956</v>
      </c>
      <c r="C635" s="25" t="s">
        <v>1067</v>
      </c>
      <c r="D635" s="26" t="s">
        <v>1064</v>
      </c>
      <c r="E635" s="10" t="s">
        <v>1043</v>
      </c>
      <c r="F635" s="10" t="s">
        <v>557</v>
      </c>
      <c r="G635" s="55" t="str">
        <f t="shared" si="16"/>
        <v>Obsolete</v>
      </c>
      <c r="H635" s="10"/>
      <c r="I635" s="13"/>
      <c r="J635" s="56"/>
      <c r="K635" s="57"/>
      <c r="M635" s="10"/>
      <c r="N635" s="10"/>
      <c r="O635" s="29"/>
      <c r="P635" s="29"/>
      <c r="Q635" s="29"/>
      <c r="R635" s="29"/>
      <c r="S635" s="29"/>
      <c r="T635" s="72"/>
      <c r="U635" s="97" t="s">
        <v>54</v>
      </c>
      <c r="V635" s="97"/>
      <c r="W635" s="97" t="s">
        <v>54</v>
      </c>
      <c r="X635" s="97"/>
      <c r="Y635" s="97"/>
      <c r="Z635" s="87"/>
      <c r="AA635" s="79" t="s">
        <v>64</v>
      </c>
      <c r="AB635" s="79" t="s">
        <v>37</v>
      </c>
      <c r="AC635" s="79" t="s">
        <v>37</v>
      </c>
      <c r="AD635" s="79"/>
      <c r="AE635" s="79" t="s">
        <v>1044</v>
      </c>
      <c r="AF635" s="79" t="s">
        <v>1045</v>
      </c>
      <c r="AG635" s="79" t="s">
        <v>1046</v>
      </c>
      <c r="AH635" s="79"/>
      <c r="AI635" s="53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</row>
    <row r="636" spans="1:110" ht="20.399999999999999" x14ac:dyDescent="0.25">
      <c r="A636" s="24">
        <v>1405019</v>
      </c>
      <c r="B636" s="10" t="s">
        <v>956</v>
      </c>
      <c r="C636" s="25" t="s">
        <v>1068</v>
      </c>
      <c r="D636" s="26" t="s">
        <v>1064</v>
      </c>
      <c r="E636" s="10" t="s">
        <v>1043</v>
      </c>
      <c r="F636" s="10" t="s">
        <v>557</v>
      </c>
      <c r="G636" s="55" t="str">
        <f t="shared" si="16"/>
        <v>Obsolete</v>
      </c>
      <c r="H636" s="10"/>
      <c r="I636" s="13"/>
      <c r="J636" s="56"/>
      <c r="K636" s="57"/>
      <c r="M636" s="10"/>
      <c r="N636" s="10"/>
      <c r="O636" s="29"/>
      <c r="P636" s="29"/>
      <c r="Q636" s="29"/>
      <c r="R636" s="29"/>
      <c r="S636" s="29"/>
      <c r="T636" s="72"/>
      <c r="U636" s="97" t="s">
        <v>54</v>
      </c>
      <c r="V636" s="97"/>
      <c r="W636" s="97" t="s">
        <v>54</v>
      </c>
      <c r="X636" s="97"/>
      <c r="Y636" s="97"/>
      <c r="Z636" s="87"/>
      <c r="AA636" s="79" t="s">
        <v>64</v>
      </c>
      <c r="AB636" s="79" t="s">
        <v>37</v>
      </c>
      <c r="AC636" s="79" t="s">
        <v>37</v>
      </c>
      <c r="AD636" s="79"/>
      <c r="AE636" s="79" t="s">
        <v>1044</v>
      </c>
      <c r="AF636" s="79" t="s">
        <v>1045</v>
      </c>
      <c r="AG636" s="79" t="s">
        <v>1046</v>
      </c>
      <c r="AH636" s="79"/>
      <c r="AI636" s="53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</row>
    <row r="637" spans="1:110" ht="20.399999999999999" x14ac:dyDescent="0.25">
      <c r="A637" s="24">
        <v>1405020</v>
      </c>
      <c r="B637" s="10" t="s">
        <v>956</v>
      </c>
      <c r="C637" s="25" t="s">
        <v>1069</v>
      </c>
      <c r="D637" s="26" t="s">
        <v>1064</v>
      </c>
      <c r="E637" s="10" t="s">
        <v>1043</v>
      </c>
      <c r="F637" s="10" t="s">
        <v>557</v>
      </c>
      <c r="G637" s="55" t="str">
        <f t="shared" si="16"/>
        <v>Obsolete</v>
      </c>
      <c r="H637" s="10"/>
      <c r="I637" s="13"/>
      <c r="J637" s="56"/>
      <c r="K637" s="57"/>
      <c r="M637" s="10"/>
      <c r="N637" s="10"/>
      <c r="O637" s="29"/>
      <c r="P637" s="29"/>
      <c r="Q637" s="29"/>
      <c r="R637" s="29"/>
      <c r="S637" s="29"/>
      <c r="T637" s="72"/>
      <c r="U637" s="97" t="s">
        <v>54</v>
      </c>
      <c r="V637" s="97"/>
      <c r="W637" s="97" t="s">
        <v>54</v>
      </c>
      <c r="X637" s="97"/>
      <c r="Y637" s="97"/>
      <c r="Z637" s="87"/>
      <c r="AA637" s="79" t="s">
        <v>64</v>
      </c>
      <c r="AB637" s="79" t="s">
        <v>37</v>
      </c>
      <c r="AC637" s="79" t="s">
        <v>37</v>
      </c>
      <c r="AD637" s="79"/>
      <c r="AE637" s="79" t="s">
        <v>1044</v>
      </c>
      <c r="AF637" s="79" t="s">
        <v>1045</v>
      </c>
      <c r="AG637" s="79" t="s">
        <v>1046</v>
      </c>
      <c r="AH637" s="79"/>
      <c r="AI637" s="53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</row>
    <row r="638" spans="1:110" ht="13.8" x14ac:dyDescent="0.25">
      <c r="A638" s="24">
        <v>1405021</v>
      </c>
      <c r="B638" s="10" t="s">
        <v>956</v>
      </c>
      <c r="C638" s="25" t="s">
        <v>1070</v>
      </c>
      <c r="D638" s="26"/>
      <c r="E638" s="10" t="s">
        <v>1016</v>
      </c>
      <c r="F638" s="10" t="s">
        <v>557</v>
      </c>
      <c r="G638" s="55" t="str">
        <f t="shared" si="16"/>
        <v>Obsolete</v>
      </c>
      <c r="H638" s="10"/>
      <c r="I638" s="13"/>
      <c r="J638" s="56"/>
      <c r="K638" s="57"/>
      <c r="M638" s="10"/>
      <c r="N638" s="10"/>
      <c r="O638" s="29"/>
      <c r="P638" s="29"/>
      <c r="Q638" s="29"/>
      <c r="R638" s="29"/>
      <c r="S638" s="29"/>
      <c r="T638" s="72"/>
      <c r="U638" s="97" t="s">
        <v>54</v>
      </c>
      <c r="V638" s="97"/>
      <c r="W638" s="97" t="s">
        <v>54</v>
      </c>
      <c r="X638" s="97"/>
      <c r="Y638" s="97"/>
      <c r="Z638" s="87"/>
      <c r="AA638" s="79" t="s">
        <v>496</v>
      </c>
      <c r="AB638" s="79" t="s">
        <v>37</v>
      </c>
      <c r="AC638" s="79" t="s">
        <v>37</v>
      </c>
      <c r="AD638" s="79"/>
      <c r="AE638" s="79"/>
      <c r="AF638" s="79"/>
      <c r="AG638" s="79"/>
      <c r="AH638" s="79"/>
      <c r="AI638" s="53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</row>
    <row r="639" spans="1:110" ht="13.8" x14ac:dyDescent="0.25">
      <c r="A639" s="24">
        <v>1405022</v>
      </c>
      <c r="B639" s="10" t="s">
        <v>956</v>
      </c>
      <c r="C639" s="25" t="s">
        <v>1071</v>
      </c>
      <c r="D639" s="26"/>
      <c r="E639" s="10" t="s">
        <v>1016</v>
      </c>
      <c r="F639" s="10" t="s">
        <v>557</v>
      </c>
      <c r="G639" s="55" t="str">
        <f t="shared" si="16"/>
        <v>Obsolete</v>
      </c>
      <c r="H639" s="10"/>
      <c r="I639" s="13"/>
      <c r="J639" s="56"/>
      <c r="K639" s="57"/>
      <c r="M639" s="10"/>
      <c r="N639" s="10"/>
      <c r="O639" s="29"/>
      <c r="P639" s="29"/>
      <c r="Q639" s="29"/>
      <c r="R639" s="29"/>
      <c r="S639" s="29"/>
      <c r="T639" s="72"/>
      <c r="U639" s="97" t="s">
        <v>54</v>
      </c>
      <c r="V639" s="97"/>
      <c r="W639" s="97" t="s">
        <v>54</v>
      </c>
      <c r="X639" s="97"/>
      <c r="Y639" s="97"/>
      <c r="Z639" s="87"/>
      <c r="AA639" s="79" t="s">
        <v>496</v>
      </c>
      <c r="AB639" s="79" t="s">
        <v>37</v>
      </c>
      <c r="AC639" s="79" t="s">
        <v>37</v>
      </c>
      <c r="AD639" s="79"/>
      <c r="AE639" s="79"/>
      <c r="AF639" s="79"/>
      <c r="AG639" s="79"/>
      <c r="AH639" s="79"/>
      <c r="AI639" s="53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</row>
    <row r="640" spans="1:110" ht="13.8" x14ac:dyDescent="0.25">
      <c r="A640" s="24">
        <v>1405023</v>
      </c>
      <c r="B640" s="10" t="s">
        <v>956</v>
      </c>
      <c r="C640" s="25" t="s">
        <v>1072</v>
      </c>
      <c r="D640" s="26"/>
      <c r="E640" s="10" t="s">
        <v>1016</v>
      </c>
      <c r="F640" s="10" t="s">
        <v>557</v>
      </c>
      <c r="G640" s="55" t="str">
        <f t="shared" si="16"/>
        <v>Obsolete</v>
      </c>
      <c r="H640" s="10"/>
      <c r="I640" s="13"/>
      <c r="J640" s="56"/>
      <c r="K640" s="57"/>
      <c r="M640" s="10"/>
      <c r="N640" s="10"/>
      <c r="O640" s="29"/>
      <c r="P640" s="29"/>
      <c r="Q640" s="29"/>
      <c r="R640" s="29"/>
      <c r="S640" s="29"/>
      <c r="T640" s="72"/>
      <c r="U640" s="97" t="s">
        <v>54</v>
      </c>
      <c r="V640" s="97"/>
      <c r="W640" s="97" t="s">
        <v>54</v>
      </c>
      <c r="X640" s="97"/>
      <c r="Y640" s="97"/>
      <c r="Z640" s="87"/>
      <c r="AA640" s="79" t="s">
        <v>496</v>
      </c>
      <c r="AB640" s="79" t="s">
        <v>37</v>
      </c>
      <c r="AC640" s="79" t="s">
        <v>37</v>
      </c>
      <c r="AD640" s="79"/>
      <c r="AE640" s="79"/>
      <c r="AF640" s="79"/>
      <c r="AG640" s="79"/>
      <c r="AH640" s="79"/>
      <c r="AI640" s="53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</row>
    <row r="641" spans="1:110" ht="13.8" x14ac:dyDescent="0.25">
      <c r="A641" s="24">
        <v>1405024</v>
      </c>
      <c r="B641" s="10" t="s">
        <v>956</v>
      </c>
      <c r="C641" s="25" t="s">
        <v>1073</v>
      </c>
      <c r="D641" s="26" t="s">
        <v>1074</v>
      </c>
      <c r="E641" s="10" t="s">
        <v>1075</v>
      </c>
      <c r="F641" s="10" t="s">
        <v>557</v>
      </c>
      <c r="G641" s="55" t="str">
        <f t="shared" si="16"/>
        <v>Obsolete</v>
      </c>
      <c r="H641" s="10"/>
      <c r="I641" s="13"/>
      <c r="J641" s="56"/>
      <c r="K641" s="57"/>
      <c r="M641" s="45">
        <v>0.16500000000000001</v>
      </c>
      <c r="N641" s="10"/>
      <c r="O641" s="29"/>
      <c r="P641" s="29"/>
      <c r="Q641" s="29"/>
      <c r="R641" s="29"/>
      <c r="S641" s="29"/>
      <c r="T641" s="72"/>
      <c r="U641" s="97" t="s">
        <v>54</v>
      </c>
      <c r="V641" s="97"/>
      <c r="W641" s="97" t="s">
        <v>54</v>
      </c>
      <c r="X641" s="97"/>
      <c r="Y641" s="97"/>
      <c r="Z641" s="87"/>
      <c r="AA641" s="79" t="s">
        <v>64</v>
      </c>
      <c r="AB641" s="79" t="s">
        <v>37</v>
      </c>
      <c r="AC641" s="79" t="s">
        <v>37</v>
      </c>
      <c r="AD641" s="79"/>
      <c r="AE641" s="79" t="s">
        <v>1076</v>
      </c>
      <c r="AF641" s="79" t="s">
        <v>1077</v>
      </c>
      <c r="AG641" s="79" t="s">
        <v>1078</v>
      </c>
      <c r="AH641" s="79"/>
      <c r="AI641" s="53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</row>
    <row r="642" spans="1:110" ht="13.8" x14ac:dyDescent="0.25">
      <c r="A642" s="24">
        <v>1405025</v>
      </c>
      <c r="B642" s="10" t="s">
        <v>956</v>
      </c>
      <c r="C642" s="25" t="s">
        <v>1079</v>
      </c>
      <c r="D642" s="26" t="s">
        <v>1074</v>
      </c>
      <c r="E642" s="10" t="s">
        <v>1075</v>
      </c>
      <c r="F642" s="10" t="s">
        <v>557</v>
      </c>
      <c r="G642" s="55" t="str">
        <f t="shared" si="16"/>
        <v>Obsolete</v>
      </c>
      <c r="H642" s="10"/>
      <c r="I642" s="13"/>
      <c r="J642" s="56"/>
      <c r="K642" s="57"/>
      <c r="M642" s="45">
        <v>2.477E-2</v>
      </c>
      <c r="N642" s="10"/>
      <c r="O642" s="29"/>
      <c r="P642" s="29"/>
      <c r="Q642" s="29"/>
      <c r="R642" s="29"/>
      <c r="S642" s="29"/>
      <c r="T642" s="72"/>
      <c r="U642" s="97" t="s">
        <v>54</v>
      </c>
      <c r="V642" s="97"/>
      <c r="W642" s="97" t="s">
        <v>54</v>
      </c>
      <c r="X642" s="97"/>
      <c r="Y642" s="97"/>
      <c r="Z642" s="87"/>
      <c r="AA642" s="79" t="s">
        <v>64</v>
      </c>
      <c r="AB642" s="79" t="s">
        <v>37</v>
      </c>
      <c r="AC642" s="79" t="s">
        <v>37</v>
      </c>
      <c r="AD642" s="79"/>
      <c r="AE642" s="79" t="s">
        <v>1076</v>
      </c>
      <c r="AF642" s="79" t="s">
        <v>1077</v>
      </c>
      <c r="AG642" s="79" t="s">
        <v>1078</v>
      </c>
      <c r="AH642" s="79"/>
      <c r="AI642" s="53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</row>
    <row r="643" spans="1:110" ht="13.8" x14ac:dyDescent="0.25">
      <c r="A643" s="24">
        <v>1405025</v>
      </c>
      <c r="B643" s="10" t="s">
        <v>956</v>
      </c>
      <c r="C643" s="25" t="s">
        <v>1080</v>
      </c>
      <c r="D643" s="10"/>
      <c r="E643" s="10" t="s">
        <v>1075</v>
      </c>
      <c r="F643" s="10" t="s">
        <v>557</v>
      </c>
      <c r="G643" s="55" t="str">
        <f t="shared" si="16"/>
        <v>Obsolete</v>
      </c>
      <c r="H643" s="10"/>
      <c r="I643" s="13"/>
      <c r="J643" s="56"/>
      <c r="K643" s="57"/>
      <c r="M643" s="10"/>
      <c r="N643" s="10"/>
      <c r="O643" s="29"/>
      <c r="P643" s="29"/>
      <c r="Q643" s="29"/>
      <c r="R643" s="29"/>
      <c r="S643" s="29"/>
      <c r="T643" s="72"/>
      <c r="U643" s="97" t="s">
        <v>54</v>
      </c>
      <c r="V643" s="97"/>
      <c r="W643" s="97" t="s">
        <v>54</v>
      </c>
      <c r="X643" s="97"/>
      <c r="Y643" s="97"/>
      <c r="Z643" s="87"/>
      <c r="AA643" s="79"/>
      <c r="AB643" s="79" t="s">
        <v>37</v>
      </c>
      <c r="AC643" s="79" t="s">
        <v>37</v>
      </c>
      <c r="AD643" s="79"/>
      <c r="AE643" s="79"/>
      <c r="AF643" s="79"/>
      <c r="AG643" s="79"/>
      <c r="AH643" s="79"/>
      <c r="AI643" s="53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</row>
    <row r="644" spans="1:110" ht="13.8" x14ac:dyDescent="0.25">
      <c r="A644" s="24">
        <v>1405026</v>
      </c>
      <c r="B644" s="10" t="s">
        <v>956</v>
      </c>
      <c r="C644" s="25" t="s">
        <v>1081</v>
      </c>
      <c r="D644" s="26" t="s">
        <v>1074</v>
      </c>
      <c r="E644" s="10" t="s">
        <v>1043</v>
      </c>
      <c r="F644" s="10" t="s">
        <v>557</v>
      </c>
      <c r="G644" s="55" t="str">
        <f t="shared" si="16"/>
        <v>Obsolete</v>
      </c>
      <c r="H644" s="10">
        <v>12</v>
      </c>
      <c r="I644" s="13">
        <v>5000</v>
      </c>
      <c r="J644" s="56"/>
      <c r="K644" s="57"/>
      <c r="M644" s="10">
        <v>8.3000000000000004E-2</v>
      </c>
      <c r="N644" s="10"/>
      <c r="O644" s="29"/>
      <c r="P644" s="29"/>
      <c r="Q644" s="29"/>
      <c r="R644" s="29"/>
      <c r="S644" s="29"/>
      <c r="T644" s="72"/>
      <c r="U644" s="97" t="s">
        <v>54</v>
      </c>
      <c r="V644" s="97"/>
      <c r="W644" s="97" t="s">
        <v>54</v>
      </c>
      <c r="X644" s="97"/>
      <c r="Y644" s="97"/>
      <c r="Z644" s="87"/>
      <c r="AA644" s="79" t="s">
        <v>64</v>
      </c>
      <c r="AB644" s="79" t="s">
        <v>37</v>
      </c>
      <c r="AC644" s="79" t="s">
        <v>37</v>
      </c>
      <c r="AD644" s="79"/>
      <c r="AE644" s="79" t="s">
        <v>1044</v>
      </c>
      <c r="AF644" s="79" t="s">
        <v>1045</v>
      </c>
      <c r="AG644" s="79" t="s">
        <v>1046</v>
      </c>
      <c r="AH644" s="79"/>
      <c r="AI644" s="53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</row>
    <row r="645" spans="1:110" ht="20.399999999999999" x14ac:dyDescent="0.25">
      <c r="A645" s="24">
        <v>1405027</v>
      </c>
      <c r="B645" s="10" t="s">
        <v>956</v>
      </c>
      <c r="C645" s="25" t="s">
        <v>1082</v>
      </c>
      <c r="D645" s="26" t="s">
        <v>1074</v>
      </c>
      <c r="E645" s="10" t="s">
        <v>1043</v>
      </c>
      <c r="F645" s="10" t="s">
        <v>557</v>
      </c>
      <c r="G645" s="55" t="str">
        <f t="shared" si="16"/>
        <v>Obsolete</v>
      </c>
      <c r="H645" s="10">
        <v>12</v>
      </c>
      <c r="I645" s="13">
        <v>4000</v>
      </c>
      <c r="J645" s="56"/>
      <c r="K645" s="57"/>
      <c r="M645" s="19">
        <v>0.20599999999999999</v>
      </c>
      <c r="N645" s="10"/>
      <c r="O645" s="29"/>
      <c r="P645" s="29"/>
      <c r="Q645" s="29"/>
      <c r="R645" s="29"/>
      <c r="S645" s="29"/>
      <c r="T645" s="72"/>
      <c r="U645" s="97" t="s">
        <v>54</v>
      </c>
      <c r="V645" s="97"/>
      <c r="W645" s="97" t="s">
        <v>54</v>
      </c>
      <c r="X645" s="97"/>
      <c r="Y645" s="97"/>
      <c r="Z645" s="87"/>
      <c r="AA645" s="79" t="s">
        <v>64</v>
      </c>
      <c r="AB645" s="79" t="s">
        <v>37</v>
      </c>
      <c r="AC645" s="79" t="s">
        <v>37</v>
      </c>
      <c r="AD645" s="79"/>
      <c r="AE645" s="79" t="s">
        <v>1044</v>
      </c>
      <c r="AF645" s="79" t="s">
        <v>1045</v>
      </c>
      <c r="AG645" s="79" t="s">
        <v>1046</v>
      </c>
      <c r="AH645" s="79"/>
      <c r="AI645" s="53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</row>
    <row r="646" spans="1:110" ht="20.399999999999999" x14ac:dyDescent="0.25">
      <c r="A646" s="24">
        <v>1405028</v>
      </c>
      <c r="B646" s="10" t="s">
        <v>956</v>
      </c>
      <c r="C646" s="25" t="s">
        <v>1083</v>
      </c>
      <c r="D646" s="26" t="s">
        <v>1074</v>
      </c>
      <c r="E646" s="10" t="s">
        <v>1043</v>
      </c>
      <c r="F646" s="10" t="s">
        <v>557</v>
      </c>
      <c r="G646" s="55" t="str">
        <f t="shared" si="16"/>
        <v>Obsolete</v>
      </c>
      <c r="H646" s="10">
        <v>12</v>
      </c>
      <c r="I646" s="13">
        <v>2500</v>
      </c>
      <c r="J646" s="56"/>
      <c r="K646" s="57"/>
      <c r="M646" s="10">
        <v>0.20200000000000001</v>
      </c>
      <c r="N646" s="10"/>
      <c r="O646" s="29"/>
      <c r="P646" s="29"/>
      <c r="Q646" s="29"/>
      <c r="R646" s="29"/>
      <c r="S646" s="29"/>
      <c r="T646" s="72"/>
      <c r="U646" s="97" t="s">
        <v>54</v>
      </c>
      <c r="V646" s="97"/>
      <c r="W646" s="97" t="s">
        <v>54</v>
      </c>
      <c r="X646" s="97"/>
      <c r="Y646" s="97"/>
      <c r="Z646" s="87"/>
      <c r="AA646" s="79" t="s">
        <v>64</v>
      </c>
      <c r="AB646" s="79" t="s">
        <v>37</v>
      </c>
      <c r="AC646" s="79" t="s">
        <v>37</v>
      </c>
      <c r="AD646" s="79"/>
      <c r="AE646" s="79" t="s">
        <v>1044</v>
      </c>
      <c r="AF646" s="79" t="s">
        <v>1045</v>
      </c>
      <c r="AG646" s="79" t="s">
        <v>1046</v>
      </c>
      <c r="AH646" s="79"/>
      <c r="AI646" s="53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</row>
    <row r="647" spans="1:110" ht="20.399999999999999" x14ac:dyDescent="0.25">
      <c r="A647" s="24">
        <v>1405029</v>
      </c>
      <c r="B647" s="10" t="s">
        <v>956</v>
      </c>
      <c r="C647" s="25" t="s">
        <v>1084</v>
      </c>
      <c r="D647" s="26" t="s">
        <v>1074</v>
      </c>
      <c r="E647" s="10" t="s">
        <v>1043</v>
      </c>
      <c r="F647" s="10" t="s">
        <v>557</v>
      </c>
      <c r="G647" s="55" t="str">
        <f t="shared" si="16"/>
        <v>Obsolete</v>
      </c>
      <c r="H647" s="10">
        <v>12</v>
      </c>
      <c r="I647" s="13">
        <v>1000</v>
      </c>
      <c r="J647" s="56"/>
      <c r="K647" s="57"/>
      <c r="M647" s="10">
        <v>7.0999999999999994E-2</v>
      </c>
      <c r="N647" s="10"/>
      <c r="O647" s="29"/>
      <c r="P647" s="29"/>
      <c r="Q647" s="29"/>
      <c r="R647" s="29"/>
      <c r="S647" s="29"/>
      <c r="T647" s="72"/>
      <c r="U647" s="97" t="s">
        <v>54</v>
      </c>
      <c r="V647" s="97"/>
      <c r="W647" s="97" t="s">
        <v>54</v>
      </c>
      <c r="X647" s="97"/>
      <c r="Y647" s="97"/>
      <c r="Z647" s="87"/>
      <c r="AA647" s="79" t="s">
        <v>64</v>
      </c>
      <c r="AB647" s="79" t="s">
        <v>37</v>
      </c>
      <c r="AC647" s="79" t="s">
        <v>37</v>
      </c>
      <c r="AD647" s="79"/>
      <c r="AE647" s="79" t="s">
        <v>1044</v>
      </c>
      <c r="AF647" s="79" t="s">
        <v>1045</v>
      </c>
      <c r="AG647" s="79" t="s">
        <v>1046</v>
      </c>
      <c r="AH647" s="79"/>
      <c r="AI647" s="53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</row>
    <row r="648" spans="1:110" ht="13.8" x14ac:dyDescent="0.25">
      <c r="A648" s="24">
        <v>1405030</v>
      </c>
      <c r="B648" s="10" t="s">
        <v>956</v>
      </c>
      <c r="C648" s="25" t="s">
        <v>1085</v>
      </c>
      <c r="D648" s="26" t="s">
        <v>1074</v>
      </c>
      <c r="E648" s="10" t="s">
        <v>1043</v>
      </c>
      <c r="F648" s="10" t="s">
        <v>557</v>
      </c>
      <c r="G648" s="55" t="str">
        <f t="shared" si="16"/>
        <v>Obsolete</v>
      </c>
      <c r="H648" s="10">
        <v>12</v>
      </c>
      <c r="I648" s="13">
        <v>10000</v>
      </c>
      <c r="J648" s="56"/>
      <c r="K648" s="57"/>
      <c r="M648" s="10">
        <v>7.8E-2</v>
      </c>
      <c r="N648" s="10"/>
      <c r="O648" s="29"/>
      <c r="P648" s="29"/>
      <c r="Q648" s="29"/>
      <c r="R648" s="29"/>
      <c r="S648" s="29"/>
      <c r="T648" s="72"/>
      <c r="U648" s="97" t="s">
        <v>54</v>
      </c>
      <c r="V648" s="97"/>
      <c r="W648" s="97" t="s">
        <v>54</v>
      </c>
      <c r="X648" s="97"/>
      <c r="Y648" s="97"/>
      <c r="Z648" s="87"/>
      <c r="AA648" s="79" t="s">
        <v>64</v>
      </c>
      <c r="AB648" s="79" t="s">
        <v>37</v>
      </c>
      <c r="AC648" s="79" t="s">
        <v>37</v>
      </c>
      <c r="AD648" s="79"/>
      <c r="AE648" s="79" t="s">
        <v>1044</v>
      </c>
      <c r="AF648" s="79" t="s">
        <v>1045</v>
      </c>
      <c r="AG648" s="79" t="s">
        <v>1046</v>
      </c>
      <c r="AH648" s="79"/>
      <c r="AI648" s="53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</row>
    <row r="649" spans="1:110" ht="20.399999999999999" x14ac:dyDescent="0.25">
      <c r="A649" s="24">
        <v>1405031</v>
      </c>
      <c r="B649" s="10" t="s">
        <v>956</v>
      </c>
      <c r="C649" s="25" t="s">
        <v>1086</v>
      </c>
      <c r="D649" s="26" t="s">
        <v>1087</v>
      </c>
      <c r="E649" s="10" t="s">
        <v>1043</v>
      </c>
      <c r="F649" s="10" t="s">
        <v>557</v>
      </c>
      <c r="G649" s="55" t="str">
        <f t="shared" si="16"/>
        <v>Obsolete</v>
      </c>
      <c r="H649" s="10"/>
      <c r="I649" s="13"/>
      <c r="J649" s="56"/>
      <c r="K649" s="57"/>
      <c r="M649" s="10"/>
      <c r="N649" s="10"/>
      <c r="O649" s="29"/>
      <c r="P649" s="29"/>
      <c r="Q649" s="29"/>
      <c r="R649" s="29"/>
      <c r="S649" s="29"/>
      <c r="T649" s="72"/>
      <c r="U649" s="97" t="s">
        <v>54</v>
      </c>
      <c r="V649" s="97"/>
      <c r="W649" s="97" t="s">
        <v>54</v>
      </c>
      <c r="X649" s="97"/>
      <c r="Y649" s="97"/>
      <c r="Z649" s="87"/>
      <c r="AA649" s="79" t="s">
        <v>64</v>
      </c>
      <c r="AB649" s="79" t="s">
        <v>37</v>
      </c>
      <c r="AC649" s="79" t="s">
        <v>37</v>
      </c>
      <c r="AD649" s="79"/>
      <c r="AE649" s="79" t="s">
        <v>1044</v>
      </c>
      <c r="AF649" s="79" t="s">
        <v>1045</v>
      </c>
      <c r="AG649" s="79" t="s">
        <v>1046</v>
      </c>
      <c r="AH649" s="79"/>
      <c r="AI649" s="53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</row>
    <row r="650" spans="1:110" ht="20.399999999999999" x14ac:dyDescent="0.25">
      <c r="A650" s="24">
        <v>1405032</v>
      </c>
      <c r="B650" s="10" t="s">
        <v>956</v>
      </c>
      <c r="C650" s="25" t="s">
        <v>1088</v>
      </c>
      <c r="D650" s="26" t="s">
        <v>1087</v>
      </c>
      <c r="E650" s="10" t="s">
        <v>1043</v>
      </c>
      <c r="F650" s="10" t="s">
        <v>557</v>
      </c>
      <c r="G650" s="55" t="str">
        <f t="shared" si="16"/>
        <v>Obsolete</v>
      </c>
      <c r="H650" s="10"/>
      <c r="I650" s="13"/>
      <c r="J650" s="56"/>
      <c r="K650" s="57"/>
      <c r="M650" s="10"/>
      <c r="N650" s="10"/>
      <c r="O650" s="29"/>
      <c r="P650" s="29"/>
      <c r="Q650" s="29"/>
      <c r="R650" s="29"/>
      <c r="S650" s="29"/>
      <c r="T650" s="72"/>
      <c r="U650" s="97" t="s">
        <v>54</v>
      </c>
      <c r="V650" s="97"/>
      <c r="W650" s="97" t="s">
        <v>54</v>
      </c>
      <c r="X650" s="97"/>
      <c r="Y650" s="97"/>
      <c r="Z650" s="87"/>
      <c r="AA650" s="79" t="s">
        <v>64</v>
      </c>
      <c r="AB650" s="79" t="s">
        <v>37</v>
      </c>
      <c r="AC650" s="79" t="s">
        <v>37</v>
      </c>
      <c r="AD650" s="79"/>
      <c r="AE650" s="79" t="s">
        <v>1044</v>
      </c>
      <c r="AF650" s="79" t="s">
        <v>1045</v>
      </c>
      <c r="AG650" s="79" t="s">
        <v>1046</v>
      </c>
      <c r="AH650" s="79"/>
      <c r="AI650" s="53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</row>
    <row r="651" spans="1:110" ht="20.399999999999999" x14ac:dyDescent="0.25">
      <c r="A651" s="24">
        <v>1405033</v>
      </c>
      <c r="B651" s="10" t="s">
        <v>956</v>
      </c>
      <c r="C651" s="25" t="s">
        <v>1089</v>
      </c>
      <c r="D651" s="26" t="s">
        <v>1087</v>
      </c>
      <c r="E651" s="10" t="s">
        <v>1043</v>
      </c>
      <c r="F651" s="10" t="s">
        <v>557</v>
      </c>
      <c r="G651" s="55" t="str">
        <f t="shared" si="16"/>
        <v>Obsolete</v>
      </c>
      <c r="H651" s="10"/>
      <c r="I651" s="13"/>
      <c r="J651" s="56"/>
      <c r="K651" s="57"/>
      <c r="M651" s="10"/>
      <c r="N651" s="10"/>
      <c r="O651" s="29"/>
      <c r="P651" s="29"/>
      <c r="Q651" s="29"/>
      <c r="R651" s="29"/>
      <c r="S651" s="29"/>
      <c r="T651" s="72"/>
      <c r="U651" s="97" t="s">
        <v>54</v>
      </c>
      <c r="V651" s="97"/>
      <c r="W651" s="97" t="s">
        <v>54</v>
      </c>
      <c r="X651" s="97"/>
      <c r="Y651" s="97"/>
      <c r="Z651" s="87"/>
      <c r="AA651" s="79" t="s">
        <v>64</v>
      </c>
      <c r="AB651" s="79" t="s">
        <v>37</v>
      </c>
      <c r="AC651" s="79" t="s">
        <v>37</v>
      </c>
      <c r="AD651" s="79"/>
      <c r="AE651" s="79" t="s">
        <v>1044</v>
      </c>
      <c r="AF651" s="79" t="s">
        <v>1045</v>
      </c>
      <c r="AG651" s="79" t="s">
        <v>1046</v>
      </c>
      <c r="AH651" s="79"/>
      <c r="AI651" s="53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</row>
    <row r="652" spans="1:110" ht="20.399999999999999" x14ac:dyDescent="0.25">
      <c r="A652" s="24">
        <v>1405034</v>
      </c>
      <c r="B652" s="10" t="s">
        <v>956</v>
      </c>
      <c r="C652" s="25" t="s">
        <v>1090</v>
      </c>
      <c r="D652" s="26" t="s">
        <v>1087</v>
      </c>
      <c r="E652" s="10" t="s">
        <v>1043</v>
      </c>
      <c r="F652" s="10" t="s">
        <v>557</v>
      </c>
      <c r="G652" s="55" t="str">
        <f t="shared" si="16"/>
        <v>Obsolete</v>
      </c>
      <c r="H652" s="10"/>
      <c r="I652" s="13"/>
      <c r="J652" s="56"/>
      <c r="K652" s="57"/>
      <c r="M652" s="10"/>
      <c r="N652" s="10"/>
      <c r="O652" s="29"/>
      <c r="P652" s="29"/>
      <c r="Q652" s="29"/>
      <c r="R652" s="29"/>
      <c r="S652" s="29"/>
      <c r="T652" s="72"/>
      <c r="U652" s="97" t="s">
        <v>54</v>
      </c>
      <c r="V652" s="97"/>
      <c r="W652" s="97" t="s">
        <v>54</v>
      </c>
      <c r="X652" s="97"/>
      <c r="Y652" s="97"/>
      <c r="Z652" s="87"/>
      <c r="AA652" s="79" t="s">
        <v>64</v>
      </c>
      <c r="AB652" s="79" t="s">
        <v>37</v>
      </c>
      <c r="AC652" s="79" t="s">
        <v>37</v>
      </c>
      <c r="AD652" s="79"/>
      <c r="AE652" s="79" t="s">
        <v>1044</v>
      </c>
      <c r="AF652" s="79" t="s">
        <v>1045</v>
      </c>
      <c r="AG652" s="79" t="s">
        <v>1046</v>
      </c>
      <c r="AH652" s="79"/>
      <c r="AI652" s="53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</row>
    <row r="653" spans="1:110" ht="20.399999999999999" x14ac:dyDescent="0.25">
      <c r="A653" s="24">
        <v>1405035</v>
      </c>
      <c r="B653" s="10" t="s">
        <v>956</v>
      </c>
      <c r="C653" s="25" t="s">
        <v>1091</v>
      </c>
      <c r="D653" s="26" t="s">
        <v>1087</v>
      </c>
      <c r="E653" s="10" t="s">
        <v>1043</v>
      </c>
      <c r="F653" s="10" t="s">
        <v>557</v>
      </c>
      <c r="G653" s="55" t="str">
        <f t="shared" si="16"/>
        <v>Obsolete</v>
      </c>
      <c r="H653" s="10"/>
      <c r="I653" s="13"/>
      <c r="J653" s="56"/>
      <c r="K653" s="57"/>
      <c r="M653" s="10"/>
      <c r="N653" s="10"/>
      <c r="O653" s="29"/>
      <c r="P653" s="29"/>
      <c r="Q653" s="29"/>
      <c r="R653" s="29"/>
      <c r="S653" s="29"/>
      <c r="T653" s="72"/>
      <c r="U653" s="97" t="s">
        <v>54</v>
      </c>
      <c r="V653" s="97"/>
      <c r="W653" s="97" t="s">
        <v>54</v>
      </c>
      <c r="X653" s="97"/>
      <c r="Y653" s="97"/>
      <c r="Z653" s="87"/>
      <c r="AA653" s="79" t="s">
        <v>64</v>
      </c>
      <c r="AB653" s="79" t="s">
        <v>37</v>
      </c>
      <c r="AC653" s="79" t="s">
        <v>37</v>
      </c>
      <c r="AD653" s="79"/>
      <c r="AE653" s="79" t="s">
        <v>1044</v>
      </c>
      <c r="AF653" s="79" t="s">
        <v>1045</v>
      </c>
      <c r="AG653" s="79" t="s">
        <v>1046</v>
      </c>
      <c r="AH653" s="79"/>
      <c r="AI653" s="53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</row>
    <row r="654" spans="1:110" ht="20.399999999999999" x14ac:dyDescent="0.25">
      <c r="A654" s="24">
        <v>1405036</v>
      </c>
      <c r="B654" s="10" t="s">
        <v>956</v>
      </c>
      <c r="C654" s="25" t="s">
        <v>1092</v>
      </c>
      <c r="D654" s="26" t="s">
        <v>1087</v>
      </c>
      <c r="E654" s="10" t="s">
        <v>1043</v>
      </c>
      <c r="F654" s="10" t="s">
        <v>557</v>
      </c>
      <c r="G654" s="55" t="str">
        <f t="shared" si="16"/>
        <v>Obsolete</v>
      </c>
      <c r="H654" s="10"/>
      <c r="I654" s="13"/>
      <c r="J654" s="56"/>
      <c r="K654" s="57"/>
      <c r="M654" s="10"/>
      <c r="N654" s="10"/>
      <c r="O654" s="29"/>
      <c r="P654" s="29"/>
      <c r="Q654" s="29"/>
      <c r="R654" s="29"/>
      <c r="S654" s="29"/>
      <c r="T654" s="72"/>
      <c r="U654" s="97" t="s">
        <v>54</v>
      </c>
      <c r="V654" s="97"/>
      <c r="W654" s="97" t="s">
        <v>54</v>
      </c>
      <c r="X654" s="97"/>
      <c r="Y654" s="97"/>
      <c r="Z654" s="87"/>
      <c r="AA654" s="79" t="s">
        <v>64</v>
      </c>
      <c r="AB654" s="79" t="s">
        <v>37</v>
      </c>
      <c r="AC654" s="79" t="s">
        <v>37</v>
      </c>
      <c r="AD654" s="79"/>
      <c r="AE654" s="79" t="s">
        <v>1044</v>
      </c>
      <c r="AF654" s="79" t="s">
        <v>1045</v>
      </c>
      <c r="AG654" s="79" t="s">
        <v>1046</v>
      </c>
      <c r="AH654" s="79"/>
      <c r="AI654" s="53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</row>
    <row r="655" spans="1:110" ht="20.399999999999999" x14ac:dyDescent="0.25">
      <c r="A655" s="24">
        <v>1405037</v>
      </c>
      <c r="B655" s="10" t="s">
        <v>956</v>
      </c>
      <c r="C655" s="25" t="s">
        <v>1093</v>
      </c>
      <c r="D655" s="26" t="s">
        <v>1087</v>
      </c>
      <c r="E655" s="10" t="s">
        <v>1043</v>
      </c>
      <c r="F655" s="10" t="s">
        <v>557</v>
      </c>
      <c r="G655" s="55" t="str">
        <f t="shared" si="16"/>
        <v>Obsolete</v>
      </c>
      <c r="H655" s="10"/>
      <c r="I655" s="13"/>
      <c r="J655" s="56"/>
      <c r="K655" s="57"/>
      <c r="M655" s="10"/>
      <c r="N655" s="10"/>
      <c r="O655" s="29"/>
      <c r="P655" s="29"/>
      <c r="Q655" s="29"/>
      <c r="R655" s="29"/>
      <c r="S655" s="29"/>
      <c r="T655" s="72"/>
      <c r="U655" s="97" t="s">
        <v>54</v>
      </c>
      <c r="V655" s="97"/>
      <c r="W655" s="97" t="s">
        <v>54</v>
      </c>
      <c r="X655" s="97"/>
      <c r="Y655" s="97"/>
      <c r="Z655" s="87"/>
      <c r="AA655" s="79" t="s">
        <v>64</v>
      </c>
      <c r="AB655" s="79" t="s">
        <v>37</v>
      </c>
      <c r="AC655" s="79" t="s">
        <v>37</v>
      </c>
      <c r="AD655" s="79"/>
      <c r="AE655" s="79" t="s">
        <v>1044</v>
      </c>
      <c r="AF655" s="79" t="s">
        <v>1045</v>
      </c>
      <c r="AG655" s="79" t="s">
        <v>1046</v>
      </c>
      <c r="AH655" s="79"/>
      <c r="AI655" s="53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</row>
    <row r="656" spans="1:110" ht="20.399999999999999" x14ac:dyDescent="0.25">
      <c r="A656" s="24">
        <v>1405038</v>
      </c>
      <c r="B656" s="10" t="s">
        <v>956</v>
      </c>
      <c r="C656" s="25" t="s">
        <v>1094</v>
      </c>
      <c r="D656" s="26" t="s">
        <v>1087</v>
      </c>
      <c r="E656" s="10" t="s">
        <v>1043</v>
      </c>
      <c r="F656" s="10" t="s">
        <v>557</v>
      </c>
      <c r="G656" s="55" t="str">
        <f t="shared" si="16"/>
        <v>Obsolete</v>
      </c>
      <c r="H656" s="10"/>
      <c r="I656" s="13"/>
      <c r="J656" s="56"/>
      <c r="K656" s="57"/>
      <c r="M656" s="10"/>
      <c r="N656" s="10"/>
      <c r="O656" s="29"/>
      <c r="P656" s="29"/>
      <c r="Q656" s="29"/>
      <c r="R656" s="29"/>
      <c r="S656" s="29"/>
      <c r="T656" s="72"/>
      <c r="U656" s="97" t="s">
        <v>54</v>
      </c>
      <c r="V656" s="97"/>
      <c r="W656" s="97" t="s">
        <v>54</v>
      </c>
      <c r="X656" s="97"/>
      <c r="Y656" s="97"/>
      <c r="Z656" s="87"/>
      <c r="AA656" s="79" t="s">
        <v>64</v>
      </c>
      <c r="AB656" s="79" t="s">
        <v>37</v>
      </c>
      <c r="AC656" s="79" t="s">
        <v>37</v>
      </c>
      <c r="AD656" s="79"/>
      <c r="AE656" s="79" t="s">
        <v>1044</v>
      </c>
      <c r="AF656" s="79" t="s">
        <v>1045</v>
      </c>
      <c r="AG656" s="79" t="s">
        <v>1046</v>
      </c>
      <c r="AH656" s="79"/>
      <c r="AI656" s="53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</row>
    <row r="657" spans="1:110" ht="20.399999999999999" x14ac:dyDescent="0.25">
      <c r="A657" s="24">
        <v>1405039</v>
      </c>
      <c r="B657" s="10" t="s">
        <v>956</v>
      </c>
      <c r="C657" s="25" t="s">
        <v>1095</v>
      </c>
      <c r="D657" s="26" t="s">
        <v>1087</v>
      </c>
      <c r="E657" s="10" t="s">
        <v>1043</v>
      </c>
      <c r="F657" s="10" t="s">
        <v>557</v>
      </c>
      <c r="G657" s="55" t="str">
        <f t="shared" si="16"/>
        <v>Obsolete</v>
      </c>
      <c r="H657" s="10"/>
      <c r="I657" s="13"/>
      <c r="J657" s="56"/>
      <c r="K657" s="57"/>
      <c r="M657" s="10"/>
      <c r="N657" s="10"/>
      <c r="O657" s="29"/>
      <c r="P657" s="29"/>
      <c r="Q657" s="29"/>
      <c r="R657" s="29"/>
      <c r="S657" s="29"/>
      <c r="T657" s="72"/>
      <c r="U657" s="97" t="s">
        <v>54</v>
      </c>
      <c r="V657" s="97"/>
      <c r="W657" s="97" t="s">
        <v>54</v>
      </c>
      <c r="X657" s="97"/>
      <c r="Y657" s="97"/>
      <c r="Z657" s="87"/>
      <c r="AA657" s="79" t="s">
        <v>64</v>
      </c>
      <c r="AB657" s="79" t="s">
        <v>37</v>
      </c>
      <c r="AC657" s="79" t="s">
        <v>37</v>
      </c>
      <c r="AD657" s="79"/>
      <c r="AE657" s="79" t="s">
        <v>1044</v>
      </c>
      <c r="AF657" s="79" t="s">
        <v>1045</v>
      </c>
      <c r="AG657" s="79" t="s">
        <v>1046</v>
      </c>
      <c r="AH657" s="79"/>
      <c r="AI657" s="53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</row>
    <row r="658" spans="1:110" ht="13.8" x14ac:dyDescent="0.25">
      <c r="A658" s="24">
        <v>1405040</v>
      </c>
      <c r="B658" s="10" t="s">
        <v>956</v>
      </c>
      <c r="C658" s="16" t="s">
        <v>1096</v>
      </c>
      <c r="D658" s="26" t="s">
        <v>1087</v>
      </c>
      <c r="E658" s="10" t="s">
        <v>1043</v>
      </c>
      <c r="F658" s="10" t="s">
        <v>557</v>
      </c>
      <c r="G658" s="55" t="str">
        <f t="shared" si="16"/>
        <v>Obsolete</v>
      </c>
      <c r="H658" s="10">
        <v>12</v>
      </c>
      <c r="I658" s="13">
        <v>523</v>
      </c>
      <c r="J658" s="56"/>
      <c r="K658" s="57"/>
      <c r="M658" s="10"/>
      <c r="N658" s="10"/>
      <c r="O658" s="29"/>
      <c r="P658" s="29"/>
      <c r="Q658" s="29"/>
      <c r="R658" s="29"/>
      <c r="S658" s="29"/>
      <c r="T658" s="72"/>
      <c r="U658" s="97" t="s">
        <v>54</v>
      </c>
      <c r="V658" s="97"/>
      <c r="W658" s="97" t="s">
        <v>54</v>
      </c>
      <c r="X658" s="97"/>
      <c r="Y658" s="97"/>
      <c r="Z658" s="87"/>
      <c r="AA658" s="79" t="s">
        <v>64</v>
      </c>
      <c r="AB658" s="79" t="s">
        <v>37</v>
      </c>
      <c r="AC658" s="79" t="s">
        <v>37</v>
      </c>
      <c r="AD658" s="79"/>
      <c r="AE658" s="79" t="s">
        <v>1044</v>
      </c>
      <c r="AF658" s="79" t="s">
        <v>1045</v>
      </c>
      <c r="AG658" s="79" t="s">
        <v>1046</v>
      </c>
      <c r="AH658" s="79"/>
      <c r="AI658" s="53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</row>
    <row r="659" spans="1:110" ht="13.8" x14ac:dyDescent="0.25">
      <c r="A659" s="24">
        <v>1405041</v>
      </c>
      <c r="B659" s="10" t="s">
        <v>956</v>
      </c>
      <c r="C659" s="16" t="s">
        <v>1097</v>
      </c>
      <c r="D659" s="26" t="s">
        <v>1087</v>
      </c>
      <c r="E659" s="10" t="s">
        <v>1043</v>
      </c>
      <c r="F659" s="10" t="s">
        <v>557</v>
      </c>
      <c r="G659" s="55" t="str">
        <f t="shared" si="16"/>
        <v>Obsolete</v>
      </c>
      <c r="H659" s="10"/>
      <c r="I659" s="13"/>
      <c r="J659" s="56"/>
      <c r="K659" s="57"/>
      <c r="M659" s="10"/>
      <c r="N659" s="10"/>
      <c r="O659" s="29"/>
      <c r="P659" s="29"/>
      <c r="Q659" s="29"/>
      <c r="R659" s="29"/>
      <c r="S659" s="29"/>
      <c r="T659" s="72"/>
      <c r="U659" s="97" t="s">
        <v>54</v>
      </c>
      <c r="V659" s="97"/>
      <c r="W659" s="97" t="s">
        <v>54</v>
      </c>
      <c r="X659" s="97"/>
      <c r="Y659" s="97"/>
      <c r="Z659" s="87"/>
      <c r="AA659" s="79" t="s">
        <v>64</v>
      </c>
      <c r="AB659" s="79" t="s">
        <v>37</v>
      </c>
      <c r="AC659" s="79" t="s">
        <v>37</v>
      </c>
      <c r="AD659" s="79"/>
      <c r="AE659" s="79" t="s">
        <v>1044</v>
      </c>
      <c r="AF659" s="79" t="s">
        <v>1045</v>
      </c>
      <c r="AG659" s="79" t="s">
        <v>1046</v>
      </c>
      <c r="AH659" s="79"/>
      <c r="AI659" s="53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</row>
    <row r="660" spans="1:110" ht="13.8" x14ac:dyDescent="0.25">
      <c r="A660" s="24">
        <v>1405042</v>
      </c>
      <c r="B660" s="10" t="s">
        <v>956</v>
      </c>
      <c r="C660" s="16" t="s">
        <v>1098</v>
      </c>
      <c r="D660" s="26" t="s">
        <v>1087</v>
      </c>
      <c r="E660" s="10" t="s">
        <v>1043</v>
      </c>
      <c r="F660" s="10" t="s">
        <v>557</v>
      </c>
      <c r="G660" s="55" t="str">
        <f t="shared" si="16"/>
        <v>Obsolete</v>
      </c>
      <c r="H660" s="10"/>
      <c r="I660" s="13"/>
      <c r="J660" s="56"/>
      <c r="K660" s="57"/>
      <c r="M660" s="10"/>
      <c r="N660" s="10"/>
      <c r="O660" s="29"/>
      <c r="P660" s="29"/>
      <c r="Q660" s="29"/>
      <c r="R660" s="29"/>
      <c r="S660" s="29"/>
      <c r="T660" s="72"/>
      <c r="U660" s="97" t="s">
        <v>54</v>
      </c>
      <c r="V660" s="97"/>
      <c r="W660" s="97" t="s">
        <v>54</v>
      </c>
      <c r="X660" s="97"/>
      <c r="Y660" s="97"/>
      <c r="Z660" s="87"/>
      <c r="AA660" s="79" t="s">
        <v>64</v>
      </c>
      <c r="AB660" s="79" t="s">
        <v>37</v>
      </c>
      <c r="AC660" s="79" t="s">
        <v>37</v>
      </c>
      <c r="AD660" s="79"/>
      <c r="AE660" s="79" t="s">
        <v>1044</v>
      </c>
      <c r="AF660" s="79" t="s">
        <v>1045</v>
      </c>
      <c r="AG660" s="79" t="s">
        <v>1046</v>
      </c>
      <c r="AH660" s="79"/>
      <c r="AI660" s="53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</row>
    <row r="661" spans="1:110" ht="13.8" x14ac:dyDescent="0.25">
      <c r="A661" s="24">
        <v>1405043</v>
      </c>
      <c r="B661" s="10" t="s">
        <v>956</v>
      </c>
      <c r="C661" s="16" t="s">
        <v>1099</v>
      </c>
      <c r="D661" s="26" t="s">
        <v>1087</v>
      </c>
      <c r="E661" s="10" t="s">
        <v>1043</v>
      </c>
      <c r="F661" s="10" t="s">
        <v>557</v>
      </c>
      <c r="G661" s="55" t="str">
        <f t="shared" si="16"/>
        <v>Obsolete</v>
      </c>
      <c r="H661" s="10"/>
      <c r="I661" s="13"/>
      <c r="J661" s="56"/>
      <c r="K661" s="57"/>
      <c r="M661" s="10"/>
      <c r="N661" s="10"/>
      <c r="O661" s="29"/>
      <c r="P661" s="29"/>
      <c r="Q661" s="29"/>
      <c r="R661" s="29"/>
      <c r="S661" s="29"/>
      <c r="T661" s="72"/>
      <c r="U661" s="97" t="s">
        <v>54</v>
      </c>
      <c r="V661" s="97"/>
      <c r="W661" s="97" t="s">
        <v>54</v>
      </c>
      <c r="X661" s="97"/>
      <c r="Y661" s="97"/>
      <c r="Z661" s="87"/>
      <c r="AA661" s="79" t="s">
        <v>64</v>
      </c>
      <c r="AB661" s="79" t="s">
        <v>37</v>
      </c>
      <c r="AC661" s="79" t="s">
        <v>37</v>
      </c>
      <c r="AD661" s="79"/>
      <c r="AE661" s="79" t="s">
        <v>1044</v>
      </c>
      <c r="AF661" s="79" t="s">
        <v>1045</v>
      </c>
      <c r="AG661" s="79" t="s">
        <v>1046</v>
      </c>
      <c r="AH661" s="79"/>
      <c r="AI661" s="53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</row>
    <row r="662" spans="1:110" ht="13.8" x14ac:dyDescent="0.25">
      <c r="A662" s="24">
        <v>1405044</v>
      </c>
      <c r="B662" s="10" t="s">
        <v>956</v>
      </c>
      <c r="C662" s="16" t="s">
        <v>1100</v>
      </c>
      <c r="D662" s="26" t="s">
        <v>1087</v>
      </c>
      <c r="E662" s="10" t="s">
        <v>1043</v>
      </c>
      <c r="F662" s="10" t="s">
        <v>557</v>
      </c>
      <c r="G662" s="55" t="str">
        <f t="shared" si="16"/>
        <v>Obsolete</v>
      </c>
      <c r="H662" s="10"/>
      <c r="I662" s="13"/>
      <c r="J662" s="56"/>
      <c r="K662" s="57"/>
      <c r="M662" s="10"/>
      <c r="N662" s="10"/>
      <c r="O662" s="29"/>
      <c r="P662" s="29"/>
      <c r="Q662" s="29"/>
      <c r="R662" s="29"/>
      <c r="S662" s="29"/>
      <c r="T662" s="72"/>
      <c r="U662" s="97" t="s">
        <v>54</v>
      </c>
      <c r="V662" s="97"/>
      <c r="W662" s="97" t="s">
        <v>54</v>
      </c>
      <c r="X662" s="97"/>
      <c r="Y662" s="97"/>
      <c r="Z662" s="87"/>
      <c r="AA662" s="79" t="s">
        <v>64</v>
      </c>
      <c r="AB662" s="79" t="s">
        <v>37</v>
      </c>
      <c r="AC662" s="79" t="s">
        <v>37</v>
      </c>
      <c r="AD662" s="79"/>
      <c r="AE662" s="79" t="s">
        <v>1044</v>
      </c>
      <c r="AF662" s="79" t="s">
        <v>1045</v>
      </c>
      <c r="AG662" s="79" t="s">
        <v>1046</v>
      </c>
      <c r="AH662" s="79"/>
      <c r="AI662" s="53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</row>
    <row r="663" spans="1:110" ht="13.8" x14ac:dyDescent="0.25">
      <c r="A663" s="24">
        <v>1405045</v>
      </c>
      <c r="B663" s="10" t="s">
        <v>956</v>
      </c>
      <c r="C663" s="16" t="s">
        <v>1101</v>
      </c>
      <c r="D663" s="26" t="s">
        <v>1087</v>
      </c>
      <c r="E663" s="10" t="s">
        <v>1043</v>
      </c>
      <c r="F663" s="10" t="s">
        <v>557</v>
      </c>
      <c r="G663" s="55" t="str">
        <f t="shared" si="16"/>
        <v>Obsolete</v>
      </c>
      <c r="H663" s="10">
        <v>12</v>
      </c>
      <c r="I663" s="13">
        <v>523</v>
      </c>
      <c r="J663" s="56"/>
      <c r="K663" s="57"/>
      <c r="M663" s="10"/>
      <c r="N663" s="10"/>
      <c r="O663" s="29"/>
      <c r="P663" s="29"/>
      <c r="Q663" s="29"/>
      <c r="R663" s="29"/>
      <c r="S663" s="29"/>
      <c r="T663" s="72"/>
      <c r="U663" s="97" t="s">
        <v>54</v>
      </c>
      <c r="V663" s="97"/>
      <c r="W663" s="97" t="s">
        <v>54</v>
      </c>
      <c r="X663" s="97"/>
      <c r="Y663" s="97"/>
      <c r="Z663" s="87"/>
      <c r="AA663" s="79" t="s">
        <v>64</v>
      </c>
      <c r="AB663" s="79" t="s">
        <v>37</v>
      </c>
      <c r="AC663" s="79" t="s">
        <v>37</v>
      </c>
      <c r="AD663" s="79"/>
      <c r="AE663" s="79" t="s">
        <v>1044</v>
      </c>
      <c r="AF663" s="79" t="s">
        <v>1045</v>
      </c>
      <c r="AG663" s="79" t="s">
        <v>1046</v>
      </c>
      <c r="AH663" s="79"/>
      <c r="AI663" s="53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</row>
    <row r="664" spans="1:110" ht="13.8" x14ac:dyDescent="0.25">
      <c r="A664" s="24">
        <v>1405046</v>
      </c>
      <c r="B664" s="10" t="s">
        <v>956</v>
      </c>
      <c r="C664" s="16" t="s">
        <v>1102</v>
      </c>
      <c r="D664" s="26" t="s">
        <v>1087</v>
      </c>
      <c r="E664" s="10" t="s">
        <v>1043</v>
      </c>
      <c r="F664" s="10" t="s">
        <v>557</v>
      </c>
      <c r="G664" s="55" t="str">
        <f t="shared" si="16"/>
        <v>Obsolete</v>
      </c>
      <c r="H664" s="10">
        <v>12</v>
      </c>
      <c r="I664" s="13">
        <v>523</v>
      </c>
      <c r="J664" s="56"/>
      <c r="K664" s="57"/>
      <c r="M664" s="10"/>
      <c r="N664" s="10"/>
      <c r="O664" s="29"/>
      <c r="P664" s="29"/>
      <c r="Q664" s="29"/>
      <c r="R664" s="29"/>
      <c r="S664" s="29"/>
      <c r="T664" s="72"/>
      <c r="U664" s="97" t="s">
        <v>54</v>
      </c>
      <c r="V664" s="97"/>
      <c r="W664" s="97" t="s">
        <v>54</v>
      </c>
      <c r="X664" s="97"/>
      <c r="Y664" s="97"/>
      <c r="Z664" s="87"/>
      <c r="AA664" s="79" t="s">
        <v>64</v>
      </c>
      <c r="AB664" s="79" t="s">
        <v>37</v>
      </c>
      <c r="AC664" s="79" t="s">
        <v>37</v>
      </c>
      <c r="AD664" s="79"/>
      <c r="AE664" s="79" t="s">
        <v>1044</v>
      </c>
      <c r="AF664" s="79" t="s">
        <v>1045</v>
      </c>
      <c r="AG664" s="79" t="s">
        <v>1046</v>
      </c>
      <c r="AH664" s="79"/>
      <c r="AI664" s="53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</row>
    <row r="665" spans="1:110" ht="13.8" x14ac:dyDescent="0.25">
      <c r="A665" s="24">
        <v>1405047</v>
      </c>
      <c r="B665" s="10" t="s">
        <v>956</v>
      </c>
      <c r="C665" s="16" t="s">
        <v>1103</v>
      </c>
      <c r="D665" s="26" t="s">
        <v>1087</v>
      </c>
      <c r="E665" s="10" t="s">
        <v>1043</v>
      </c>
      <c r="F665" s="10" t="s">
        <v>557</v>
      </c>
      <c r="G665" s="55" t="str">
        <f t="shared" si="16"/>
        <v>Obsolete</v>
      </c>
      <c r="H665" s="10"/>
      <c r="I665" s="13"/>
      <c r="J665" s="56"/>
      <c r="K665" s="57"/>
      <c r="M665" s="10"/>
      <c r="N665" s="10"/>
      <c r="O665" s="29"/>
      <c r="P665" s="29"/>
      <c r="Q665" s="29"/>
      <c r="R665" s="29"/>
      <c r="S665" s="29"/>
      <c r="T665" s="72"/>
      <c r="U665" s="97" t="s">
        <v>54</v>
      </c>
      <c r="V665" s="97"/>
      <c r="W665" s="97" t="s">
        <v>54</v>
      </c>
      <c r="X665" s="97"/>
      <c r="Y665" s="97"/>
      <c r="Z665" s="87"/>
      <c r="AA665" s="79" t="s">
        <v>64</v>
      </c>
      <c r="AB665" s="79" t="s">
        <v>37</v>
      </c>
      <c r="AC665" s="79" t="s">
        <v>37</v>
      </c>
      <c r="AD665" s="79"/>
      <c r="AE665" s="79" t="s">
        <v>1044</v>
      </c>
      <c r="AF665" s="79" t="s">
        <v>1045</v>
      </c>
      <c r="AG665" s="79" t="s">
        <v>1046</v>
      </c>
      <c r="AH665" s="79"/>
      <c r="AI665" s="53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</row>
    <row r="666" spans="1:110" ht="13.8" x14ac:dyDescent="0.25">
      <c r="A666" s="24">
        <v>1405048</v>
      </c>
      <c r="B666" s="10" t="s">
        <v>956</v>
      </c>
      <c r="C666" s="16" t="s">
        <v>1104</v>
      </c>
      <c r="D666" s="26" t="s">
        <v>1087</v>
      </c>
      <c r="E666" s="10" t="s">
        <v>1043</v>
      </c>
      <c r="F666" s="10" t="s">
        <v>557</v>
      </c>
      <c r="G666" s="55" t="str">
        <f t="shared" si="16"/>
        <v>Obsolete</v>
      </c>
      <c r="H666" s="10"/>
      <c r="I666" s="13"/>
      <c r="J666" s="56"/>
      <c r="K666" s="57"/>
      <c r="M666" s="10"/>
      <c r="N666" s="10"/>
      <c r="O666" s="29"/>
      <c r="P666" s="29"/>
      <c r="Q666" s="29"/>
      <c r="R666" s="29"/>
      <c r="S666" s="29"/>
      <c r="T666" s="72"/>
      <c r="U666" s="97" t="s">
        <v>54</v>
      </c>
      <c r="V666" s="97"/>
      <c r="W666" s="97" t="s">
        <v>54</v>
      </c>
      <c r="X666" s="97"/>
      <c r="Y666" s="97"/>
      <c r="Z666" s="87"/>
      <c r="AA666" s="79" t="s">
        <v>64</v>
      </c>
      <c r="AB666" s="79" t="s">
        <v>37</v>
      </c>
      <c r="AC666" s="79" t="s">
        <v>37</v>
      </c>
      <c r="AD666" s="79"/>
      <c r="AE666" s="79" t="s">
        <v>1044</v>
      </c>
      <c r="AF666" s="79" t="s">
        <v>1045</v>
      </c>
      <c r="AG666" s="79" t="s">
        <v>1046</v>
      </c>
      <c r="AH666" s="79"/>
      <c r="AI666" s="53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</row>
    <row r="667" spans="1:110" ht="13.8" x14ac:dyDescent="0.25">
      <c r="A667" s="24">
        <v>1405049</v>
      </c>
      <c r="B667" s="10" t="s">
        <v>956</v>
      </c>
      <c r="C667" s="16" t="s">
        <v>1105</v>
      </c>
      <c r="D667" s="26" t="s">
        <v>1087</v>
      </c>
      <c r="E667" s="10" t="s">
        <v>1043</v>
      </c>
      <c r="F667" s="10" t="s">
        <v>557</v>
      </c>
      <c r="G667" s="55" t="str">
        <f t="shared" si="16"/>
        <v>Obsolete</v>
      </c>
      <c r="H667" s="10"/>
      <c r="I667" s="13"/>
      <c r="J667" s="56"/>
      <c r="K667" s="57"/>
      <c r="M667" s="10"/>
      <c r="N667" s="10"/>
      <c r="O667" s="29"/>
      <c r="P667" s="29"/>
      <c r="Q667" s="29"/>
      <c r="R667" s="29"/>
      <c r="S667" s="29"/>
      <c r="T667" s="72"/>
      <c r="U667" s="97" t="s">
        <v>54</v>
      </c>
      <c r="V667" s="97"/>
      <c r="W667" s="97" t="s">
        <v>54</v>
      </c>
      <c r="X667" s="97"/>
      <c r="Y667" s="97"/>
      <c r="Z667" s="87"/>
      <c r="AA667" s="79" t="s">
        <v>64</v>
      </c>
      <c r="AB667" s="79" t="s">
        <v>37</v>
      </c>
      <c r="AC667" s="79" t="s">
        <v>37</v>
      </c>
      <c r="AD667" s="79"/>
      <c r="AE667" s="79" t="s">
        <v>1044</v>
      </c>
      <c r="AF667" s="79" t="s">
        <v>1045</v>
      </c>
      <c r="AG667" s="79" t="s">
        <v>1046</v>
      </c>
      <c r="AH667" s="79"/>
      <c r="AI667" s="53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</row>
    <row r="668" spans="1:110" ht="13.8" x14ac:dyDescent="0.25">
      <c r="A668" s="24">
        <v>1405050</v>
      </c>
      <c r="B668" s="10" t="s">
        <v>956</v>
      </c>
      <c r="C668" s="16" t="s">
        <v>1106</v>
      </c>
      <c r="D668" s="26" t="s">
        <v>1087</v>
      </c>
      <c r="E668" s="10" t="s">
        <v>1043</v>
      </c>
      <c r="F668" s="10" t="s">
        <v>557</v>
      </c>
      <c r="G668" s="55" t="str">
        <f t="shared" si="16"/>
        <v>Obsolete</v>
      </c>
      <c r="H668" s="10"/>
      <c r="I668" s="13"/>
      <c r="J668" s="56"/>
      <c r="K668" s="57"/>
      <c r="M668" s="10"/>
      <c r="N668" s="10"/>
      <c r="O668" s="29"/>
      <c r="P668" s="29"/>
      <c r="Q668" s="29"/>
      <c r="R668" s="29"/>
      <c r="S668" s="29"/>
      <c r="T668" s="72"/>
      <c r="U668" s="97" t="s">
        <v>54</v>
      </c>
      <c r="V668" s="97"/>
      <c r="W668" s="97" t="s">
        <v>54</v>
      </c>
      <c r="X668" s="97"/>
      <c r="Y668" s="97"/>
      <c r="Z668" s="87"/>
      <c r="AA668" s="79" t="s">
        <v>64</v>
      </c>
      <c r="AB668" s="79" t="s">
        <v>37</v>
      </c>
      <c r="AC668" s="79" t="s">
        <v>37</v>
      </c>
      <c r="AD668" s="79"/>
      <c r="AE668" s="79" t="s">
        <v>1044</v>
      </c>
      <c r="AF668" s="79" t="s">
        <v>1045</v>
      </c>
      <c r="AG668" s="79" t="s">
        <v>1046</v>
      </c>
      <c r="AH668" s="79"/>
      <c r="AI668" s="53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</row>
    <row r="669" spans="1:110" ht="13.8" x14ac:dyDescent="0.25">
      <c r="A669" s="24">
        <v>1405051</v>
      </c>
      <c r="B669" s="10" t="s">
        <v>956</v>
      </c>
      <c r="C669" s="16" t="s">
        <v>1107</v>
      </c>
      <c r="D669" s="26" t="s">
        <v>1087</v>
      </c>
      <c r="E669" s="10" t="s">
        <v>1043</v>
      </c>
      <c r="F669" s="10" t="s">
        <v>557</v>
      </c>
      <c r="G669" s="55" t="str">
        <f t="shared" si="16"/>
        <v>Obsolete</v>
      </c>
      <c r="H669" s="10"/>
      <c r="I669" s="13"/>
      <c r="J669" s="56"/>
      <c r="K669" s="57"/>
      <c r="M669" s="10"/>
      <c r="N669" s="10"/>
      <c r="O669" s="29"/>
      <c r="P669" s="29"/>
      <c r="Q669" s="29"/>
      <c r="R669" s="29"/>
      <c r="S669" s="29"/>
      <c r="T669" s="72"/>
      <c r="U669" s="97" t="s">
        <v>54</v>
      </c>
      <c r="V669" s="97"/>
      <c r="W669" s="97" t="s">
        <v>54</v>
      </c>
      <c r="X669" s="97"/>
      <c r="Y669" s="97"/>
      <c r="Z669" s="87"/>
      <c r="AA669" s="79" t="s">
        <v>64</v>
      </c>
      <c r="AB669" s="79" t="s">
        <v>37</v>
      </c>
      <c r="AC669" s="79" t="s">
        <v>37</v>
      </c>
      <c r="AD669" s="79"/>
      <c r="AE669" s="79" t="s">
        <v>1044</v>
      </c>
      <c r="AF669" s="79" t="s">
        <v>1045</v>
      </c>
      <c r="AG669" s="79" t="s">
        <v>1046</v>
      </c>
      <c r="AH669" s="79"/>
      <c r="AI669" s="53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</row>
    <row r="670" spans="1:110" ht="13.8" x14ac:dyDescent="0.25">
      <c r="A670" s="24">
        <v>1405052</v>
      </c>
      <c r="B670" s="10" t="s">
        <v>956</v>
      </c>
      <c r="C670" s="16" t="s">
        <v>1108</v>
      </c>
      <c r="D670" s="26" t="s">
        <v>1087</v>
      </c>
      <c r="E670" s="10" t="s">
        <v>1043</v>
      </c>
      <c r="F670" s="10" t="s">
        <v>557</v>
      </c>
      <c r="G670" s="55" t="str">
        <f t="shared" si="16"/>
        <v>Obsolete</v>
      </c>
      <c r="H670" s="10"/>
      <c r="I670" s="13"/>
      <c r="J670" s="56"/>
      <c r="K670" s="57"/>
      <c r="M670" s="10"/>
      <c r="N670" s="10"/>
      <c r="O670" s="29"/>
      <c r="P670" s="29"/>
      <c r="Q670" s="29"/>
      <c r="R670" s="29"/>
      <c r="S670" s="29"/>
      <c r="T670" s="72"/>
      <c r="U670" s="97" t="s">
        <v>54</v>
      </c>
      <c r="V670" s="97"/>
      <c r="W670" s="97" t="s">
        <v>54</v>
      </c>
      <c r="X670" s="97"/>
      <c r="Y670" s="97"/>
      <c r="Z670" s="87"/>
      <c r="AA670" s="79" t="s">
        <v>64</v>
      </c>
      <c r="AB670" s="79" t="s">
        <v>37</v>
      </c>
      <c r="AC670" s="79" t="s">
        <v>37</v>
      </c>
      <c r="AD670" s="79"/>
      <c r="AE670" s="79" t="s">
        <v>1044</v>
      </c>
      <c r="AF670" s="79" t="s">
        <v>1045</v>
      </c>
      <c r="AG670" s="79" t="s">
        <v>1046</v>
      </c>
      <c r="AH670" s="79"/>
      <c r="AI670" s="53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</row>
    <row r="671" spans="1:110" ht="13.8" x14ac:dyDescent="0.25">
      <c r="A671" s="24">
        <v>1405053</v>
      </c>
      <c r="B671" s="10" t="s">
        <v>956</v>
      </c>
      <c r="C671" s="16" t="s">
        <v>1109</v>
      </c>
      <c r="D671" s="26" t="s">
        <v>1087</v>
      </c>
      <c r="E671" s="10" t="s">
        <v>1043</v>
      </c>
      <c r="F671" s="10" t="s">
        <v>557</v>
      </c>
      <c r="G671" s="55" t="str">
        <f t="shared" si="16"/>
        <v>Obsolete</v>
      </c>
      <c r="H671" s="10"/>
      <c r="I671" s="13"/>
      <c r="J671" s="56"/>
      <c r="K671" s="57"/>
      <c r="M671" s="10"/>
      <c r="N671" s="10"/>
      <c r="O671" s="29"/>
      <c r="P671" s="29"/>
      <c r="Q671" s="29"/>
      <c r="R671" s="29"/>
      <c r="S671" s="29"/>
      <c r="T671" s="72"/>
      <c r="U671" s="97" t="s">
        <v>54</v>
      </c>
      <c r="V671" s="97"/>
      <c r="W671" s="97" t="s">
        <v>54</v>
      </c>
      <c r="X671" s="97"/>
      <c r="Y671" s="97"/>
      <c r="Z671" s="87"/>
      <c r="AA671" s="79" t="s">
        <v>64</v>
      </c>
      <c r="AB671" s="79" t="s">
        <v>37</v>
      </c>
      <c r="AC671" s="79" t="s">
        <v>37</v>
      </c>
      <c r="AD671" s="79"/>
      <c r="AE671" s="79" t="s">
        <v>1044</v>
      </c>
      <c r="AF671" s="79" t="s">
        <v>1045</v>
      </c>
      <c r="AG671" s="79" t="s">
        <v>1046</v>
      </c>
      <c r="AH671" s="79"/>
      <c r="AI671" s="53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</row>
    <row r="672" spans="1:110" ht="13.8" x14ac:dyDescent="0.25">
      <c r="A672" s="24">
        <v>1405054</v>
      </c>
      <c r="B672" s="10" t="s">
        <v>956</v>
      </c>
      <c r="C672" s="16" t="s">
        <v>1110</v>
      </c>
      <c r="D672" s="26" t="s">
        <v>1087</v>
      </c>
      <c r="E672" s="10" t="s">
        <v>1043</v>
      </c>
      <c r="F672" s="10" t="s">
        <v>557</v>
      </c>
      <c r="G672" s="55" t="str">
        <f t="shared" si="16"/>
        <v>Obsolete</v>
      </c>
      <c r="H672" s="10"/>
      <c r="I672" s="13"/>
      <c r="J672" s="56"/>
      <c r="K672" s="57"/>
      <c r="M672" s="10"/>
      <c r="N672" s="10"/>
      <c r="O672" s="29"/>
      <c r="P672" s="29"/>
      <c r="Q672" s="29"/>
      <c r="R672" s="29"/>
      <c r="S672" s="29"/>
      <c r="T672" s="72"/>
      <c r="U672" s="97" t="s">
        <v>54</v>
      </c>
      <c r="V672" s="97"/>
      <c r="W672" s="97" t="s">
        <v>54</v>
      </c>
      <c r="X672" s="97"/>
      <c r="Y672" s="97"/>
      <c r="Z672" s="87"/>
      <c r="AA672" s="79" t="s">
        <v>64</v>
      </c>
      <c r="AB672" s="79" t="s">
        <v>37</v>
      </c>
      <c r="AC672" s="79" t="s">
        <v>37</v>
      </c>
      <c r="AD672" s="79"/>
      <c r="AE672" s="79" t="s">
        <v>1044</v>
      </c>
      <c r="AF672" s="79" t="s">
        <v>1045</v>
      </c>
      <c r="AG672" s="79" t="s">
        <v>1046</v>
      </c>
      <c r="AH672" s="79"/>
      <c r="AI672" s="53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</row>
    <row r="673" spans="1:110" ht="13.8" x14ac:dyDescent="0.25">
      <c r="A673" s="24">
        <v>1405055</v>
      </c>
      <c r="B673" s="10" t="s">
        <v>956</v>
      </c>
      <c r="C673" s="16" t="s">
        <v>1111</v>
      </c>
      <c r="D673" s="26" t="s">
        <v>1087</v>
      </c>
      <c r="E673" s="10" t="s">
        <v>1043</v>
      </c>
      <c r="F673" s="10" t="s">
        <v>557</v>
      </c>
      <c r="G673" s="55" t="str">
        <f t="shared" si="16"/>
        <v>Obsolete</v>
      </c>
      <c r="H673" s="10"/>
      <c r="I673" s="13"/>
      <c r="J673" s="56"/>
      <c r="K673" s="57"/>
      <c r="M673" s="10"/>
      <c r="N673" s="10"/>
      <c r="O673" s="29"/>
      <c r="P673" s="29"/>
      <c r="Q673" s="29"/>
      <c r="R673" s="29"/>
      <c r="S673" s="29"/>
      <c r="T673" s="72"/>
      <c r="U673" s="97" t="s">
        <v>54</v>
      </c>
      <c r="V673" s="97"/>
      <c r="W673" s="97" t="s">
        <v>54</v>
      </c>
      <c r="X673" s="97"/>
      <c r="Y673" s="97"/>
      <c r="Z673" s="87"/>
      <c r="AA673" s="79" t="s">
        <v>64</v>
      </c>
      <c r="AB673" s="79" t="s">
        <v>37</v>
      </c>
      <c r="AC673" s="79" t="s">
        <v>37</v>
      </c>
      <c r="AD673" s="79"/>
      <c r="AE673" s="79" t="s">
        <v>1044</v>
      </c>
      <c r="AF673" s="79" t="s">
        <v>1045</v>
      </c>
      <c r="AG673" s="79" t="s">
        <v>1046</v>
      </c>
      <c r="AH673" s="79"/>
      <c r="AI673" s="53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</row>
    <row r="674" spans="1:110" ht="13.8" x14ac:dyDescent="0.25">
      <c r="A674" s="24">
        <v>1405056</v>
      </c>
      <c r="B674" s="10" t="s">
        <v>956</v>
      </c>
      <c r="C674" s="16" t="s">
        <v>1112</v>
      </c>
      <c r="D674" s="26" t="s">
        <v>1087</v>
      </c>
      <c r="E674" s="10" t="s">
        <v>1043</v>
      </c>
      <c r="F674" s="10" t="s">
        <v>557</v>
      </c>
      <c r="G674" s="55" t="str">
        <f t="shared" si="16"/>
        <v>Obsolete</v>
      </c>
      <c r="H674" s="10"/>
      <c r="I674" s="13"/>
      <c r="J674" s="56"/>
      <c r="K674" s="57"/>
      <c r="M674" s="10"/>
      <c r="N674" s="10"/>
      <c r="O674" s="29"/>
      <c r="P674" s="29"/>
      <c r="Q674" s="29"/>
      <c r="R674" s="29"/>
      <c r="S674" s="29"/>
      <c r="T674" s="72"/>
      <c r="U674" s="97" t="s">
        <v>54</v>
      </c>
      <c r="V674" s="97"/>
      <c r="W674" s="97" t="s">
        <v>54</v>
      </c>
      <c r="X674" s="97"/>
      <c r="Y674" s="97"/>
      <c r="Z674" s="87"/>
      <c r="AA674" s="79" t="s">
        <v>64</v>
      </c>
      <c r="AB674" s="79" t="s">
        <v>37</v>
      </c>
      <c r="AC674" s="79" t="s">
        <v>37</v>
      </c>
      <c r="AD674" s="79"/>
      <c r="AE674" s="79" t="s">
        <v>1044</v>
      </c>
      <c r="AF674" s="79" t="s">
        <v>1045</v>
      </c>
      <c r="AG674" s="79" t="s">
        <v>1046</v>
      </c>
      <c r="AH674" s="79"/>
      <c r="AI674" s="53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</row>
    <row r="675" spans="1:110" ht="13.8" x14ac:dyDescent="0.25">
      <c r="A675" s="24">
        <v>1405057</v>
      </c>
      <c r="B675" s="10" t="s">
        <v>956</v>
      </c>
      <c r="C675" s="16" t="s">
        <v>1113</v>
      </c>
      <c r="D675" s="26" t="s">
        <v>1087</v>
      </c>
      <c r="E675" s="10" t="s">
        <v>1043</v>
      </c>
      <c r="F675" s="10" t="s">
        <v>557</v>
      </c>
      <c r="G675" s="55" t="str">
        <f t="shared" si="16"/>
        <v>Obsolete</v>
      </c>
      <c r="H675" s="10"/>
      <c r="I675" s="13"/>
      <c r="J675" s="56"/>
      <c r="K675" s="57"/>
      <c r="M675" s="10"/>
      <c r="N675" s="10"/>
      <c r="O675" s="29"/>
      <c r="P675" s="29"/>
      <c r="Q675" s="29"/>
      <c r="R675" s="29"/>
      <c r="S675" s="29"/>
      <c r="T675" s="72"/>
      <c r="U675" s="97" t="s">
        <v>54</v>
      </c>
      <c r="V675" s="97"/>
      <c r="W675" s="97" t="s">
        <v>54</v>
      </c>
      <c r="X675" s="97"/>
      <c r="Y675" s="97"/>
      <c r="Z675" s="87"/>
      <c r="AA675" s="79" t="s">
        <v>64</v>
      </c>
      <c r="AB675" s="79" t="s">
        <v>37</v>
      </c>
      <c r="AC675" s="79" t="s">
        <v>37</v>
      </c>
      <c r="AD675" s="79"/>
      <c r="AE675" s="79" t="s">
        <v>1044</v>
      </c>
      <c r="AF675" s="79" t="s">
        <v>1045</v>
      </c>
      <c r="AG675" s="79" t="s">
        <v>1046</v>
      </c>
      <c r="AH675" s="79"/>
      <c r="AI675" s="53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</row>
    <row r="676" spans="1:110" ht="13.8" x14ac:dyDescent="0.25">
      <c r="A676" s="24">
        <v>1405058</v>
      </c>
      <c r="B676" s="10" t="s">
        <v>956</v>
      </c>
      <c r="C676" s="16" t="s">
        <v>1114</v>
      </c>
      <c r="D676" s="26" t="s">
        <v>1087</v>
      </c>
      <c r="E676" s="10" t="s">
        <v>1043</v>
      </c>
      <c r="F676" s="10" t="s">
        <v>557</v>
      </c>
      <c r="G676" s="55" t="str">
        <f t="shared" si="16"/>
        <v>Obsolete</v>
      </c>
      <c r="H676" s="10"/>
      <c r="I676" s="13"/>
      <c r="J676" s="56"/>
      <c r="K676" s="57"/>
      <c r="M676" s="10"/>
      <c r="N676" s="10"/>
      <c r="O676" s="29"/>
      <c r="P676" s="29"/>
      <c r="Q676" s="29"/>
      <c r="R676" s="29"/>
      <c r="S676" s="29"/>
      <c r="T676" s="72"/>
      <c r="U676" s="97" t="s">
        <v>54</v>
      </c>
      <c r="V676" s="97"/>
      <c r="W676" s="97" t="s">
        <v>54</v>
      </c>
      <c r="X676" s="97"/>
      <c r="Y676" s="97"/>
      <c r="Z676" s="87"/>
      <c r="AA676" s="79" t="s">
        <v>64</v>
      </c>
      <c r="AB676" s="79" t="s">
        <v>37</v>
      </c>
      <c r="AC676" s="79" t="s">
        <v>37</v>
      </c>
      <c r="AD676" s="79"/>
      <c r="AE676" s="79" t="s">
        <v>1044</v>
      </c>
      <c r="AF676" s="79" t="s">
        <v>1045</v>
      </c>
      <c r="AG676" s="79" t="s">
        <v>1046</v>
      </c>
      <c r="AH676" s="79"/>
      <c r="AI676" s="53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</row>
    <row r="677" spans="1:110" ht="13.8" x14ac:dyDescent="0.25">
      <c r="A677" s="24">
        <v>1405059</v>
      </c>
      <c r="B677" s="10" t="s">
        <v>956</v>
      </c>
      <c r="C677" s="16" t="s">
        <v>1115</v>
      </c>
      <c r="D677" s="26" t="s">
        <v>1087</v>
      </c>
      <c r="E677" s="10" t="s">
        <v>1043</v>
      </c>
      <c r="F677" s="10" t="s">
        <v>557</v>
      </c>
      <c r="G677" s="55" t="str">
        <f t="shared" si="16"/>
        <v>Obsolete</v>
      </c>
      <c r="H677" s="10"/>
      <c r="I677" s="13"/>
      <c r="J677" s="56"/>
      <c r="K677" s="57"/>
      <c r="M677" s="10"/>
      <c r="N677" s="10"/>
      <c r="O677" s="29"/>
      <c r="P677" s="29"/>
      <c r="Q677" s="29"/>
      <c r="R677" s="29"/>
      <c r="S677" s="29"/>
      <c r="T677" s="72"/>
      <c r="U677" s="97" t="s">
        <v>54</v>
      </c>
      <c r="V677" s="97"/>
      <c r="W677" s="97" t="s">
        <v>54</v>
      </c>
      <c r="X677" s="97"/>
      <c r="Y677" s="97"/>
      <c r="Z677" s="87"/>
      <c r="AA677" s="79" t="s">
        <v>64</v>
      </c>
      <c r="AB677" s="79" t="s">
        <v>37</v>
      </c>
      <c r="AC677" s="79" t="s">
        <v>37</v>
      </c>
      <c r="AD677" s="79"/>
      <c r="AE677" s="79" t="s">
        <v>1044</v>
      </c>
      <c r="AF677" s="79" t="s">
        <v>1045</v>
      </c>
      <c r="AG677" s="79" t="s">
        <v>1046</v>
      </c>
      <c r="AH677" s="79"/>
      <c r="AI677" s="53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</row>
    <row r="678" spans="1:110" ht="13.8" x14ac:dyDescent="0.25">
      <c r="A678" s="24">
        <v>1405060</v>
      </c>
      <c r="B678" s="10" t="s">
        <v>956</v>
      </c>
      <c r="C678" s="16" t="s">
        <v>1116</v>
      </c>
      <c r="D678" s="26" t="s">
        <v>1087</v>
      </c>
      <c r="E678" s="10" t="s">
        <v>1043</v>
      </c>
      <c r="F678" s="10" t="s">
        <v>557</v>
      </c>
      <c r="G678" s="55" t="str">
        <f t="shared" si="16"/>
        <v>Obsolete</v>
      </c>
      <c r="H678" s="10">
        <v>12</v>
      </c>
      <c r="I678" s="13">
        <v>4150</v>
      </c>
      <c r="J678" s="56"/>
      <c r="K678" s="57"/>
      <c r="M678" s="10"/>
      <c r="N678" s="10"/>
      <c r="O678" s="29"/>
      <c r="P678" s="29"/>
      <c r="Q678" s="29"/>
      <c r="R678" s="29"/>
      <c r="S678" s="29"/>
      <c r="T678" s="72"/>
      <c r="U678" s="97" t="s">
        <v>54</v>
      </c>
      <c r="V678" s="97"/>
      <c r="W678" s="97" t="s">
        <v>54</v>
      </c>
      <c r="X678" s="97"/>
      <c r="Y678" s="97"/>
      <c r="Z678" s="87"/>
      <c r="AA678" s="79" t="s">
        <v>64</v>
      </c>
      <c r="AB678" s="79" t="s">
        <v>37</v>
      </c>
      <c r="AC678" s="79" t="s">
        <v>37</v>
      </c>
      <c r="AD678" s="79"/>
      <c r="AE678" s="79" t="s">
        <v>1044</v>
      </c>
      <c r="AF678" s="79" t="s">
        <v>1045</v>
      </c>
      <c r="AG678" s="79" t="s">
        <v>1046</v>
      </c>
      <c r="AH678" s="79"/>
      <c r="AI678" s="53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</row>
    <row r="679" spans="1:110" ht="13.8" x14ac:dyDescent="0.25">
      <c r="A679" s="24">
        <v>1405061</v>
      </c>
      <c r="B679" s="10" t="s">
        <v>956</v>
      </c>
      <c r="C679" s="16" t="s">
        <v>1117</v>
      </c>
      <c r="D679" s="26" t="s">
        <v>1087</v>
      </c>
      <c r="E679" s="10" t="s">
        <v>1043</v>
      </c>
      <c r="F679" s="10" t="s">
        <v>557</v>
      </c>
      <c r="G679" s="55" t="str">
        <f t="shared" si="16"/>
        <v>Obsolete</v>
      </c>
      <c r="H679" s="10"/>
      <c r="I679" s="13"/>
      <c r="J679" s="56"/>
      <c r="K679" s="57"/>
      <c r="M679" s="10"/>
      <c r="N679" s="10"/>
      <c r="O679" s="29"/>
      <c r="P679" s="29"/>
      <c r="Q679" s="29"/>
      <c r="R679" s="29"/>
      <c r="S679" s="29"/>
      <c r="T679" s="72"/>
      <c r="U679" s="97" t="s">
        <v>54</v>
      </c>
      <c r="V679" s="97"/>
      <c r="W679" s="97" t="s">
        <v>54</v>
      </c>
      <c r="X679" s="97"/>
      <c r="Y679" s="97"/>
      <c r="Z679" s="87"/>
      <c r="AA679" s="79" t="s">
        <v>64</v>
      </c>
      <c r="AB679" s="79" t="s">
        <v>37</v>
      </c>
      <c r="AC679" s="79" t="s">
        <v>37</v>
      </c>
      <c r="AD679" s="79"/>
      <c r="AE679" s="79" t="s">
        <v>1044</v>
      </c>
      <c r="AF679" s="79" t="s">
        <v>1045</v>
      </c>
      <c r="AG679" s="79" t="s">
        <v>1046</v>
      </c>
      <c r="AH679" s="79"/>
      <c r="AI679" s="53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</row>
    <row r="680" spans="1:110" ht="13.8" x14ac:dyDescent="0.25">
      <c r="A680" s="24">
        <v>1405062</v>
      </c>
      <c r="B680" s="10" t="s">
        <v>956</v>
      </c>
      <c r="C680" s="16" t="s">
        <v>1118</v>
      </c>
      <c r="D680" s="26" t="s">
        <v>1087</v>
      </c>
      <c r="E680" s="10" t="s">
        <v>1043</v>
      </c>
      <c r="F680" s="10" t="s">
        <v>557</v>
      </c>
      <c r="G680" s="55" t="str">
        <f t="shared" si="16"/>
        <v>Obsolete</v>
      </c>
      <c r="H680" s="10"/>
      <c r="I680" s="13"/>
      <c r="J680" s="56"/>
      <c r="K680" s="57"/>
      <c r="M680" s="10"/>
      <c r="N680" s="10"/>
      <c r="O680" s="29"/>
      <c r="P680" s="29"/>
      <c r="Q680" s="29"/>
      <c r="R680" s="29"/>
      <c r="S680" s="29"/>
      <c r="T680" s="72"/>
      <c r="U680" s="97" t="s">
        <v>54</v>
      </c>
      <c r="V680" s="97"/>
      <c r="W680" s="97" t="s">
        <v>54</v>
      </c>
      <c r="X680" s="97"/>
      <c r="Y680" s="97"/>
      <c r="Z680" s="87"/>
      <c r="AA680" s="79" t="s">
        <v>64</v>
      </c>
      <c r="AB680" s="79" t="s">
        <v>37</v>
      </c>
      <c r="AC680" s="79" t="s">
        <v>37</v>
      </c>
      <c r="AD680" s="79"/>
      <c r="AE680" s="79" t="s">
        <v>1044</v>
      </c>
      <c r="AF680" s="79" t="s">
        <v>1045</v>
      </c>
      <c r="AG680" s="79" t="s">
        <v>1046</v>
      </c>
      <c r="AH680" s="79"/>
      <c r="AI680" s="53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</row>
    <row r="681" spans="1:110" ht="13.8" x14ac:dyDescent="0.25">
      <c r="A681" s="24">
        <v>1405063</v>
      </c>
      <c r="B681" s="10" t="s">
        <v>956</v>
      </c>
      <c r="C681" s="16" t="s">
        <v>1119</v>
      </c>
      <c r="D681" s="26" t="s">
        <v>1087</v>
      </c>
      <c r="E681" s="10" t="s">
        <v>1043</v>
      </c>
      <c r="F681" s="10" t="s">
        <v>557</v>
      </c>
      <c r="G681" s="55" t="str">
        <f t="shared" si="16"/>
        <v>Obsolete</v>
      </c>
      <c r="H681" s="10">
        <v>12</v>
      </c>
      <c r="I681" s="13">
        <v>4150</v>
      </c>
      <c r="J681" s="56"/>
      <c r="K681" s="57"/>
      <c r="M681" s="10"/>
      <c r="N681" s="10"/>
      <c r="O681" s="29"/>
      <c r="P681" s="29"/>
      <c r="Q681" s="29"/>
      <c r="R681" s="29"/>
      <c r="S681" s="29"/>
      <c r="T681" s="72"/>
      <c r="U681" s="97" t="s">
        <v>54</v>
      </c>
      <c r="V681" s="97"/>
      <c r="W681" s="97" t="s">
        <v>54</v>
      </c>
      <c r="X681" s="97"/>
      <c r="Y681" s="97"/>
      <c r="Z681" s="87"/>
      <c r="AA681" s="79" t="s">
        <v>64</v>
      </c>
      <c r="AB681" s="79" t="s">
        <v>37</v>
      </c>
      <c r="AC681" s="79" t="s">
        <v>37</v>
      </c>
      <c r="AD681" s="79"/>
      <c r="AE681" s="79" t="s">
        <v>1044</v>
      </c>
      <c r="AF681" s="79" t="s">
        <v>1045</v>
      </c>
      <c r="AG681" s="79" t="s">
        <v>1046</v>
      </c>
      <c r="AH681" s="79"/>
      <c r="AI681" s="53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</row>
    <row r="682" spans="1:110" ht="13.8" x14ac:dyDescent="0.25">
      <c r="A682" s="24">
        <v>1405064</v>
      </c>
      <c r="B682" s="10" t="s">
        <v>956</v>
      </c>
      <c r="C682" s="16" t="s">
        <v>1120</v>
      </c>
      <c r="D682" s="26" t="s">
        <v>1087</v>
      </c>
      <c r="E682" s="10" t="s">
        <v>1043</v>
      </c>
      <c r="F682" s="10" t="s">
        <v>557</v>
      </c>
      <c r="G682" s="55" t="str">
        <f t="shared" si="16"/>
        <v>Obsolete</v>
      </c>
      <c r="H682" s="10">
        <v>12</v>
      </c>
      <c r="I682" s="13">
        <v>4150</v>
      </c>
      <c r="J682" s="56"/>
      <c r="K682" s="57"/>
      <c r="M682" s="10"/>
      <c r="N682" s="10"/>
      <c r="O682" s="29"/>
      <c r="P682" s="29"/>
      <c r="Q682" s="29"/>
      <c r="R682" s="29"/>
      <c r="S682" s="29"/>
      <c r="T682" s="72"/>
      <c r="U682" s="97" t="s">
        <v>54</v>
      </c>
      <c r="V682" s="97"/>
      <c r="W682" s="97" t="s">
        <v>54</v>
      </c>
      <c r="X682" s="97"/>
      <c r="Y682" s="97"/>
      <c r="Z682" s="87"/>
      <c r="AA682" s="79" t="s">
        <v>64</v>
      </c>
      <c r="AB682" s="79" t="s">
        <v>37</v>
      </c>
      <c r="AC682" s="79" t="s">
        <v>37</v>
      </c>
      <c r="AD682" s="79"/>
      <c r="AE682" s="79" t="s">
        <v>1044</v>
      </c>
      <c r="AF682" s="79" t="s">
        <v>1045</v>
      </c>
      <c r="AG682" s="79" t="s">
        <v>1046</v>
      </c>
      <c r="AH682" s="79"/>
      <c r="AI682" s="53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</row>
    <row r="683" spans="1:110" ht="13.8" x14ac:dyDescent="0.25">
      <c r="A683" s="24">
        <v>1405065</v>
      </c>
      <c r="B683" s="10" t="s">
        <v>956</v>
      </c>
      <c r="C683" s="16" t="s">
        <v>1121</v>
      </c>
      <c r="D683" s="26" t="s">
        <v>1087</v>
      </c>
      <c r="E683" s="10" t="s">
        <v>1043</v>
      </c>
      <c r="F683" s="10" t="s">
        <v>557</v>
      </c>
      <c r="G683" s="55" t="str">
        <f t="shared" si="16"/>
        <v>Obsolete</v>
      </c>
      <c r="H683" s="10">
        <v>12</v>
      </c>
      <c r="I683" s="13">
        <v>3200</v>
      </c>
      <c r="J683" s="56"/>
      <c r="K683" s="57"/>
      <c r="M683" s="10"/>
      <c r="N683" s="10"/>
      <c r="O683" s="29"/>
      <c r="P683" s="29"/>
      <c r="Q683" s="29"/>
      <c r="R683" s="29"/>
      <c r="S683" s="29"/>
      <c r="T683" s="72"/>
      <c r="U683" s="97" t="s">
        <v>54</v>
      </c>
      <c r="V683" s="97"/>
      <c r="W683" s="97" t="s">
        <v>54</v>
      </c>
      <c r="X683" s="97"/>
      <c r="Y683" s="97"/>
      <c r="Z683" s="87"/>
      <c r="AA683" s="79" t="s">
        <v>64</v>
      </c>
      <c r="AB683" s="79" t="s">
        <v>37</v>
      </c>
      <c r="AC683" s="79" t="s">
        <v>37</v>
      </c>
      <c r="AD683" s="79"/>
      <c r="AE683" s="79" t="s">
        <v>1044</v>
      </c>
      <c r="AF683" s="79" t="s">
        <v>1045</v>
      </c>
      <c r="AG683" s="79" t="s">
        <v>1046</v>
      </c>
      <c r="AH683" s="79"/>
      <c r="AI683" s="53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</row>
    <row r="684" spans="1:110" ht="13.8" x14ac:dyDescent="0.25">
      <c r="A684" s="24">
        <v>1405066</v>
      </c>
      <c r="B684" s="10" t="s">
        <v>956</v>
      </c>
      <c r="C684" s="16" t="s">
        <v>1122</v>
      </c>
      <c r="D684" s="26" t="s">
        <v>1087</v>
      </c>
      <c r="E684" s="10" t="s">
        <v>1043</v>
      </c>
      <c r="F684" s="10" t="s">
        <v>557</v>
      </c>
      <c r="G684" s="55" t="str">
        <f t="shared" si="16"/>
        <v>Obsolete</v>
      </c>
      <c r="H684" s="10">
        <v>12</v>
      </c>
      <c r="I684" s="13">
        <v>3200</v>
      </c>
      <c r="J684" s="56"/>
      <c r="K684" s="57"/>
      <c r="M684" s="10"/>
      <c r="N684" s="10"/>
      <c r="O684" s="29"/>
      <c r="P684" s="29"/>
      <c r="Q684" s="29"/>
      <c r="R684" s="29"/>
      <c r="S684" s="29"/>
      <c r="T684" s="72"/>
      <c r="U684" s="97" t="s">
        <v>54</v>
      </c>
      <c r="V684" s="97"/>
      <c r="W684" s="97" t="s">
        <v>54</v>
      </c>
      <c r="X684" s="97"/>
      <c r="Y684" s="97"/>
      <c r="Z684" s="87"/>
      <c r="AA684" s="79" t="s">
        <v>64</v>
      </c>
      <c r="AB684" s="79" t="s">
        <v>37</v>
      </c>
      <c r="AC684" s="79" t="s">
        <v>37</v>
      </c>
      <c r="AD684" s="79"/>
      <c r="AE684" s="79" t="s">
        <v>1044</v>
      </c>
      <c r="AF684" s="79" t="s">
        <v>1045</v>
      </c>
      <c r="AG684" s="79" t="s">
        <v>1046</v>
      </c>
      <c r="AH684" s="79"/>
      <c r="AI684" s="53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</row>
    <row r="685" spans="1:110" ht="13.8" x14ac:dyDescent="0.25">
      <c r="A685" s="24">
        <v>1405067</v>
      </c>
      <c r="B685" s="10" t="s">
        <v>956</v>
      </c>
      <c r="C685" s="16" t="s">
        <v>1123</v>
      </c>
      <c r="D685" s="26" t="s">
        <v>1087</v>
      </c>
      <c r="E685" s="10" t="s">
        <v>1043</v>
      </c>
      <c r="F685" s="10" t="s">
        <v>557</v>
      </c>
      <c r="G685" s="55" t="str">
        <f t="shared" si="16"/>
        <v>Obsolete</v>
      </c>
      <c r="H685" s="10">
        <v>12</v>
      </c>
      <c r="I685" s="13">
        <v>3200</v>
      </c>
      <c r="J685" s="56"/>
      <c r="K685" s="57"/>
      <c r="M685" s="10"/>
      <c r="N685" s="10"/>
      <c r="O685" s="29"/>
      <c r="P685" s="29"/>
      <c r="Q685" s="29"/>
      <c r="R685" s="29"/>
      <c r="S685" s="29"/>
      <c r="T685" s="72"/>
      <c r="U685" s="97" t="s">
        <v>54</v>
      </c>
      <c r="V685" s="97"/>
      <c r="W685" s="97" t="s">
        <v>54</v>
      </c>
      <c r="X685" s="97"/>
      <c r="Y685" s="97"/>
      <c r="Z685" s="87"/>
      <c r="AA685" s="79" t="s">
        <v>64</v>
      </c>
      <c r="AB685" s="79" t="s">
        <v>37</v>
      </c>
      <c r="AC685" s="79" t="s">
        <v>37</v>
      </c>
      <c r="AD685" s="79"/>
      <c r="AE685" s="79" t="s">
        <v>1044</v>
      </c>
      <c r="AF685" s="79" t="s">
        <v>1045</v>
      </c>
      <c r="AG685" s="79" t="s">
        <v>1046</v>
      </c>
      <c r="AH685" s="79"/>
      <c r="AI685" s="53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</row>
    <row r="686" spans="1:110" ht="13.8" x14ac:dyDescent="0.25">
      <c r="A686" s="24">
        <v>1405068</v>
      </c>
      <c r="B686" s="10" t="s">
        <v>956</v>
      </c>
      <c r="C686" s="16" t="s">
        <v>1124</v>
      </c>
      <c r="D686" s="26" t="s">
        <v>1087</v>
      </c>
      <c r="E686" s="10" t="s">
        <v>1043</v>
      </c>
      <c r="F686" s="10" t="s">
        <v>557</v>
      </c>
      <c r="G686" s="55" t="str">
        <f t="shared" si="16"/>
        <v>Obsolete</v>
      </c>
      <c r="H686" s="10">
        <v>12</v>
      </c>
      <c r="I686" s="13">
        <v>3200</v>
      </c>
      <c r="J686" s="56"/>
      <c r="K686" s="57"/>
      <c r="M686" s="10"/>
      <c r="N686" s="10"/>
      <c r="O686" s="29"/>
      <c r="P686" s="29"/>
      <c r="Q686" s="29"/>
      <c r="R686" s="29"/>
      <c r="S686" s="29"/>
      <c r="T686" s="72"/>
      <c r="U686" s="97" t="s">
        <v>54</v>
      </c>
      <c r="V686" s="97"/>
      <c r="W686" s="97" t="s">
        <v>54</v>
      </c>
      <c r="X686" s="97"/>
      <c r="Y686" s="97"/>
      <c r="Z686" s="87"/>
      <c r="AA686" s="79" t="s">
        <v>64</v>
      </c>
      <c r="AB686" s="79" t="s">
        <v>37</v>
      </c>
      <c r="AC686" s="79" t="s">
        <v>37</v>
      </c>
      <c r="AD686" s="79"/>
      <c r="AE686" s="79" t="s">
        <v>1044</v>
      </c>
      <c r="AF686" s="79" t="s">
        <v>1045</v>
      </c>
      <c r="AG686" s="79" t="s">
        <v>1046</v>
      </c>
      <c r="AH686" s="79"/>
      <c r="AI686" s="53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</row>
    <row r="687" spans="1:110" ht="13.8" x14ac:dyDescent="0.25">
      <c r="A687" s="24">
        <v>1405069</v>
      </c>
      <c r="B687" s="10" t="s">
        <v>956</v>
      </c>
      <c r="C687" s="16" t="s">
        <v>1125</v>
      </c>
      <c r="D687" s="26" t="s">
        <v>1087</v>
      </c>
      <c r="E687" s="10" t="s">
        <v>1043</v>
      </c>
      <c r="F687" s="10" t="s">
        <v>557</v>
      </c>
      <c r="G687" s="55" t="str">
        <f t="shared" si="16"/>
        <v>Obsolete</v>
      </c>
      <c r="H687" s="10"/>
      <c r="I687" s="13"/>
      <c r="J687" s="56"/>
      <c r="K687" s="57"/>
      <c r="M687" s="10"/>
      <c r="N687" s="10"/>
      <c r="O687" s="29"/>
      <c r="P687" s="29"/>
      <c r="Q687" s="29"/>
      <c r="R687" s="29"/>
      <c r="S687" s="29"/>
      <c r="T687" s="72"/>
      <c r="U687" s="97" t="s">
        <v>54</v>
      </c>
      <c r="V687" s="97"/>
      <c r="W687" s="97" t="s">
        <v>54</v>
      </c>
      <c r="X687" s="97"/>
      <c r="Y687" s="97"/>
      <c r="Z687" s="87"/>
      <c r="AA687" s="79" t="s">
        <v>64</v>
      </c>
      <c r="AB687" s="79" t="s">
        <v>37</v>
      </c>
      <c r="AC687" s="79" t="s">
        <v>37</v>
      </c>
      <c r="AD687" s="79"/>
      <c r="AE687" s="79" t="s">
        <v>1044</v>
      </c>
      <c r="AF687" s="79" t="s">
        <v>1045</v>
      </c>
      <c r="AG687" s="79" t="s">
        <v>1046</v>
      </c>
      <c r="AH687" s="79"/>
      <c r="AI687" s="53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</row>
    <row r="688" spans="1:110" ht="13.8" x14ac:dyDescent="0.25">
      <c r="A688" s="24">
        <v>1405070</v>
      </c>
      <c r="B688" s="10" t="s">
        <v>956</v>
      </c>
      <c r="C688" s="16" t="s">
        <v>1126</v>
      </c>
      <c r="D688" s="26" t="s">
        <v>1087</v>
      </c>
      <c r="E688" s="10" t="s">
        <v>1043</v>
      </c>
      <c r="F688" s="10" t="s">
        <v>557</v>
      </c>
      <c r="G688" s="55" t="str">
        <f t="shared" si="16"/>
        <v>Obsolete</v>
      </c>
      <c r="H688" s="10"/>
      <c r="I688" s="13"/>
      <c r="J688" s="56"/>
      <c r="K688" s="57"/>
      <c r="M688" s="10"/>
      <c r="N688" s="10"/>
      <c r="O688" s="29"/>
      <c r="P688" s="29"/>
      <c r="Q688" s="29"/>
      <c r="R688" s="29"/>
      <c r="S688" s="29"/>
      <c r="T688" s="72"/>
      <c r="U688" s="97" t="s">
        <v>54</v>
      </c>
      <c r="V688" s="97"/>
      <c r="W688" s="97" t="s">
        <v>54</v>
      </c>
      <c r="X688" s="97"/>
      <c r="Y688" s="97"/>
      <c r="Z688" s="87"/>
      <c r="AA688" s="79" t="s">
        <v>64</v>
      </c>
      <c r="AB688" s="79" t="s">
        <v>37</v>
      </c>
      <c r="AC688" s="79" t="s">
        <v>37</v>
      </c>
      <c r="AD688" s="79"/>
      <c r="AE688" s="79" t="s">
        <v>1044</v>
      </c>
      <c r="AF688" s="79" t="s">
        <v>1045</v>
      </c>
      <c r="AG688" s="79" t="s">
        <v>1046</v>
      </c>
      <c r="AH688" s="79"/>
      <c r="AI688" s="53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</row>
    <row r="689" spans="1:110" ht="13.8" x14ac:dyDescent="0.25">
      <c r="A689" s="24">
        <v>1405071</v>
      </c>
      <c r="B689" s="10" t="s">
        <v>956</v>
      </c>
      <c r="C689" s="16" t="s">
        <v>1127</v>
      </c>
      <c r="D689" s="26" t="s">
        <v>1087</v>
      </c>
      <c r="E689" s="10" t="s">
        <v>1043</v>
      </c>
      <c r="F689" s="10" t="s">
        <v>557</v>
      </c>
      <c r="G689" s="55" t="str">
        <f t="shared" si="16"/>
        <v>Obsolete</v>
      </c>
      <c r="H689" s="10"/>
      <c r="I689" s="13"/>
      <c r="J689" s="56"/>
      <c r="K689" s="57"/>
      <c r="M689" s="10"/>
      <c r="N689" s="10"/>
      <c r="O689" s="29"/>
      <c r="P689" s="29"/>
      <c r="Q689" s="29"/>
      <c r="R689" s="29"/>
      <c r="S689" s="29"/>
      <c r="T689" s="72"/>
      <c r="U689" s="97" t="s">
        <v>54</v>
      </c>
      <c r="V689" s="97"/>
      <c r="W689" s="97" t="s">
        <v>54</v>
      </c>
      <c r="X689" s="97"/>
      <c r="Y689" s="97"/>
      <c r="Z689" s="87"/>
      <c r="AA689" s="79" t="s">
        <v>64</v>
      </c>
      <c r="AB689" s="79" t="s">
        <v>37</v>
      </c>
      <c r="AC689" s="79" t="s">
        <v>37</v>
      </c>
      <c r="AD689" s="79"/>
      <c r="AE689" s="79" t="s">
        <v>1044</v>
      </c>
      <c r="AF689" s="79" t="s">
        <v>1045</v>
      </c>
      <c r="AG689" s="79" t="s">
        <v>1046</v>
      </c>
      <c r="AH689" s="79"/>
      <c r="AI689" s="53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</row>
    <row r="690" spans="1:110" ht="13.8" x14ac:dyDescent="0.25">
      <c r="A690" s="24">
        <v>1405072</v>
      </c>
      <c r="B690" s="10" t="s">
        <v>956</v>
      </c>
      <c r="C690" s="16" t="s">
        <v>1128</v>
      </c>
      <c r="D690" s="26" t="s">
        <v>1087</v>
      </c>
      <c r="E690" s="10" t="s">
        <v>1043</v>
      </c>
      <c r="F690" s="10" t="s">
        <v>557</v>
      </c>
      <c r="G690" s="55" t="str">
        <f t="shared" si="16"/>
        <v>Obsolete</v>
      </c>
      <c r="H690" s="10"/>
      <c r="I690" s="13"/>
      <c r="J690" s="56"/>
      <c r="K690" s="57"/>
      <c r="M690" s="10"/>
      <c r="N690" s="10"/>
      <c r="O690" s="29"/>
      <c r="P690" s="29"/>
      <c r="Q690" s="29"/>
      <c r="R690" s="29"/>
      <c r="S690" s="29"/>
      <c r="T690" s="72"/>
      <c r="U690" s="97" t="s">
        <v>54</v>
      </c>
      <c r="V690" s="97"/>
      <c r="W690" s="97" t="s">
        <v>54</v>
      </c>
      <c r="X690" s="97"/>
      <c r="Y690" s="97"/>
      <c r="Z690" s="87"/>
      <c r="AA690" s="79" t="s">
        <v>64</v>
      </c>
      <c r="AB690" s="79" t="s">
        <v>37</v>
      </c>
      <c r="AC690" s="79" t="s">
        <v>37</v>
      </c>
      <c r="AD690" s="79"/>
      <c r="AE690" s="79" t="s">
        <v>1044</v>
      </c>
      <c r="AF690" s="79" t="s">
        <v>1045</v>
      </c>
      <c r="AG690" s="79" t="s">
        <v>1046</v>
      </c>
      <c r="AH690" s="79"/>
      <c r="AI690" s="53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</row>
    <row r="691" spans="1:110" ht="13.8" x14ac:dyDescent="0.25">
      <c r="A691" s="24">
        <v>1405073</v>
      </c>
      <c r="B691" s="10" t="s">
        <v>956</v>
      </c>
      <c r="C691" s="16" t="s">
        <v>1129</v>
      </c>
      <c r="D691" s="26" t="s">
        <v>1087</v>
      </c>
      <c r="E691" s="10" t="s">
        <v>1043</v>
      </c>
      <c r="F691" s="10" t="s">
        <v>557</v>
      </c>
      <c r="G691" s="55" t="str">
        <f t="shared" si="16"/>
        <v>Obsolete</v>
      </c>
      <c r="H691" s="10"/>
      <c r="I691" s="13"/>
      <c r="J691" s="56"/>
      <c r="K691" s="57"/>
      <c r="M691" s="10"/>
      <c r="N691" s="10"/>
      <c r="O691" s="29"/>
      <c r="P691" s="29"/>
      <c r="Q691" s="29"/>
      <c r="R691" s="29"/>
      <c r="S691" s="29"/>
      <c r="T691" s="72"/>
      <c r="U691" s="97" t="s">
        <v>54</v>
      </c>
      <c r="V691" s="97"/>
      <c r="W691" s="97" t="s">
        <v>54</v>
      </c>
      <c r="X691" s="97"/>
      <c r="Y691" s="97"/>
      <c r="Z691" s="87"/>
      <c r="AA691" s="79" t="s">
        <v>64</v>
      </c>
      <c r="AB691" s="79" t="s">
        <v>37</v>
      </c>
      <c r="AC691" s="79" t="s">
        <v>37</v>
      </c>
      <c r="AD691" s="79"/>
      <c r="AE691" s="79" t="s">
        <v>1044</v>
      </c>
      <c r="AF691" s="79" t="s">
        <v>1045</v>
      </c>
      <c r="AG691" s="79" t="s">
        <v>1046</v>
      </c>
      <c r="AH691" s="79"/>
      <c r="AI691" s="53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</row>
    <row r="692" spans="1:110" ht="13.8" x14ac:dyDescent="0.25">
      <c r="A692" s="24">
        <v>1405074</v>
      </c>
      <c r="B692" s="10" t="s">
        <v>956</v>
      </c>
      <c r="C692" s="16" t="s">
        <v>1130</v>
      </c>
      <c r="D692" s="26" t="s">
        <v>1087</v>
      </c>
      <c r="E692" s="10" t="s">
        <v>1043</v>
      </c>
      <c r="F692" s="10" t="s">
        <v>557</v>
      </c>
      <c r="G692" s="55" t="str">
        <f t="shared" si="16"/>
        <v>Obsolete</v>
      </c>
      <c r="H692" s="10"/>
      <c r="I692" s="13"/>
      <c r="J692" s="56"/>
      <c r="K692" s="57"/>
      <c r="M692" s="10"/>
      <c r="N692" s="10"/>
      <c r="O692" s="29"/>
      <c r="P692" s="29"/>
      <c r="Q692" s="29"/>
      <c r="R692" s="29"/>
      <c r="S692" s="29"/>
      <c r="T692" s="72"/>
      <c r="U692" s="97" t="s">
        <v>54</v>
      </c>
      <c r="V692" s="97"/>
      <c r="W692" s="97" t="s">
        <v>54</v>
      </c>
      <c r="X692" s="97"/>
      <c r="Y692" s="97"/>
      <c r="Z692" s="87"/>
      <c r="AA692" s="79" t="s">
        <v>64</v>
      </c>
      <c r="AB692" s="79" t="s">
        <v>37</v>
      </c>
      <c r="AC692" s="79" t="s">
        <v>37</v>
      </c>
      <c r="AD692" s="79"/>
      <c r="AE692" s="79" t="s">
        <v>1044</v>
      </c>
      <c r="AF692" s="79" t="s">
        <v>1045</v>
      </c>
      <c r="AG692" s="79" t="s">
        <v>1046</v>
      </c>
      <c r="AH692" s="79"/>
      <c r="AI692" s="53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</row>
    <row r="693" spans="1:110" ht="13.8" x14ac:dyDescent="0.25">
      <c r="A693" s="24">
        <v>1405075</v>
      </c>
      <c r="B693" s="10" t="s">
        <v>956</v>
      </c>
      <c r="C693" s="16" t="s">
        <v>1131</v>
      </c>
      <c r="D693" s="26" t="s">
        <v>1087</v>
      </c>
      <c r="E693" s="10" t="s">
        <v>1043</v>
      </c>
      <c r="F693" s="10" t="s">
        <v>557</v>
      </c>
      <c r="G693" s="55" t="str">
        <f t="shared" si="16"/>
        <v>Obsolete</v>
      </c>
      <c r="H693" s="10"/>
      <c r="I693" s="13"/>
      <c r="J693" s="56"/>
      <c r="K693" s="57"/>
      <c r="M693" s="10"/>
      <c r="N693" s="10"/>
      <c r="O693" s="29"/>
      <c r="P693" s="29"/>
      <c r="Q693" s="29"/>
      <c r="R693" s="29"/>
      <c r="S693" s="29"/>
      <c r="T693" s="72"/>
      <c r="U693" s="97" t="s">
        <v>54</v>
      </c>
      <c r="V693" s="97"/>
      <c r="W693" s="97" t="s">
        <v>54</v>
      </c>
      <c r="X693" s="97"/>
      <c r="Y693" s="97"/>
      <c r="Z693" s="87"/>
      <c r="AA693" s="79" t="s">
        <v>64</v>
      </c>
      <c r="AB693" s="79" t="s">
        <v>37</v>
      </c>
      <c r="AC693" s="79" t="s">
        <v>37</v>
      </c>
      <c r="AD693" s="79"/>
      <c r="AE693" s="79" t="s">
        <v>1044</v>
      </c>
      <c r="AF693" s="79" t="s">
        <v>1045</v>
      </c>
      <c r="AG693" s="79" t="s">
        <v>1046</v>
      </c>
      <c r="AH693" s="79"/>
      <c r="AI693" s="53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</row>
    <row r="694" spans="1:110" ht="13.8" x14ac:dyDescent="0.25">
      <c r="A694" s="24">
        <v>1405076</v>
      </c>
      <c r="B694" s="10" t="s">
        <v>956</v>
      </c>
      <c r="C694" s="16" t="s">
        <v>1132</v>
      </c>
      <c r="D694" s="26" t="s">
        <v>1087</v>
      </c>
      <c r="E694" s="10" t="s">
        <v>1043</v>
      </c>
      <c r="F694" s="10" t="s">
        <v>557</v>
      </c>
      <c r="G694" s="55" t="str">
        <f t="shared" si="16"/>
        <v>Obsolete</v>
      </c>
      <c r="H694" s="10"/>
      <c r="I694" s="13"/>
      <c r="J694" s="56"/>
      <c r="K694" s="57"/>
      <c r="M694" s="10"/>
      <c r="N694" s="10"/>
      <c r="O694" s="29"/>
      <c r="P694" s="29"/>
      <c r="Q694" s="29"/>
      <c r="R694" s="29"/>
      <c r="S694" s="29"/>
      <c r="T694" s="72"/>
      <c r="U694" s="97" t="s">
        <v>54</v>
      </c>
      <c r="V694" s="97"/>
      <c r="W694" s="97" t="s">
        <v>54</v>
      </c>
      <c r="X694" s="97"/>
      <c r="Y694" s="97"/>
      <c r="Z694" s="87"/>
      <c r="AA694" s="79" t="s">
        <v>64</v>
      </c>
      <c r="AB694" s="79" t="s">
        <v>37</v>
      </c>
      <c r="AC694" s="79" t="s">
        <v>37</v>
      </c>
      <c r="AD694" s="79"/>
      <c r="AE694" s="79" t="s">
        <v>1044</v>
      </c>
      <c r="AF694" s="79" t="s">
        <v>1045</v>
      </c>
      <c r="AG694" s="79" t="s">
        <v>1046</v>
      </c>
      <c r="AH694" s="79"/>
      <c r="AI694" s="53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</row>
    <row r="695" spans="1:110" ht="13.8" x14ac:dyDescent="0.25">
      <c r="A695" s="24">
        <v>1405077</v>
      </c>
      <c r="B695" s="10" t="s">
        <v>956</v>
      </c>
      <c r="C695" s="16" t="s">
        <v>1133</v>
      </c>
      <c r="D695" s="26" t="s">
        <v>1087</v>
      </c>
      <c r="E695" s="10" t="s">
        <v>1043</v>
      </c>
      <c r="F695" s="10" t="s">
        <v>557</v>
      </c>
      <c r="G695" s="55" t="str">
        <f t="shared" si="16"/>
        <v>Obsolete</v>
      </c>
      <c r="H695" s="10"/>
      <c r="I695" s="13"/>
      <c r="J695" s="56"/>
      <c r="K695" s="57"/>
      <c r="M695" s="10"/>
      <c r="N695" s="10"/>
      <c r="O695" s="29"/>
      <c r="P695" s="29"/>
      <c r="Q695" s="29"/>
      <c r="R695" s="29"/>
      <c r="S695" s="29"/>
      <c r="T695" s="72"/>
      <c r="U695" s="97" t="s">
        <v>54</v>
      </c>
      <c r="V695" s="97"/>
      <c r="W695" s="97" t="s">
        <v>54</v>
      </c>
      <c r="X695" s="97"/>
      <c r="Y695" s="97"/>
      <c r="Z695" s="87"/>
      <c r="AA695" s="79" t="s">
        <v>64</v>
      </c>
      <c r="AB695" s="79" t="s">
        <v>37</v>
      </c>
      <c r="AC695" s="79" t="s">
        <v>37</v>
      </c>
      <c r="AD695" s="79"/>
      <c r="AE695" s="79" t="s">
        <v>1044</v>
      </c>
      <c r="AF695" s="79" t="s">
        <v>1045</v>
      </c>
      <c r="AG695" s="79" t="s">
        <v>1046</v>
      </c>
      <c r="AH695" s="79"/>
      <c r="AI695" s="53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</row>
    <row r="696" spans="1:110" ht="13.8" x14ac:dyDescent="0.25">
      <c r="A696" s="24">
        <v>1405078</v>
      </c>
      <c r="B696" s="10" t="s">
        <v>956</v>
      </c>
      <c r="C696" s="16" t="s">
        <v>1134</v>
      </c>
      <c r="D696" s="26" t="s">
        <v>1087</v>
      </c>
      <c r="E696" s="10" t="s">
        <v>1043</v>
      </c>
      <c r="F696" s="10" t="s">
        <v>557</v>
      </c>
      <c r="G696" s="55" t="str">
        <f t="shared" si="16"/>
        <v>Obsolete</v>
      </c>
      <c r="H696" s="10"/>
      <c r="I696" s="13"/>
      <c r="J696" s="56"/>
      <c r="K696" s="57"/>
      <c r="M696" s="10"/>
      <c r="N696" s="10"/>
      <c r="O696" s="29"/>
      <c r="P696" s="29"/>
      <c r="Q696" s="29"/>
      <c r="R696" s="29"/>
      <c r="S696" s="29"/>
      <c r="T696" s="72"/>
      <c r="U696" s="97" t="s">
        <v>54</v>
      </c>
      <c r="V696" s="97"/>
      <c r="W696" s="97" t="s">
        <v>54</v>
      </c>
      <c r="X696" s="97"/>
      <c r="Y696" s="97"/>
      <c r="Z696" s="87"/>
      <c r="AA696" s="79" t="s">
        <v>64</v>
      </c>
      <c r="AB696" s="79" t="s">
        <v>37</v>
      </c>
      <c r="AC696" s="79" t="s">
        <v>37</v>
      </c>
      <c r="AD696" s="79"/>
      <c r="AE696" s="79" t="s">
        <v>1044</v>
      </c>
      <c r="AF696" s="79" t="s">
        <v>1045</v>
      </c>
      <c r="AG696" s="79" t="s">
        <v>1046</v>
      </c>
      <c r="AH696" s="79"/>
      <c r="AI696" s="53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</row>
    <row r="697" spans="1:110" ht="13.8" x14ac:dyDescent="0.25">
      <c r="A697" s="24">
        <v>1405079</v>
      </c>
      <c r="B697" s="10" t="s">
        <v>956</v>
      </c>
      <c r="C697" s="16" t="s">
        <v>1135</v>
      </c>
      <c r="D697" s="26" t="s">
        <v>1087</v>
      </c>
      <c r="E697" s="10" t="s">
        <v>1043</v>
      </c>
      <c r="F697" s="10" t="s">
        <v>557</v>
      </c>
      <c r="G697" s="55" t="str">
        <f t="shared" ref="G697:G760" si="17">IF(U697="Obsolete",U697,U697+V697)</f>
        <v>Obsolete</v>
      </c>
      <c r="H697" s="10"/>
      <c r="I697" s="13"/>
      <c r="J697" s="56"/>
      <c r="K697" s="57"/>
      <c r="M697" s="10"/>
      <c r="N697" s="10"/>
      <c r="O697" s="29"/>
      <c r="P697" s="29"/>
      <c r="Q697" s="29"/>
      <c r="R697" s="29"/>
      <c r="S697" s="29"/>
      <c r="T697" s="72"/>
      <c r="U697" s="97" t="s">
        <v>54</v>
      </c>
      <c r="V697" s="97"/>
      <c r="W697" s="97" t="s">
        <v>54</v>
      </c>
      <c r="X697" s="97"/>
      <c r="Y697" s="97"/>
      <c r="Z697" s="87"/>
      <c r="AA697" s="79" t="s">
        <v>64</v>
      </c>
      <c r="AB697" s="79" t="s">
        <v>37</v>
      </c>
      <c r="AC697" s="79" t="s">
        <v>37</v>
      </c>
      <c r="AD697" s="79"/>
      <c r="AE697" s="79" t="s">
        <v>1044</v>
      </c>
      <c r="AF697" s="79" t="s">
        <v>1045</v>
      </c>
      <c r="AG697" s="79" t="s">
        <v>1046</v>
      </c>
      <c r="AH697" s="79"/>
      <c r="AI697" s="53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</row>
    <row r="698" spans="1:110" ht="13.8" x14ac:dyDescent="0.25">
      <c r="A698" s="24">
        <v>1405080</v>
      </c>
      <c r="B698" s="10" t="s">
        <v>956</v>
      </c>
      <c r="C698" s="16" t="s">
        <v>1136</v>
      </c>
      <c r="D698" s="26" t="s">
        <v>1087</v>
      </c>
      <c r="E698" s="10" t="s">
        <v>1043</v>
      </c>
      <c r="F698" s="10" t="s">
        <v>557</v>
      </c>
      <c r="G698" s="55" t="str">
        <f t="shared" si="17"/>
        <v>Obsolete</v>
      </c>
      <c r="H698" s="10">
        <v>12</v>
      </c>
      <c r="I698" s="13">
        <v>3200</v>
      </c>
      <c r="J698" s="56"/>
      <c r="K698" s="57"/>
      <c r="M698" s="10"/>
      <c r="N698" s="10"/>
      <c r="O698" s="29"/>
      <c r="P698" s="29"/>
      <c r="Q698" s="29"/>
      <c r="R698" s="29"/>
      <c r="S698" s="29"/>
      <c r="T698" s="72"/>
      <c r="U698" s="97" t="s">
        <v>54</v>
      </c>
      <c r="V698" s="97"/>
      <c r="W698" s="97" t="s">
        <v>54</v>
      </c>
      <c r="X698" s="97"/>
      <c r="Y698" s="97"/>
      <c r="Z698" s="87"/>
      <c r="AA698" s="79" t="s">
        <v>64</v>
      </c>
      <c r="AB698" s="79" t="s">
        <v>37</v>
      </c>
      <c r="AC698" s="79" t="s">
        <v>37</v>
      </c>
      <c r="AD698" s="79"/>
      <c r="AE698" s="79" t="s">
        <v>1044</v>
      </c>
      <c r="AF698" s="79" t="s">
        <v>1045</v>
      </c>
      <c r="AG698" s="79" t="s">
        <v>1046</v>
      </c>
      <c r="AH698" s="79"/>
      <c r="AI698" s="53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</row>
    <row r="699" spans="1:110" ht="13.8" x14ac:dyDescent="0.25">
      <c r="A699" s="24">
        <v>1405081</v>
      </c>
      <c r="B699" s="10" t="s">
        <v>956</v>
      </c>
      <c r="C699" s="16" t="s">
        <v>1137</v>
      </c>
      <c r="D699" s="26" t="s">
        <v>1087</v>
      </c>
      <c r="E699" s="10" t="s">
        <v>1043</v>
      </c>
      <c r="F699" s="10" t="s">
        <v>557</v>
      </c>
      <c r="G699" s="55" t="str">
        <f t="shared" si="17"/>
        <v>Obsolete</v>
      </c>
      <c r="H699" s="10"/>
      <c r="I699" s="13"/>
      <c r="J699" s="56"/>
      <c r="K699" s="57"/>
      <c r="M699" s="10"/>
      <c r="N699" s="10"/>
      <c r="O699" s="29"/>
      <c r="P699" s="29"/>
      <c r="Q699" s="29"/>
      <c r="R699" s="29"/>
      <c r="S699" s="29"/>
      <c r="T699" s="72"/>
      <c r="U699" s="97" t="s">
        <v>54</v>
      </c>
      <c r="V699" s="97"/>
      <c r="W699" s="97" t="s">
        <v>54</v>
      </c>
      <c r="X699" s="97"/>
      <c r="Y699" s="97"/>
      <c r="Z699" s="87"/>
      <c r="AA699" s="79" t="s">
        <v>64</v>
      </c>
      <c r="AB699" s="79" t="s">
        <v>37</v>
      </c>
      <c r="AC699" s="79" t="s">
        <v>37</v>
      </c>
      <c r="AD699" s="79"/>
      <c r="AE699" s="79" t="s">
        <v>1044</v>
      </c>
      <c r="AF699" s="79" t="s">
        <v>1045</v>
      </c>
      <c r="AG699" s="79" t="s">
        <v>1046</v>
      </c>
      <c r="AH699" s="79"/>
      <c r="AI699" s="53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</row>
    <row r="700" spans="1:110" ht="13.8" x14ac:dyDescent="0.25">
      <c r="A700" s="24">
        <v>1405082</v>
      </c>
      <c r="B700" s="10" t="s">
        <v>956</v>
      </c>
      <c r="C700" s="16" t="s">
        <v>1138</v>
      </c>
      <c r="D700" s="26" t="s">
        <v>1087</v>
      </c>
      <c r="E700" s="10" t="s">
        <v>1043</v>
      </c>
      <c r="F700" s="10" t="s">
        <v>557</v>
      </c>
      <c r="G700" s="55" t="str">
        <f t="shared" si="17"/>
        <v>Obsolete</v>
      </c>
      <c r="H700" s="10"/>
      <c r="I700" s="13"/>
      <c r="J700" s="56"/>
      <c r="K700" s="57"/>
      <c r="M700" s="10"/>
      <c r="N700" s="10"/>
      <c r="O700" s="29"/>
      <c r="P700" s="29"/>
      <c r="Q700" s="29"/>
      <c r="R700" s="29"/>
      <c r="S700" s="29"/>
      <c r="T700" s="72"/>
      <c r="U700" s="97" t="s">
        <v>54</v>
      </c>
      <c r="V700" s="97"/>
      <c r="W700" s="97" t="s">
        <v>54</v>
      </c>
      <c r="X700" s="97"/>
      <c r="Y700" s="97"/>
      <c r="Z700" s="87"/>
      <c r="AA700" s="79" t="s">
        <v>64</v>
      </c>
      <c r="AB700" s="79" t="s">
        <v>37</v>
      </c>
      <c r="AC700" s="79" t="s">
        <v>37</v>
      </c>
      <c r="AD700" s="79"/>
      <c r="AE700" s="79" t="s">
        <v>1044</v>
      </c>
      <c r="AF700" s="79" t="s">
        <v>1045</v>
      </c>
      <c r="AG700" s="79" t="s">
        <v>1046</v>
      </c>
      <c r="AH700" s="79"/>
      <c r="AI700" s="53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</row>
    <row r="701" spans="1:110" ht="13.8" x14ac:dyDescent="0.25">
      <c r="A701" s="24">
        <v>1405083</v>
      </c>
      <c r="B701" s="10" t="s">
        <v>956</v>
      </c>
      <c r="C701" s="16" t="s">
        <v>1139</v>
      </c>
      <c r="D701" s="26" t="s">
        <v>1087</v>
      </c>
      <c r="E701" s="10" t="s">
        <v>1043</v>
      </c>
      <c r="F701" s="10" t="s">
        <v>557</v>
      </c>
      <c r="G701" s="55" t="str">
        <f t="shared" si="17"/>
        <v>Obsolete</v>
      </c>
      <c r="H701" s="10"/>
      <c r="I701" s="13"/>
      <c r="J701" s="56"/>
      <c r="K701" s="57"/>
      <c r="M701" s="10"/>
      <c r="N701" s="10"/>
      <c r="O701" s="29"/>
      <c r="P701" s="29"/>
      <c r="Q701" s="29"/>
      <c r="R701" s="29"/>
      <c r="S701" s="29"/>
      <c r="T701" s="72"/>
      <c r="U701" s="97" t="s">
        <v>54</v>
      </c>
      <c r="V701" s="97"/>
      <c r="W701" s="97" t="s">
        <v>54</v>
      </c>
      <c r="X701" s="97"/>
      <c r="Y701" s="97"/>
      <c r="Z701" s="87"/>
      <c r="AA701" s="79" t="s">
        <v>64</v>
      </c>
      <c r="AB701" s="79" t="s">
        <v>37</v>
      </c>
      <c r="AC701" s="79" t="s">
        <v>37</v>
      </c>
      <c r="AD701" s="79"/>
      <c r="AE701" s="79" t="s">
        <v>1044</v>
      </c>
      <c r="AF701" s="79" t="s">
        <v>1045</v>
      </c>
      <c r="AG701" s="79" t="s">
        <v>1046</v>
      </c>
      <c r="AH701" s="79"/>
      <c r="AI701" s="53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</row>
    <row r="702" spans="1:110" ht="13.8" x14ac:dyDescent="0.25">
      <c r="A702" s="24">
        <v>1405084</v>
      </c>
      <c r="B702" s="10" t="s">
        <v>956</v>
      </c>
      <c r="C702" s="16" t="s">
        <v>1140</v>
      </c>
      <c r="D702" s="10" t="s">
        <v>1141</v>
      </c>
      <c r="E702" s="10" t="s">
        <v>1043</v>
      </c>
      <c r="F702" s="10" t="s">
        <v>557</v>
      </c>
      <c r="G702" s="55" t="str">
        <f t="shared" si="17"/>
        <v>Obsolete</v>
      </c>
      <c r="H702" s="10"/>
      <c r="I702" s="13"/>
      <c r="J702" s="56"/>
      <c r="K702" s="57"/>
      <c r="M702" s="10"/>
      <c r="N702" s="10"/>
      <c r="O702" s="29"/>
      <c r="P702" s="29"/>
      <c r="Q702" s="29"/>
      <c r="R702" s="29"/>
      <c r="S702" s="29"/>
      <c r="T702" s="72"/>
      <c r="U702" s="97" t="s">
        <v>54</v>
      </c>
      <c r="V702" s="97"/>
      <c r="W702" s="97" t="s">
        <v>54</v>
      </c>
      <c r="X702" s="97"/>
      <c r="Y702" s="97"/>
      <c r="Z702" s="87"/>
      <c r="AA702" s="79"/>
      <c r="AB702" s="79" t="s">
        <v>37</v>
      </c>
      <c r="AC702" s="79" t="s">
        <v>37</v>
      </c>
      <c r="AD702" s="79"/>
      <c r="AE702" s="79" t="s">
        <v>1044</v>
      </c>
      <c r="AF702" s="79" t="s">
        <v>1045</v>
      </c>
      <c r="AG702" s="79" t="s">
        <v>1046</v>
      </c>
      <c r="AH702" s="79"/>
      <c r="AI702" s="53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</row>
    <row r="703" spans="1:110" ht="13.8" x14ac:dyDescent="0.25">
      <c r="A703" s="24">
        <v>1405085</v>
      </c>
      <c r="B703" s="10" t="s">
        <v>956</v>
      </c>
      <c r="C703" s="16" t="s">
        <v>1142</v>
      </c>
      <c r="D703" s="10" t="s">
        <v>1141</v>
      </c>
      <c r="E703" s="10" t="s">
        <v>1043</v>
      </c>
      <c r="F703" s="10" t="s">
        <v>557</v>
      </c>
      <c r="G703" s="55" t="str">
        <f t="shared" si="17"/>
        <v>Obsolete</v>
      </c>
      <c r="H703" s="10"/>
      <c r="I703" s="13"/>
      <c r="J703" s="56"/>
      <c r="K703" s="57"/>
      <c r="M703" s="10">
        <v>0.25800000000000001</v>
      </c>
      <c r="N703" s="10"/>
      <c r="O703" s="29"/>
      <c r="P703" s="29"/>
      <c r="Q703" s="29"/>
      <c r="R703" s="29"/>
      <c r="S703" s="29"/>
      <c r="T703" s="72"/>
      <c r="U703" s="97" t="s">
        <v>54</v>
      </c>
      <c r="V703" s="97"/>
      <c r="W703" s="97" t="s">
        <v>54</v>
      </c>
      <c r="X703" s="97"/>
      <c r="Y703" s="97"/>
      <c r="Z703" s="87"/>
      <c r="AA703" s="79" t="s">
        <v>64</v>
      </c>
      <c r="AB703" s="79" t="s">
        <v>37</v>
      </c>
      <c r="AC703" s="79" t="s">
        <v>37</v>
      </c>
      <c r="AD703" s="79"/>
      <c r="AE703" s="79" t="s">
        <v>1044</v>
      </c>
      <c r="AF703" s="79" t="s">
        <v>1045</v>
      </c>
      <c r="AG703" s="79" t="s">
        <v>1046</v>
      </c>
      <c r="AH703" s="79"/>
      <c r="AI703" s="53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</row>
    <row r="704" spans="1:110" ht="13.8" x14ac:dyDescent="0.25">
      <c r="A704" s="24">
        <v>1405086</v>
      </c>
      <c r="B704" s="10" t="s">
        <v>956</v>
      </c>
      <c r="C704" s="16" t="s">
        <v>1143</v>
      </c>
      <c r="D704" s="10" t="s">
        <v>1141</v>
      </c>
      <c r="E704" s="10" t="s">
        <v>1043</v>
      </c>
      <c r="F704" s="10" t="s">
        <v>557</v>
      </c>
      <c r="G704" s="55" t="str">
        <f t="shared" si="17"/>
        <v>Obsolete</v>
      </c>
      <c r="H704" s="10"/>
      <c r="I704" s="13"/>
      <c r="J704" s="56"/>
      <c r="K704" s="57"/>
      <c r="M704" s="10">
        <v>0.25800000000000001</v>
      </c>
      <c r="N704" s="10"/>
      <c r="O704" s="29"/>
      <c r="P704" s="29"/>
      <c r="Q704" s="29"/>
      <c r="R704" s="29"/>
      <c r="S704" s="29"/>
      <c r="T704" s="72"/>
      <c r="U704" s="97" t="s">
        <v>54</v>
      </c>
      <c r="V704" s="97"/>
      <c r="W704" s="97" t="s">
        <v>54</v>
      </c>
      <c r="X704" s="97"/>
      <c r="Y704" s="97"/>
      <c r="Z704" s="87"/>
      <c r="AA704" s="79" t="s">
        <v>64</v>
      </c>
      <c r="AB704" s="79" t="s">
        <v>37</v>
      </c>
      <c r="AC704" s="79" t="s">
        <v>37</v>
      </c>
      <c r="AD704" s="79"/>
      <c r="AE704" s="79" t="s">
        <v>1044</v>
      </c>
      <c r="AF704" s="79" t="s">
        <v>1045</v>
      </c>
      <c r="AG704" s="79" t="s">
        <v>1046</v>
      </c>
      <c r="AH704" s="79"/>
      <c r="AI704" s="53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</row>
    <row r="705" spans="1:110" ht="13.8" x14ac:dyDescent="0.25">
      <c r="A705" s="24">
        <v>1405087</v>
      </c>
      <c r="B705" s="10" t="s">
        <v>956</v>
      </c>
      <c r="C705" s="16" t="s">
        <v>1144</v>
      </c>
      <c r="D705" s="10" t="s">
        <v>1141</v>
      </c>
      <c r="E705" s="10" t="s">
        <v>1043</v>
      </c>
      <c r="F705" s="10" t="s">
        <v>557</v>
      </c>
      <c r="G705" s="55" t="str">
        <f t="shared" si="17"/>
        <v>Obsolete</v>
      </c>
      <c r="H705" s="10"/>
      <c r="I705" s="13"/>
      <c r="J705" s="56"/>
      <c r="K705" s="57"/>
      <c r="M705" s="10">
        <v>0.25800000000000001</v>
      </c>
      <c r="N705" s="10"/>
      <c r="O705" s="29"/>
      <c r="P705" s="29"/>
      <c r="Q705" s="29"/>
      <c r="R705" s="29"/>
      <c r="S705" s="29"/>
      <c r="T705" s="72"/>
      <c r="U705" s="97" t="s">
        <v>54</v>
      </c>
      <c r="V705" s="97"/>
      <c r="W705" s="97" t="s">
        <v>54</v>
      </c>
      <c r="X705" s="97"/>
      <c r="Y705" s="97"/>
      <c r="Z705" s="87"/>
      <c r="AA705" s="79" t="s">
        <v>64</v>
      </c>
      <c r="AB705" s="79" t="s">
        <v>37</v>
      </c>
      <c r="AC705" s="79" t="s">
        <v>37</v>
      </c>
      <c r="AD705" s="79"/>
      <c r="AE705" s="79" t="s">
        <v>1044</v>
      </c>
      <c r="AF705" s="79" t="s">
        <v>1045</v>
      </c>
      <c r="AG705" s="79" t="s">
        <v>1046</v>
      </c>
      <c r="AH705" s="79"/>
      <c r="AI705" s="53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</row>
    <row r="706" spans="1:110" ht="13.8" x14ac:dyDescent="0.25">
      <c r="A706" s="24">
        <v>1405088</v>
      </c>
      <c r="B706" s="10" t="s">
        <v>956</v>
      </c>
      <c r="C706" s="16" t="s">
        <v>1145</v>
      </c>
      <c r="D706" s="10" t="s">
        <v>1141</v>
      </c>
      <c r="E706" s="10" t="s">
        <v>1043</v>
      </c>
      <c r="F706" s="10" t="s">
        <v>557</v>
      </c>
      <c r="G706" s="55" t="str">
        <f t="shared" si="17"/>
        <v>Obsolete</v>
      </c>
      <c r="H706" s="10"/>
      <c r="I706" s="13"/>
      <c r="J706" s="56"/>
      <c r="K706" s="57"/>
      <c r="M706" s="10">
        <v>0.25800000000000001</v>
      </c>
      <c r="N706" s="10"/>
      <c r="O706" s="29"/>
      <c r="P706" s="29"/>
      <c r="Q706" s="29"/>
      <c r="R706" s="29"/>
      <c r="S706" s="29"/>
      <c r="T706" s="72"/>
      <c r="U706" s="97" t="s">
        <v>54</v>
      </c>
      <c r="V706" s="97"/>
      <c r="W706" s="97" t="s">
        <v>54</v>
      </c>
      <c r="X706" s="97"/>
      <c r="Y706" s="97"/>
      <c r="Z706" s="87"/>
      <c r="AA706" s="79" t="s">
        <v>64</v>
      </c>
      <c r="AB706" s="79" t="s">
        <v>37</v>
      </c>
      <c r="AC706" s="79" t="s">
        <v>37</v>
      </c>
      <c r="AD706" s="79"/>
      <c r="AE706" s="79" t="s">
        <v>1044</v>
      </c>
      <c r="AF706" s="79" t="s">
        <v>1045</v>
      </c>
      <c r="AG706" s="79" t="s">
        <v>1046</v>
      </c>
      <c r="AH706" s="79"/>
      <c r="AI706" s="53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</row>
    <row r="707" spans="1:110" ht="13.8" x14ac:dyDescent="0.25">
      <c r="A707" s="24">
        <v>1405089</v>
      </c>
      <c r="B707" s="10" t="s">
        <v>956</v>
      </c>
      <c r="C707" s="16" t="s">
        <v>1146</v>
      </c>
      <c r="D707" s="10" t="s">
        <v>1141</v>
      </c>
      <c r="E707" s="10" t="s">
        <v>1043</v>
      </c>
      <c r="F707" s="10" t="s">
        <v>557</v>
      </c>
      <c r="G707" s="55" t="str">
        <f t="shared" si="17"/>
        <v>Obsolete</v>
      </c>
      <c r="H707" s="10"/>
      <c r="I707" s="13"/>
      <c r="J707" s="56"/>
      <c r="K707" s="57"/>
      <c r="M707" s="10">
        <v>0.33700000000000002</v>
      </c>
      <c r="N707" s="10"/>
      <c r="O707" s="29"/>
      <c r="P707" s="29"/>
      <c r="Q707" s="29"/>
      <c r="R707" s="29"/>
      <c r="S707" s="29"/>
      <c r="T707" s="72"/>
      <c r="U707" s="97" t="s">
        <v>54</v>
      </c>
      <c r="V707" s="97"/>
      <c r="W707" s="97" t="s">
        <v>54</v>
      </c>
      <c r="X707" s="97"/>
      <c r="Y707" s="97"/>
      <c r="Z707" s="87"/>
      <c r="AA707" s="79" t="s">
        <v>64</v>
      </c>
      <c r="AB707" s="79" t="s">
        <v>37</v>
      </c>
      <c r="AC707" s="79" t="s">
        <v>37</v>
      </c>
      <c r="AD707" s="79"/>
      <c r="AE707" s="79" t="s">
        <v>1044</v>
      </c>
      <c r="AF707" s="79" t="s">
        <v>1045</v>
      </c>
      <c r="AG707" s="79" t="s">
        <v>1046</v>
      </c>
      <c r="AH707" s="79"/>
      <c r="AI707" s="53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</row>
    <row r="708" spans="1:110" ht="13.8" x14ac:dyDescent="0.25">
      <c r="A708" s="24">
        <v>1405090</v>
      </c>
      <c r="B708" s="10" t="s">
        <v>956</v>
      </c>
      <c r="C708" s="16" t="s">
        <v>1147</v>
      </c>
      <c r="D708" s="10" t="s">
        <v>1141</v>
      </c>
      <c r="E708" s="10" t="s">
        <v>1043</v>
      </c>
      <c r="F708" s="10" t="s">
        <v>557</v>
      </c>
      <c r="G708" s="55" t="str">
        <f t="shared" si="17"/>
        <v>Obsolete</v>
      </c>
      <c r="H708" s="10"/>
      <c r="I708" s="13"/>
      <c r="J708" s="56"/>
      <c r="K708" s="57"/>
      <c r="M708" s="10">
        <v>0.33700000000000002</v>
      </c>
      <c r="N708" s="10"/>
      <c r="O708" s="29"/>
      <c r="P708" s="29"/>
      <c r="Q708" s="29"/>
      <c r="R708" s="29"/>
      <c r="S708" s="29"/>
      <c r="T708" s="72"/>
      <c r="U708" s="97" t="s">
        <v>54</v>
      </c>
      <c r="V708" s="97"/>
      <c r="W708" s="97" t="s">
        <v>54</v>
      </c>
      <c r="X708" s="97"/>
      <c r="Y708" s="97"/>
      <c r="Z708" s="87"/>
      <c r="AA708" s="79" t="s">
        <v>64</v>
      </c>
      <c r="AB708" s="79" t="s">
        <v>37</v>
      </c>
      <c r="AC708" s="79" t="s">
        <v>37</v>
      </c>
      <c r="AD708" s="79"/>
      <c r="AE708" s="79" t="s">
        <v>1044</v>
      </c>
      <c r="AF708" s="79" t="s">
        <v>1045</v>
      </c>
      <c r="AG708" s="79" t="s">
        <v>1046</v>
      </c>
      <c r="AH708" s="79"/>
      <c r="AI708" s="53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</row>
    <row r="709" spans="1:110" ht="13.8" x14ac:dyDescent="0.25">
      <c r="A709" s="24">
        <v>1405091</v>
      </c>
      <c r="B709" s="10" t="s">
        <v>956</v>
      </c>
      <c r="C709" s="16" t="s">
        <v>1148</v>
      </c>
      <c r="D709" s="10" t="s">
        <v>1141</v>
      </c>
      <c r="E709" s="10" t="s">
        <v>1043</v>
      </c>
      <c r="F709" s="10" t="s">
        <v>557</v>
      </c>
      <c r="G709" s="55" t="str">
        <f t="shared" si="17"/>
        <v>Obsolete</v>
      </c>
      <c r="H709" s="10"/>
      <c r="I709" s="13"/>
      <c r="J709" s="56"/>
      <c r="K709" s="57"/>
      <c r="M709" s="10"/>
      <c r="N709" s="10"/>
      <c r="O709" s="29"/>
      <c r="P709" s="29"/>
      <c r="Q709" s="29"/>
      <c r="R709" s="29"/>
      <c r="S709" s="29"/>
      <c r="T709" s="72"/>
      <c r="U709" s="97" t="s">
        <v>54</v>
      </c>
      <c r="V709" s="97"/>
      <c r="W709" s="97" t="s">
        <v>54</v>
      </c>
      <c r="X709" s="97"/>
      <c r="Y709" s="97"/>
      <c r="Z709" s="87"/>
      <c r="AA709" s="79"/>
      <c r="AB709" s="79" t="s">
        <v>37</v>
      </c>
      <c r="AC709" s="79" t="s">
        <v>37</v>
      </c>
      <c r="AD709" s="79"/>
      <c r="AE709" s="79" t="s">
        <v>1044</v>
      </c>
      <c r="AF709" s="79" t="s">
        <v>1045</v>
      </c>
      <c r="AG709" s="79" t="s">
        <v>1046</v>
      </c>
      <c r="AH709" s="79"/>
      <c r="AI709" s="53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</row>
    <row r="710" spans="1:110" ht="13.8" x14ac:dyDescent="0.25">
      <c r="A710" s="24">
        <v>1405092</v>
      </c>
      <c r="B710" s="10" t="s">
        <v>956</v>
      </c>
      <c r="C710" s="16" t="s">
        <v>1149</v>
      </c>
      <c r="D710" s="10" t="s">
        <v>1141</v>
      </c>
      <c r="E710" s="10" t="s">
        <v>1043</v>
      </c>
      <c r="F710" s="10" t="s">
        <v>557</v>
      </c>
      <c r="G710" s="55" t="str">
        <f t="shared" si="17"/>
        <v>Obsolete</v>
      </c>
      <c r="H710" s="10"/>
      <c r="I710" s="13"/>
      <c r="J710" s="56"/>
      <c r="K710" s="57"/>
      <c r="M710" s="10">
        <v>9.8000000000000004E-2</v>
      </c>
      <c r="N710" s="10"/>
      <c r="O710" s="29"/>
      <c r="P710" s="29"/>
      <c r="Q710" s="29"/>
      <c r="R710" s="29"/>
      <c r="S710" s="29"/>
      <c r="T710" s="72"/>
      <c r="U710" s="97" t="s">
        <v>54</v>
      </c>
      <c r="V710" s="97"/>
      <c r="W710" s="97" t="s">
        <v>54</v>
      </c>
      <c r="X710" s="97"/>
      <c r="Y710" s="97"/>
      <c r="Z710" s="87"/>
      <c r="AA710" s="79" t="s">
        <v>64</v>
      </c>
      <c r="AB710" s="79" t="s">
        <v>37</v>
      </c>
      <c r="AC710" s="79" t="s">
        <v>37</v>
      </c>
      <c r="AD710" s="79"/>
      <c r="AE710" s="79" t="s">
        <v>1044</v>
      </c>
      <c r="AF710" s="79" t="s">
        <v>1045</v>
      </c>
      <c r="AG710" s="79" t="s">
        <v>1046</v>
      </c>
      <c r="AH710" s="79"/>
      <c r="AI710" s="53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</row>
    <row r="711" spans="1:110" ht="13.8" x14ac:dyDescent="0.25">
      <c r="A711" s="24">
        <v>1405093</v>
      </c>
      <c r="B711" s="10" t="s">
        <v>956</v>
      </c>
      <c r="C711" s="16" t="s">
        <v>1150</v>
      </c>
      <c r="D711" s="10" t="s">
        <v>1141</v>
      </c>
      <c r="E711" s="10" t="s">
        <v>1043</v>
      </c>
      <c r="F711" s="10" t="s">
        <v>557</v>
      </c>
      <c r="G711" s="55" t="str">
        <f t="shared" si="17"/>
        <v>Obsolete</v>
      </c>
      <c r="H711" s="10"/>
      <c r="I711" s="13"/>
      <c r="J711" s="56"/>
      <c r="K711" s="57"/>
      <c r="M711" s="10">
        <v>9.8000000000000004E-2</v>
      </c>
      <c r="N711" s="10"/>
      <c r="O711" s="29"/>
      <c r="P711" s="29"/>
      <c r="Q711" s="29"/>
      <c r="R711" s="29"/>
      <c r="S711" s="29"/>
      <c r="T711" s="72"/>
      <c r="U711" s="97" t="s">
        <v>54</v>
      </c>
      <c r="V711" s="97"/>
      <c r="W711" s="97" t="s">
        <v>54</v>
      </c>
      <c r="X711" s="97"/>
      <c r="Y711" s="97"/>
      <c r="Z711" s="87"/>
      <c r="AA711" s="79" t="s">
        <v>64</v>
      </c>
      <c r="AB711" s="79" t="s">
        <v>37</v>
      </c>
      <c r="AC711" s="79" t="s">
        <v>37</v>
      </c>
      <c r="AD711" s="79"/>
      <c r="AE711" s="79" t="s">
        <v>1044</v>
      </c>
      <c r="AF711" s="79" t="s">
        <v>1045</v>
      </c>
      <c r="AG711" s="79" t="s">
        <v>1046</v>
      </c>
      <c r="AH711" s="79"/>
      <c r="AI711" s="53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</row>
    <row r="712" spans="1:110" ht="13.8" x14ac:dyDescent="0.25">
      <c r="A712" s="24">
        <v>1405094</v>
      </c>
      <c r="B712" s="10" t="s">
        <v>956</v>
      </c>
      <c r="C712" s="16" t="s">
        <v>1151</v>
      </c>
      <c r="D712" s="10" t="s">
        <v>1141</v>
      </c>
      <c r="E712" s="10" t="s">
        <v>1043</v>
      </c>
      <c r="F712" s="10" t="s">
        <v>557</v>
      </c>
      <c r="G712" s="55" t="str">
        <f t="shared" si="17"/>
        <v>Obsolete</v>
      </c>
      <c r="H712" s="10"/>
      <c r="I712" s="13"/>
      <c r="J712" s="56"/>
      <c r="K712" s="57"/>
      <c r="M712" s="10">
        <v>9.8000000000000004E-2</v>
      </c>
      <c r="N712" s="10"/>
      <c r="O712" s="29"/>
      <c r="P712" s="29"/>
      <c r="Q712" s="29"/>
      <c r="R712" s="29"/>
      <c r="S712" s="29"/>
      <c r="T712" s="72"/>
      <c r="U712" s="97" t="s">
        <v>54</v>
      </c>
      <c r="V712" s="97"/>
      <c r="W712" s="97" t="s">
        <v>54</v>
      </c>
      <c r="X712" s="97"/>
      <c r="Y712" s="97"/>
      <c r="Z712" s="87"/>
      <c r="AA712" s="79" t="s">
        <v>64</v>
      </c>
      <c r="AB712" s="79" t="s">
        <v>37</v>
      </c>
      <c r="AC712" s="79" t="s">
        <v>37</v>
      </c>
      <c r="AD712" s="79"/>
      <c r="AE712" s="79" t="s">
        <v>1044</v>
      </c>
      <c r="AF712" s="79" t="s">
        <v>1045</v>
      </c>
      <c r="AG712" s="79" t="s">
        <v>1046</v>
      </c>
      <c r="AH712" s="79"/>
      <c r="AI712" s="53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</row>
    <row r="713" spans="1:110" ht="13.8" x14ac:dyDescent="0.25">
      <c r="A713" s="24">
        <v>1405095</v>
      </c>
      <c r="B713" s="10" t="s">
        <v>956</v>
      </c>
      <c r="C713" s="16" t="s">
        <v>1152</v>
      </c>
      <c r="D713" s="10" t="s">
        <v>1141</v>
      </c>
      <c r="E713" s="10" t="s">
        <v>1043</v>
      </c>
      <c r="F713" s="10" t="s">
        <v>557</v>
      </c>
      <c r="G713" s="55" t="str">
        <f t="shared" si="17"/>
        <v>Obsolete</v>
      </c>
      <c r="H713" s="10"/>
      <c r="I713" s="13"/>
      <c r="J713" s="56"/>
      <c r="K713" s="57"/>
      <c r="M713" s="10">
        <v>9.8000000000000004E-2</v>
      </c>
      <c r="N713" s="10"/>
      <c r="O713" s="29"/>
      <c r="P713" s="29"/>
      <c r="Q713" s="29"/>
      <c r="R713" s="29"/>
      <c r="S713" s="29"/>
      <c r="T713" s="72"/>
      <c r="U713" s="97" t="s">
        <v>54</v>
      </c>
      <c r="V713" s="97"/>
      <c r="W713" s="97" t="s">
        <v>54</v>
      </c>
      <c r="X713" s="97"/>
      <c r="Y713" s="97"/>
      <c r="Z713" s="87"/>
      <c r="AA713" s="79" t="s">
        <v>64</v>
      </c>
      <c r="AB713" s="79" t="s">
        <v>37</v>
      </c>
      <c r="AC713" s="79" t="s">
        <v>37</v>
      </c>
      <c r="AD713" s="79"/>
      <c r="AE713" s="79" t="s">
        <v>1044</v>
      </c>
      <c r="AF713" s="79" t="s">
        <v>1045</v>
      </c>
      <c r="AG713" s="79" t="s">
        <v>1046</v>
      </c>
      <c r="AH713" s="79"/>
      <c r="AI713" s="53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</row>
    <row r="714" spans="1:110" ht="13.8" x14ac:dyDescent="0.25">
      <c r="A714" s="24">
        <v>1405096</v>
      </c>
      <c r="B714" s="10" t="s">
        <v>956</v>
      </c>
      <c r="C714" s="16" t="s">
        <v>1153</v>
      </c>
      <c r="D714" s="10" t="s">
        <v>1141</v>
      </c>
      <c r="E714" s="10" t="s">
        <v>1043</v>
      </c>
      <c r="F714" s="10" t="s">
        <v>557</v>
      </c>
      <c r="G714" s="55" t="str">
        <f t="shared" si="17"/>
        <v>Obsolete</v>
      </c>
      <c r="H714" s="10"/>
      <c r="I714" s="13"/>
      <c r="J714" s="56"/>
      <c r="K714" s="57"/>
      <c r="M714" s="10">
        <v>9.8000000000000004E-2</v>
      </c>
      <c r="N714" s="10"/>
      <c r="O714" s="29"/>
      <c r="P714" s="29"/>
      <c r="Q714" s="29"/>
      <c r="R714" s="29"/>
      <c r="S714" s="29"/>
      <c r="T714" s="72"/>
      <c r="U714" s="97" t="s">
        <v>54</v>
      </c>
      <c r="V714" s="97"/>
      <c r="W714" s="97" t="s">
        <v>54</v>
      </c>
      <c r="X714" s="97"/>
      <c r="Y714" s="97"/>
      <c r="Z714" s="87"/>
      <c r="AA714" s="79" t="s">
        <v>64</v>
      </c>
      <c r="AB714" s="79" t="s">
        <v>37</v>
      </c>
      <c r="AC714" s="79" t="s">
        <v>37</v>
      </c>
      <c r="AD714" s="79"/>
      <c r="AE714" s="79" t="s">
        <v>1044</v>
      </c>
      <c r="AF714" s="79" t="s">
        <v>1045</v>
      </c>
      <c r="AG714" s="79" t="s">
        <v>1046</v>
      </c>
      <c r="AH714" s="79"/>
      <c r="AI714" s="53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</row>
    <row r="715" spans="1:110" ht="13.8" x14ac:dyDescent="0.25">
      <c r="A715" s="24">
        <v>1405097</v>
      </c>
      <c r="B715" s="10" t="s">
        <v>956</v>
      </c>
      <c r="C715" s="16" t="s">
        <v>1154</v>
      </c>
      <c r="D715" s="10" t="s">
        <v>1141</v>
      </c>
      <c r="E715" s="10" t="s">
        <v>1043</v>
      </c>
      <c r="F715" s="10" t="s">
        <v>557</v>
      </c>
      <c r="G715" s="55" t="str">
        <f t="shared" si="17"/>
        <v>Obsolete</v>
      </c>
      <c r="H715" s="10"/>
      <c r="I715" s="13"/>
      <c r="J715" s="56"/>
      <c r="K715" s="57"/>
      <c r="M715" s="10">
        <v>9.8000000000000004E-2</v>
      </c>
      <c r="N715" s="10"/>
      <c r="O715" s="29"/>
      <c r="P715" s="29"/>
      <c r="Q715" s="29"/>
      <c r="R715" s="29"/>
      <c r="S715" s="29"/>
      <c r="T715" s="72"/>
      <c r="U715" s="97" t="s">
        <v>54</v>
      </c>
      <c r="V715" s="97"/>
      <c r="W715" s="97" t="s">
        <v>54</v>
      </c>
      <c r="X715" s="97"/>
      <c r="Y715" s="97"/>
      <c r="Z715" s="87"/>
      <c r="AA715" s="79" t="s">
        <v>64</v>
      </c>
      <c r="AB715" s="79" t="s">
        <v>37</v>
      </c>
      <c r="AC715" s="79" t="s">
        <v>37</v>
      </c>
      <c r="AD715" s="79"/>
      <c r="AE715" s="79" t="s">
        <v>1044</v>
      </c>
      <c r="AF715" s="79" t="s">
        <v>1045</v>
      </c>
      <c r="AG715" s="79" t="s">
        <v>1046</v>
      </c>
      <c r="AH715" s="79"/>
      <c r="AI715" s="53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</row>
    <row r="716" spans="1:110" ht="13.8" x14ac:dyDescent="0.25">
      <c r="A716" s="24">
        <v>1405098</v>
      </c>
      <c r="B716" s="10" t="s">
        <v>956</v>
      </c>
      <c r="C716" s="16" t="s">
        <v>1155</v>
      </c>
      <c r="D716" s="10" t="s">
        <v>1156</v>
      </c>
      <c r="E716" s="10" t="s">
        <v>1043</v>
      </c>
      <c r="F716" s="10" t="s">
        <v>557</v>
      </c>
      <c r="G716" s="55" t="str">
        <f t="shared" si="17"/>
        <v>Obsolete</v>
      </c>
      <c r="H716" s="10"/>
      <c r="I716" s="13"/>
      <c r="J716" s="56"/>
      <c r="K716" s="57"/>
      <c r="M716" s="10"/>
      <c r="N716" s="10"/>
      <c r="O716" s="29"/>
      <c r="P716" s="29"/>
      <c r="Q716" s="29"/>
      <c r="R716" s="29"/>
      <c r="S716" s="29"/>
      <c r="T716" s="72"/>
      <c r="U716" s="97" t="s">
        <v>54</v>
      </c>
      <c r="V716" s="97"/>
      <c r="W716" s="97" t="s">
        <v>54</v>
      </c>
      <c r="X716" s="97"/>
      <c r="Y716" s="97"/>
      <c r="Z716" s="87"/>
      <c r="AA716" s="79"/>
      <c r="AB716" s="79" t="s">
        <v>37</v>
      </c>
      <c r="AC716" s="79" t="s">
        <v>37</v>
      </c>
      <c r="AD716" s="79"/>
      <c r="AE716" s="79" t="s">
        <v>1044</v>
      </c>
      <c r="AF716" s="79" t="s">
        <v>1045</v>
      </c>
      <c r="AG716" s="79" t="s">
        <v>1046</v>
      </c>
      <c r="AH716" s="79"/>
      <c r="AI716" s="53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</row>
    <row r="717" spans="1:110" ht="13.8" x14ac:dyDescent="0.25">
      <c r="A717" s="24">
        <v>1405099</v>
      </c>
      <c r="B717" s="10" t="s">
        <v>956</v>
      </c>
      <c r="C717" s="38" t="s">
        <v>1157</v>
      </c>
      <c r="D717" s="10" t="s">
        <v>1156</v>
      </c>
      <c r="E717" s="10" t="s">
        <v>1043</v>
      </c>
      <c r="F717" s="10" t="s">
        <v>557</v>
      </c>
      <c r="G717" s="55" t="str">
        <f t="shared" si="17"/>
        <v>Obsolete</v>
      </c>
      <c r="H717" s="10"/>
      <c r="I717" s="13"/>
      <c r="J717" s="56"/>
      <c r="K717" s="57"/>
      <c r="M717" s="10"/>
      <c r="N717" s="10"/>
      <c r="O717" s="29"/>
      <c r="P717" s="29"/>
      <c r="Q717" s="29"/>
      <c r="R717" s="29"/>
      <c r="S717" s="29"/>
      <c r="T717" s="72"/>
      <c r="U717" s="97" t="s">
        <v>54</v>
      </c>
      <c r="V717" s="97"/>
      <c r="W717" s="97" t="s">
        <v>54</v>
      </c>
      <c r="X717" s="97"/>
      <c r="Y717" s="97"/>
      <c r="Z717" s="87"/>
      <c r="AA717" s="79"/>
      <c r="AB717" s="79" t="s">
        <v>37</v>
      </c>
      <c r="AC717" s="79" t="s">
        <v>37</v>
      </c>
      <c r="AD717" s="79"/>
      <c r="AE717" s="79" t="s">
        <v>1044</v>
      </c>
      <c r="AF717" s="79" t="s">
        <v>1045</v>
      </c>
      <c r="AG717" s="79" t="s">
        <v>1046</v>
      </c>
      <c r="AH717" s="79"/>
      <c r="AI717" s="53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</row>
    <row r="718" spans="1:110" ht="13.8" x14ac:dyDescent="0.25">
      <c r="A718" s="24">
        <v>1405100</v>
      </c>
      <c r="B718" s="10" t="s">
        <v>956</v>
      </c>
      <c r="C718" s="16" t="s">
        <v>1158</v>
      </c>
      <c r="D718" s="10">
        <v>1</v>
      </c>
      <c r="E718" s="10" t="s">
        <v>1043</v>
      </c>
      <c r="F718" s="10" t="s">
        <v>557</v>
      </c>
      <c r="G718" s="55" t="str">
        <f t="shared" si="17"/>
        <v>Obsolete</v>
      </c>
      <c r="H718" s="10">
        <v>12</v>
      </c>
      <c r="I718" s="13">
        <v>1100</v>
      </c>
      <c r="J718" s="56"/>
      <c r="K718" s="57"/>
      <c r="M718" s="10">
        <v>0.65300000000000002</v>
      </c>
      <c r="N718" s="10"/>
      <c r="O718" s="29"/>
      <c r="P718" s="29"/>
      <c r="Q718" s="29"/>
      <c r="R718" s="29"/>
      <c r="S718" s="29"/>
      <c r="T718" s="72"/>
      <c r="U718" s="97" t="s">
        <v>54</v>
      </c>
      <c r="V718" s="97"/>
      <c r="W718" s="97" t="s">
        <v>54</v>
      </c>
      <c r="X718" s="97"/>
      <c r="Y718" s="97"/>
      <c r="Z718" s="87"/>
      <c r="AA718" s="79"/>
      <c r="AB718" s="79" t="s">
        <v>37</v>
      </c>
      <c r="AC718" s="79" t="s">
        <v>37</v>
      </c>
      <c r="AD718" s="79"/>
      <c r="AE718" s="79" t="s">
        <v>1044</v>
      </c>
      <c r="AF718" s="79" t="s">
        <v>1045</v>
      </c>
      <c r="AG718" s="79" t="s">
        <v>1046</v>
      </c>
      <c r="AH718" s="79"/>
      <c r="AI718" s="53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</row>
    <row r="719" spans="1:110" ht="13.8" x14ac:dyDescent="0.25">
      <c r="A719" s="24">
        <v>1405101</v>
      </c>
      <c r="B719" s="10" t="s">
        <v>956</v>
      </c>
      <c r="C719" s="16" t="s">
        <v>1159</v>
      </c>
      <c r="D719" s="10">
        <v>1</v>
      </c>
      <c r="E719" s="10" t="s">
        <v>1043</v>
      </c>
      <c r="F719" s="10" t="s">
        <v>557</v>
      </c>
      <c r="G719" s="55" t="str">
        <f t="shared" si="17"/>
        <v>Obsolete</v>
      </c>
      <c r="H719" s="10">
        <v>12</v>
      </c>
      <c r="I719" s="13">
        <v>1100</v>
      </c>
      <c r="J719" s="56"/>
      <c r="K719" s="57"/>
      <c r="M719" s="10">
        <v>0.73299999999999998</v>
      </c>
      <c r="N719" s="10"/>
      <c r="O719" s="29"/>
      <c r="P719" s="29"/>
      <c r="Q719" s="29"/>
      <c r="R719" s="29"/>
      <c r="S719" s="29"/>
      <c r="T719" s="72"/>
      <c r="U719" s="97" t="s">
        <v>54</v>
      </c>
      <c r="V719" s="97"/>
      <c r="W719" s="97" t="s">
        <v>54</v>
      </c>
      <c r="X719" s="97"/>
      <c r="Y719" s="97"/>
      <c r="Z719" s="87"/>
      <c r="AA719" s="79"/>
      <c r="AB719" s="79" t="s">
        <v>37</v>
      </c>
      <c r="AC719" s="79" t="s">
        <v>37</v>
      </c>
      <c r="AD719" s="79"/>
      <c r="AE719" s="79" t="s">
        <v>1044</v>
      </c>
      <c r="AF719" s="79" t="s">
        <v>1045</v>
      </c>
      <c r="AG719" s="79" t="s">
        <v>1046</v>
      </c>
      <c r="AH719" s="79"/>
      <c r="AI719" s="53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</row>
    <row r="720" spans="1:110" ht="13.8" x14ac:dyDescent="0.25">
      <c r="A720" s="24">
        <v>1405102</v>
      </c>
      <c r="B720" s="10" t="s">
        <v>956</v>
      </c>
      <c r="C720" s="16" t="s">
        <v>1160</v>
      </c>
      <c r="D720" s="10" t="s">
        <v>1161</v>
      </c>
      <c r="E720" s="10" t="s">
        <v>1075</v>
      </c>
      <c r="F720" s="10" t="s">
        <v>557</v>
      </c>
      <c r="G720" s="55" t="str">
        <f t="shared" si="17"/>
        <v>Obsolete</v>
      </c>
      <c r="H720" s="10"/>
      <c r="I720" s="13" t="s">
        <v>1162</v>
      </c>
      <c r="J720" s="56"/>
      <c r="K720" s="57"/>
      <c r="M720" s="10" t="s">
        <v>1163</v>
      </c>
      <c r="N720" s="10"/>
      <c r="O720" s="29"/>
      <c r="P720" s="29"/>
      <c r="Q720" s="29"/>
      <c r="R720" s="29"/>
      <c r="S720" s="29"/>
      <c r="T720" s="72"/>
      <c r="U720" s="97" t="s">
        <v>54</v>
      </c>
      <c r="V720" s="97"/>
      <c r="W720" s="97" t="s">
        <v>54</v>
      </c>
      <c r="X720" s="97"/>
      <c r="Y720" s="97"/>
      <c r="Z720" s="87"/>
      <c r="AA720" s="79" t="s">
        <v>1075</v>
      </c>
      <c r="AB720" s="79" t="s">
        <v>37</v>
      </c>
      <c r="AC720" s="79" t="s">
        <v>37</v>
      </c>
      <c r="AD720" s="79"/>
      <c r="AE720" s="79"/>
      <c r="AF720" s="79"/>
      <c r="AG720" s="79"/>
      <c r="AH720" s="79"/>
      <c r="AI720" s="53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</row>
    <row r="721" spans="1:110" ht="13.8" x14ac:dyDescent="0.25">
      <c r="A721" s="24">
        <v>1405103</v>
      </c>
      <c r="B721" s="10" t="s">
        <v>956</v>
      </c>
      <c r="C721" s="16" t="s">
        <v>1164</v>
      </c>
      <c r="D721" s="10" t="s">
        <v>1075</v>
      </c>
      <c r="E721" s="10" t="s">
        <v>1075</v>
      </c>
      <c r="F721" s="10" t="s">
        <v>557</v>
      </c>
      <c r="G721" s="55" t="str">
        <f t="shared" si="17"/>
        <v>Obsolete</v>
      </c>
      <c r="H721" s="10"/>
      <c r="I721" s="13" t="s">
        <v>1162</v>
      </c>
      <c r="J721" s="56"/>
      <c r="K721" s="57"/>
      <c r="M721" s="10" t="s">
        <v>1163</v>
      </c>
      <c r="N721" s="10"/>
      <c r="O721" s="29"/>
      <c r="P721" s="29"/>
      <c r="Q721" s="29"/>
      <c r="R721" s="29"/>
      <c r="S721" s="29"/>
      <c r="T721" s="72"/>
      <c r="U721" s="97" t="s">
        <v>54</v>
      </c>
      <c r="V721" s="97"/>
      <c r="W721" s="97" t="s">
        <v>54</v>
      </c>
      <c r="X721" s="97"/>
      <c r="Y721" s="97"/>
      <c r="Z721" s="87"/>
      <c r="AA721" s="79"/>
      <c r="AB721" s="79" t="s">
        <v>37</v>
      </c>
      <c r="AC721" s="79" t="s">
        <v>37</v>
      </c>
      <c r="AD721" s="79"/>
      <c r="AE721" s="79"/>
      <c r="AF721" s="79"/>
      <c r="AG721" s="79"/>
      <c r="AH721" s="79"/>
      <c r="AI721" s="53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</row>
    <row r="722" spans="1:110" ht="13.8" x14ac:dyDescent="0.25">
      <c r="A722" s="24">
        <v>1406001</v>
      </c>
      <c r="B722" s="26" t="s">
        <v>956</v>
      </c>
      <c r="C722" s="25" t="s">
        <v>1165</v>
      </c>
      <c r="D722" s="10"/>
      <c r="E722" s="10" t="s">
        <v>1166</v>
      </c>
      <c r="F722" s="10" t="s">
        <v>557</v>
      </c>
      <c r="G722" s="55">
        <f t="shared" si="17"/>
        <v>0.39745000000000003</v>
      </c>
      <c r="H722" s="10">
        <v>24</v>
      </c>
      <c r="I722" s="13">
        <v>4000</v>
      </c>
      <c r="J722" s="56"/>
      <c r="K722" s="57"/>
      <c r="M722" s="14"/>
      <c r="N722" s="14"/>
      <c r="O722" s="14"/>
      <c r="P722" s="14"/>
      <c r="Q722" s="14"/>
      <c r="R722" s="14"/>
      <c r="S722" s="14"/>
      <c r="T722" s="70"/>
      <c r="U722" s="76">
        <v>0.36080000000000001</v>
      </c>
      <c r="V722" s="76">
        <v>3.6650000000000002E-2</v>
      </c>
      <c r="W722" s="76">
        <v>0.36080000000000001</v>
      </c>
      <c r="X722" s="76">
        <v>3.6650000000000002E-2</v>
      </c>
      <c r="Y722" s="77" t="s">
        <v>37</v>
      </c>
      <c r="Z722" s="98">
        <v>4000</v>
      </c>
      <c r="AA722" s="79" t="s">
        <v>36</v>
      </c>
      <c r="AB722" s="79" t="s">
        <v>35</v>
      </c>
      <c r="AC722" s="79" t="s">
        <v>37</v>
      </c>
      <c r="AD722" s="79" t="s">
        <v>38</v>
      </c>
      <c r="AE722" s="79" t="s">
        <v>1167</v>
      </c>
      <c r="AF722" s="79" t="s">
        <v>1168</v>
      </c>
      <c r="AG722" s="79" t="s">
        <v>1169</v>
      </c>
      <c r="AH722" s="79"/>
      <c r="AI722" s="53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</row>
    <row r="723" spans="1:110" ht="13.8" x14ac:dyDescent="0.25">
      <c r="A723" s="24">
        <v>1406005</v>
      </c>
      <c r="B723" s="26" t="s">
        <v>956</v>
      </c>
      <c r="C723" s="25" t="s">
        <v>1170</v>
      </c>
      <c r="D723" s="10"/>
      <c r="E723" s="17" t="s">
        <v>57</v>
      </c>
      <c r="F723" s="10" t="s">
        <v>557</v>
      </c>
      <c r="G723" s="55" t="str">
        <f t="shared" si="17"/>
        <v>Obsolete</v>
      </c>
      <c r="H723" s="10"/>
      <c r="I723" s="13"/>
      <c r="J723" s="56"/>
      <c r="K723" s="57"/>
      <c r="M723" s="10"/>
      <c r="N723" s="10"/>
      <c r="O723" s="29"/>
      <c r="P723" s="29"/>
      <c r="Q723" s="29"/>
      <c r="R723" s="29"/>
      <c r="S723" s="29"/>
      <c r="T723" s="72"/>
      <c r="U723" s="97" t="s">
        <v>54</v>
      </c>
      <c r="V723" s="97"/>
      <c r="W723" s="97" t="s">
        <v>54</v>
      </c>
      <c r="X723" s="97"/>
      <c r="Y723" s="97"/>
      <c r="Z723" s="87"/>
      <c r="AA723" s="79"/>
      <c r="AB723" s="79" t="s">
        <v>37</v>
      </c>
      <c r="AC723" s="79" t="s">
        <v>37</v>
      </c>
      <c r="AD723" s="79"/>
      <c r="AE723" s="79"/>
      <c r="AF723" s="79"/>
      <c r="AG723" s="79"/>
      <c r="AH723" s="79"/>
      <c r="AI723" s="53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</row>
    <row r="724" spans="1:110" ht="20.399999999999999" x14ac:dyDescent="0.25">
      <c r="A724" s="24">
        <v>1407001</v>
      </c>
      <c r="B724" s="26" t="s">
        <v>934</v>
      </c>
      <c r="C724" s="25" t="s">
        <v>1171</v>
      </c>
      <c r="D724" s="26" t="s">
        <v>1172</v>
      </c>
      <c r="E724" s="10" t="s">
        <v>1173</v>
      </c>
      <c r="F724" s="10" t="s">
        <v>557</v>
      </c>
      <c r="G724" s="55" t="str">
        <f t="shared" si="17"/>
        <v>Obsolete</v>
      </c>
      <c r="H724" s="10"/>
      <c r="I724" s="13"/>
      <c r="J724" s="56"/>
      <c r="K724" s="57"/>
      <c r="M724" s="10">
        <v>0.62921000000000005</v>
      </c>
      <c r="N724" s="10"/>
      <c r="O724" s="29"/>
      <c r="P724" s="29"/>
      <c r="Q724" s="29"/>
      <c r="R724" s="29"/>
      <c r="S724" s="29"/>
      <c r="T724" s="72"/>
      <c r="U724" s="97" t="s">
        <v>54</v>
      </c>
      <c r="V724" s="97"/>
      <c r="W724" s="97" t="s">
        <v>54</v>
      </c>
      <c r="X724" s="97"/>
      <c r="Y724" s="97"/>
      <c r="Z724" s="87"/>
      <c r="AA724" s="79" t="s">
        <v>64</v>
      </c>
      <c r="AB724" s="79" t="s">
        <v>37</v>
      </c>
      <c r="AC724" s="79" t="s">
        <v>37</v>
      </c>
      <c r="AD724" s="79"/>
      <c r="AE724" s="79" t="s">
        <v>1174</v>
      </c>
      <c r="AF724" s="79" t="s">
        <v>1175</v>
      </c>
      <c r="AG724" s="79" t="s">
        <v>1176</v>
      </c>
      <c r="AH724" s="79"/>
      <c r="AI724" s="53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</row>
    <row r="725" spans="1:110" ht="13.8" x14ac:dyDescent="0.25">
      <c r="A725" s="24">
        <v>1407002</v>
      </c>
      <c r="B725" s="26" t="s">
        <v>934</v>
      </c>
      <c r="C725" s="25" t="s">
        <v>1177</v>
      </c>
      <c r="D725" s="26" t="s">
        <v>1061</v>
      </c>
      <c r="E725" s="10" t="s">
        <v>1178</v>
      </c>
      <c r="F725" s="10" t="s">
        <v>557</v>
      </c>
      <c r="G725" s="55" t="str">
        <f t="shared" si="17"/>
        <v>Obsolete</v>
      </c>
      <c r="H725" s="10"/>
      <c r="I725" s="13">
        <v>20000</v>
      </c>
      <c r="J725" s="56"/>
      <c r="K725" s="57"/>
      <c r="M725" s="10">
        <v>0.12436999999999999</v>
      </c>
      <c r="N725" s="10"/>
      <c r="O725" s="29"/>
      <c r="P725" s="29"/>
      <c r="Q725" s="29"/>
      <c r="R725" s="29"/>
      <c r="S725" s="29"/>
      <c r="T725" s="72"/>
      <c r="U725" s="97" t="s">
        <v>54</v>
      </c>
      <c r="V725" s="97"/>
      <c r="W725" s="97" t="s">
        <v>54</v>
      </c>
      <c r="X725" s="97"/>
      <c r="Y725" s="97"/>
      <c r="Z725" s="87"/>
      <c r="AA725" s="79" t="s">
        <v>64</v>
      </c>
      <c r="AB725" s="79" t="s">
        <v>37</v>
      </c>
      <c r="AC725" s="79" t="s">
        <v>37</v>
      </c>
      <c r="AD725" s="79"/>
      <c r="AE725" s="79"/>
      <c r="AF725" s="79"/>
      <c r="AG725" s="79"/>
      <c r="AH725" s="79"/>
      <c r="AI725" s="53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</row>
    <row r="726" spans="1:110" ht="13.8" x14ac:dyDescent="0.25">
      <c r="A726" s="24">
        <v>1407003</v>
      </c>
      <c r="B726" s="26" t="s">
        <v>934</v>
      </c>
      <c r="C726" s="25" t="s">
        <v>1179</v>
      </c>
      <c r="D726" s="26" t="s">
        <v>1180</v>
      </c>
      <c r="E726" s="10" t="s">
        <v>1075</v>
      </c>
      <c r="F726" s="10" t="s">
        <v>557</v>
      </c>
      <c r="G726" s="55" t="str">
        <f t="shared" si="17"/>
        <v>Obsolete</v>
      </c>
      <c r="H726" s="10"/>
      <c r="I726" s="13"/>
      <c r="J726" s="56"/>
      <c r="K726" s="57"/>
      <c r="M726" s="10"/>
      <c r="N726" s="10"/>
      <c r="O726" s="29"/>
      <c r="P726" s="29"/>
      <c r="Q726" s="29"/>
      <c r="R726" s="29"/>
      <c r="S726" s="29"/>
      <c r="T726" s="72"/>
      <c r="U726" s="97" t="s">
        <v>54</v>
      </c>
      <c r="V726" s="97"/>
      <c r="W726" s="97" t="s">
        <v>54</v>
      </c>
      <c r="X726" s="97"/>
      <c r="Y726" s="97"/>
      <c r="Z726" s="87"/>
      <c r="AA726" s="79" t="s">
        <v>64</v>
      </c>
      <c r="AB726" s="79" t="s">
        <v>37</v>
      </c>
      <c r="AC726" s="79" t="s">
        <v>37</v>
      </c>
      <c r="AD726" s="79"/>
      <c r="AE726" s="79" t="s">
        <v>1076</v>
      </c>
      <c r="AF726" s="79" t="s">
        <v>1077</v>
      </c>
      <c r="AG726" s="79" t="s">
        <v>1078</v>
      </c>
      <c r="AH726" s="79"/>
      <c r="AI726" s="53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</row>
    <row r="727" spans="1:110" ht="13.8" x14ac:dyDescent="0.25">
      <c r="A727" s="24">
        <v>1407004</v>
      </c>
      <c r="B727" s="26" t="s">
        <v>934</v>
      </c>
      <c r="C727" s="25" t="s">
        <v>1181</v>
      </c>
      <c r="D727" s="26" t="s">
        <v>1087</v>
      </c>
      <c r="E727" s="17" t="s">
        <v>57</v>
      </c>
      <c r="F727" s="10" t="s">
        <v>557</v>
      </c>
      <c r="G727" s="55" t="str">
        <f t="shared" si="17"/>
        <v>Obsolete</v>
      </c>
      <c r="H727" s="10"/>
      <c r="I727" s="13"/>
      <c r="J727" s="56"/>
      <c r="K727" s="57"/>
      <c r="M727" s="10"/>
      <c r="N727" s="10"/>
      <c r="O727" s="29"/>
      <c r="P727" s="29"/>
      <c r="Q727" s="29"/>
      <c r="R727" s="29"/>
      <c r="S727" s="29"/>
      <c r="T727" s="72"/>
      <c r="U727" s="97" t="s">
        <v>54</v>
      </c>
      <c r="V727" s="97"/>
      <c r="W727" s="97" t="s">
        <v>54</v>
      </c>
      <c r="X727" s="97"/>
      <c r="Y727" s="97"/>
      <c r="Z727" s="87"/>
      <c r="AA727" s="79" t="s">
        <v>64</v>
      </c>
      <c r="AB727" s="79" t="s">
        <v>37</v>
      </c>
      <c r="AC727" s="79" t="s">
        <v>37</v>
      </c>
      <c r="AD727" s="79"/>
      <c r="AE727" s="79"/>
      <c r="AF727" s="79"/>
      <c r="AG727" s="79"/>
      <c r="AH727" s="79"/>
      <c r="AI727" s="53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</row>
    <row r="728" spans="1:110" ht="13.8" x14ac:dyDescent="0.25">
      <c r="A728" s="24">
        <v>1407005</v>
      </c>
      <c r="B728" s="26" t="s">
        <v>934</v>
      </c>
      <c r="C728" s="25" t="s">
        <v>1182</v>
      </c>
      <c r="D728" s="26" t="s">
        <v>1087</v>
      </c>
      <c r="E728" s="17" t="s">
        <v>57</v>
      </c>
      <c r="F728" s="10" t="s">
        <v>557</v>
      </c>
      <c r="G728" s="55" t="str">
        <f t="shared" si="17"/>
        <v>Obsolete</v>
      </c>
      <c r="H728" s="10"/>
      <c r="I728" s="13"/>
      <c r="J728" s="56"/>
      <c r="K728" s="57"/>
      <c r="M728" s="10"/>
      <c r="N728" s="10"/>
      <c r="O728" s="29"/>
      <c r="P728" s="29"/>
      <c r="Q728" s="29"/>
      <c r="R728" s="29"/>
      <c r="S728" s="29"/>
      <c r="T728" s="72"/>
      <c r="U728" s="97" t="s">
        <v>54</v>
      </c>
      <c r="V728" s="97"/>
      <c r="W728" s="97" t="s">
        <v>54</v>
      </c>
      <c r="X728" s="97"/>
      <c r="Y728" s="97"/>
      <c r="Z728" s="87"/>
      <c r="AA728" s="79"/>
      <c r="AB728" s="79" t="s">
        <v>37</v>
      </c>
      <c r="AC728" s="79" t="s">
        <v>37</v>
      </c>
      <c r="AD728" s="79"/>
      <c r="AE728" s="79"/>
      <c r="AF728" s="79"/>
      <c r="AG728" s="79"/>
      <c r="AH728" s="79"/>
      <c r="AI728" s="53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</row>
    <row r="729" spans="1:110" ht="13.8" x14ac:dyDescent="0.25">
      <c r="A729" s="24">
        <v>1407007</v>
      </c>
      <c r="B729" s="10" t="s">
        <v>934</v>
      </c>
      <c r="C729" s="16" t="s">
        <v>1183</v>
      </c>
      <c r="D729" s="26" t="s">
        <v>776</v>
      </c>
      <c r="E729" s="10" t="s">
        <v>1173</v>
      </c>
      <c r="F729" s="10" t="s">
        <v>557</v>
      </c>
      <c r="G729" s="55" t="str">
        <f t="shared" si="17"/>
        <v>Obsolete</v>
      </c>
      <c r="H729" s="10"/>
      <c r="I729" s="13"/>
      <c r="J729" s="56"/>
      <c r="K729" s="57"/>
      <c r="M729" s="10">
        <v>0.6</v>
      </c>
      <c r="N729" s="10"/>
      <c r="O729" s="29"/>
      <c r="P729" s="29"/>
      <c r="Q729" s="29"/>
      <c r="R729" s="29"/>
      <c r="S729" s="29"/>
      <c r="T729" s="72"/>
      <c r="U729" s="97" t="s">
        <v>54</v>
      </c>
      <c r="V729" s="97"/>
      <c r="W729" s="97" t="s">
        <v>54</v>
      </c>
      <c r="X729" s="97"/>
      <c r="Y729" s="97"/>
      <c r="Z729" s="87"/>
      <c r="AA729" s="79" t="s">
        <v>64</v>
      </c>
      <c r="AB729" s="79" t="s">
        <v>37</v>
      </c>
      <c r="AC729" s="79" t="s">
        <v>37</v>
      </c>
      <c r="AD729" s="79"/>
      <c r="AE729" s="79" t="s">
        <v>1174</v>
      </c>
      <c r="AF729" s="79" t="s">
        <v>1175</v>
      </c>
      <c r="AG729" s="79" t="s">
        <v>1176</v>
      </c>
      <c r="AH729" s="79"/>
      <c r="AI729" s="53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</row>
    <row r="730" spans="1:110" ht="13.8" x14ac:dyDescent="0.25">
      <c r="A730" s="24">
        <v>1407008</v>
      </c>
      <c r="B730" s="10" t="s">
        <v>934</v>
      </c>
      <c r="C730" s="16" t="s">
        <v>1184</v>
      </c>
      <c r="D730" s="26"/>
      <c r="E730" s="10" t="s">
        <v>1185</v>
      </c>
      <c r="F730" s="10" t="s">
        <v>557</v>
      </c>
      <c r="G730" s="55" t="str">
        <f t="shared" si="17"/>
        <v>Obsolete</v>
      </c>
      <c r="H730" s="10"/>
      <c r="I730" s="13">
        <v>1000</v>
      </c>
      <c r="J730" s="56"/>
      <c r="K730" s="57"/>
      <c r="M730" s="21">
        <v>0.47499999999999998</v>
      </c>
      <c r="N730" s="10"/>
      <c r="O730" s="21"/>
      <c r="P730" s="29"/>
      <c r="Q730" s="29"/>
      <c r="R730" s="29"/>
      <c r="S730" s="29"/>
      <c r="T730" s="72"/>
      <c r="U730" s="97" t="s">
        <v>54</v>
      </c>
      <c r="V730" s="97"/>
      <c r="W730" s="97" t="s">
        <v>54</v>
      </c>
      <c r="X730" s="97"/>
      <c r="Y730" s="97"/>
      <c r="Z730" s="87"/>
      <c r="AA730" s="79"/>
      <c r="AB730" s="79" t="s">
        <v>37</v>
      </c>
      <c r="AC730" s="79" t="s">
        <v>37</v>
      </c>
      <c r="AD730" s="79"/>
      <c r="AE730" s="79" t="s">
        <v>1186</v>
      </c>
      <c r="AF730" s="79" t="s">
        <v>1187</v>
      </c>
      <c r="AG730" s="79" t="s">
        <v>1188</v>
      </c>
      <c r="AH730" s="79"/>
      <c r="AI730" s="53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</row>
    <row r="731" spans="1:110" ht="13.8" x14ac:dyDescent="0.25">
      <c r="A731" s="24">
        <v>1407009</v>
      </c>
      <c r="B731" s="10" t="s">
        <v>934</v>
      </c>
      <c r="C731" s="16" t="s">
        <v>1189</v>
      </c>
      <c r="D731" s="26"/>
      <c r="E731" s="10" t="s">
        <v>1173</v>
      </c>
      <c r="F731" s="10" t="s">
        <v>557</v>
      </c>
      <c r="G731" s="55" t="str">
        <f t="shared" si="17"/>
        <v>Obsolete</v>
      </c>
      <c r="H731" s="10"/>
      <c r="I731" s="13"/>
      <c r="J731" s="56"/>
      <c r="K731" s="57"/>
      <c r="M731" s="10"/>
      <c r="N731" s="10"/>
      <c r="O731" s="21"/>
      <c r="P731" s="29"/>
      <c r="Q731" s="29"/>
      <c r="R731" s="29"/>
      <c r="S731" s="29"/>
      <c r="T731" s="72"/>
      <c r="U731" s="97" t="s">
        <v>54</v>
      </c>
      <c r="V731" s="97"/>
      <c r="W731" s="97" t="s">
        <v>54</v>
      </c>
      <c r="X731" s="97"/>
      <c r="Y731" s="97"/>
      <c r="Z731" s="87"/>
      <c r="AA731" s="79" t="s">
        <v>64</v>
      </c>
      <c r="AB731" s="79" t="s">
        <v>37</v>
      </c>
      <c r="AC731" s="79" t="s">
        <v>37</v>
      </c>
      <c r="AD731" s="79"/>
      <c r="AE731" s="79"/>
      <c r="AF731" s="79"/>
      <c r="AG731" s="79"/>
      <c r="AH731" s="79"/>
      <c r="AI731" s="53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</row>
    <row r="732" spans="1:110" ht="13.8" x14ac:dyDescent="0.25">
      <c r="A732" s="24">
        <v>1407010</v>
      </c>
      <c r="B732" s="10" t="s">
        <v>956</v>
      </c>
      <c r="C732" s="16" t="s">
        <v>1190</v>
      </c>
      <c r="D732" s="26" t="s">
        <v>971</v>
      </c>
      <c r="E732" s="10" t="s">
        <v>972</v>
      </c>
      <c r="F732" s="10" t="s">
        <v>557</v>
      </c>
      <c r="G732" s="55">
        <f t="shared" si="17"/>
        <v>0.17175000000000001</v>
      </c>
      <c r="H732" s="10">
        <v>10</v>
      </c>
      <c r="I732" s="13">
        <v>4500</v>
      </c>
      <c r="J732" s="56"/>
      <c r="K732" s="57"/>
      <c r="M732" s="14"/>
      <c r="N732" s="14"/>
      <c r="O732" s="14"/>
      <c r="P732" s="14"/>
      <c r="Q732" s="14"/>
      <c r="R732" s="14"/>
      <c r="S732" s="14"/>
      <c r="T732" s="70"/>
      <c r="U732" s="76">
        <v>0.1351</v>
      </c>
      <c r="V732" s="76">
        <v>3.6650000000000002E-2</v>
      </c>
      <c r="W732" s="76">
        <v>0.1351</v>
      </c>
      <c r="X732" s="76">
        <v>3.6650000000000002E-2</v>
      </c>
      <c r="Y732" s="77" t="s">
        <v>35</v>
      </c>
      <c r="Z732" s="98">
        <v>4500</v>
      </c>
      <c r="AA732" s="79" t="s">
        <v>36</v>
      </c>
      <c r="AB732" s="79" t="s">
        <v>35</v>
      </c>
      <c r="AC732" s="79" t="s">
        <v>37</v>
      </c>
      <c r="AD732" s="79" t="s">
        <v>38</v>
      </c>
      <c r="AE732" s="79" t="s">
        <v>973</v>
      </c>
      <c r="AF732" s="79" t="s">
        <v>974</v>
      </c>
      <c r="AG732" s="79" t="s">
        <v>975</v>
      </c>
      <c r="AH732" s="79"/>
      <c r="AI732" s="53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</row>
    <row r="733" spans="1:110" ht="13.8" x14ac:dyDescent="0.25">
      <c r="A733" s="24">
        <v>1407011</v>
      </c>
      <c r="B733" s="10" t="s">
        <v>956</v>
      </c>
      <c r="C733" s="16" t="s">
        <v>1191</v>
      </c>
      <c r="D733" s="26" t="s">
        <v>971</v>
      </c>
      <c r="E733" s="10" t="s">
        <v>972</v>
      </c>
      <c r="F733" s="10" t="s">
        <v>557</v>
      </c>
      <c r="G733" s="55" t="str">
        <f t="shared" si="17"/>
        <v>Obsolete</v>
      </c>
      <c r="H733" s="10">
        <v>7</v>
      </c>
      <c r="I733" s="13"/>
      <c r="J733" s="56"/>
      <c r="K733" s="57"/>
      <c r="M733" s="10"/>
      <c r="N733" s="10"/>
      <c r="O733" s="21"/>
      <c r="P733" s="29"/>
      <c r="Q733" s="29"/>
      <c r="R733" s="29"/>
      <c r="S733" s="29"/>
      <c r="T733" s="72"/>
      <c r="U733" s="97" t="s">
        <v>54</v>
      </c>
      <c r="V733" s="97"/>
      <c r="W733" s="97" t="s">
        <v>54</v>
      </c>
      <c r="X733" s="97"/>
      <c r="Y733" s="97"/>
      <c r="Z733" s="98"/>
      <c r="AA733" s="79" t="s">
        <v>36</v>
      </c>
      <c r="AB733" s="79" t="s">
        <v>37</v>
      </c>
      <c r="AC733" s="79" t="s">
        <v>37</v>
      </c>
      <c r="AD733" s="79" t="s">
        <v>38</v>
      </c>
      <c r="AE733" s="79" t="s">
        <v>973</v>
      </c>
      <c r="AF733" s="79" t="s">
        <v>974</v>
      </c>
      <c r="AG733" s="79" t="s">
        <v>975</v>
      </c>
      <c r="AH733" s="79"/>
      <c r="AI733" s="53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</row>
    <row r="734" spans="1:110" ht="13.8" x14ac:dyDescent="0.25">
      <c r="A734" s="24">
        <v>1407012</v>
      </c>
      <c r="B734" s="10" t="s">
        <v>956</v>
      </c>
      <c r="C734" s="16" t="s">
        <v>1192</v>
      </c>
      <c r="D734" s="26" t="s">
        <v>971</v>
      </c>
      <c r="E734" s="10" t="s">
        <v>972</v>
      </c>
      <c r="F734" s="10" t="s">
        <v>557</v>
      </c>
      <c r="G734" s="55">
        <f t="shared" si="17"/>
        <v>0.21325</v>
      </c>
      <c r="H734" s="10">
        <v>7</v>
      </c>
      <c r="I734" s="13">
        <v>1000</v>
      </c>
      <c r="J734" s="56"/>
      <c r="K734" s="57"/>
      <c r="M734" s="10"/>
      <c r="N734" s="10"/>
      <c r="O734" s="21"/>
      <c r="P734" s="29"/>
      <c r="Q734" s="29"/>
      <c r="R734" s="29"/>
      <c r="S734" s="29"/>
      <c r="T734" s="72"/>
      <c r="U734" s="84">
        <v>0.17660000000000001</v>
      </c>
      <c r="V734" s="76">
        <v>3.6650000000000002E-2</v>
      </c>
      <c r="W734" s="84">
        <v>0.17660000000000001</v>
      </c>
      <c r="X734" s="84">
        <v>3.6650000000000002E-2</v>
      </c>
      <c r="Y734" s="77" t="s">
        <v>35</v>
      </c>
      <c r="Z734" s="98">
        <v>1000</v>
      </c>
      <c r="AA734" s="79" t="s">
        <v>36</v>
      </c>
      <c r="AB734" s="79" t="s">
        <v>35</v>
      </c>
      <c r="AC734" s="79" t="s">
        <v>37</v>
      </c>
      <c r="AD734" s="79" t="s">
        <v>38</v>
      </c>
      <c r="AE734" s="79" t="s">
        <v>973</v>
      </c>
      <c r="AF734" s="79" t="s">
        <v>974</v>
      </c>
      <c r="AG734" s="79" t="s">
        <v>975</v>
      </c>
      <c r="AH734" s="79"/>
      <c r="AI734" s="53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</row>
    <row r="735" spans="1:110" ht="13.8" x14ac:dyDescent="0.25">
      <c r="A735" s="24">
        <v>1407013</v>
      </c>
      <c r="B735" s="10" t="s">
        <v>934</v>
      </c>
      <c r="C735" s="16" t="s">
        <v>1193</v>
      </c>
      <c r="D735" s="26" t="s">
        <v>971</v>
      </c>
      <c r="E735" s="10" t="s">
        <v>972</v>
      </c>
      <c r="F735" s="10" t="s">
        <v>557</v>
      </c>
      <c r="G735" s="55">
        <f t="shared" si="17"/>
        <v>0.28094999999999998</v>
      </c>
      <c r="H735" s="10">
        <v>10</v>
      </c>
      <c r="I735" s="13">
        <v>10000</v>
      </c>
      <c r="J735" s="56"/>
      <c r="K735" s="57"/>
      <c r="M735" s="14"/>
      <c r="N735" s="14"/>
      <c r="O735" s="14"/>
      <c r="P735" s="14"/>
      <c r="Q735" s="14"/>
      <c r="R735" s="14"/>
      <c r="S735" s="14"/>
      <c r="T735" s="70"/>
      <c r="U735" s="76">
        <v>0.24429999999999999</v>
      </c>
      <c r="V735" s="76">
        <v>3.6650000000000002E-2</v>
      </c>
      <c r="W735" s="76">
        <v>0.24429999999999999</v>
      </c>
      <c r="X735" s="76">
        <v>3.6650000000000002E-2</v>
      </c>
      <c r="Y735" s="77" t="s">
        <v>35</v>
      </c>
      <c r="Z735" s="98">
        <v>10000</v>
      </c>
      <c r="AA735" s="79" t="s">
        <v>36</v>
      </c>
      <c r="AB735" s="79" t="s">
        <v>35</v>
      </c>
      <c r="AC735" s="79" t="s">
        <v>37</v>
      </c>
      <c r="AD735" s="79" t="s">
        <v>38</v>
      </c>
      <c r="AE735" s="79" t="s">
        <v>973</v>
      </c>
      <c r="AF735" s="79" t="s">
        <v>974</v>
      </c>
      <c r="AG735" s="79" t="s">
        <v>975</v>
      </c>
      <c r="AH735" s="79"/>
      <c r="AI735" s="53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</row>
    <row r="736" spans="1:110" ht="13.8" x14ac:dyDescent="0.25">
      <c r="A736" s="24">
        <v>1407014</v>
      </c>
      <c r="B736" s="10" t="s">
        <v>934</v>
      </c>
      <c r="C736" s="16" t="s">
        <v>1194</v>
      </c>
      <c r="D736" s="26" t="s">
        <v>971</v>
      </c>
      <c r="E736" s="10" t="s">
        <v>972</v>
      </c>
      <c r="F736" s="10" t="s">
        <v>557</v>
      </c>
      <c r="G736" s="55">
        <f t="shared" si="17"/>
        <v>0.11835</v>
      </c>
      <c r="H736" s="10">
        <v>4</v>
      </c>
      <c r="I736" s="13">
        <v>5100</v>
      </c>
      <c r="J736" s="56"/>
      <c r="K736" s="57"/>
      <c r="M736" s="14"/>
      <c r="N736" s="14"/>
      <c r="O736" s="14"/>
      <c r="P736" s="14"/>
      <c r="Q736" s="14"/>
      <c r="R736" s="14"/>
      <c r="S736" s="14"/>
      <c r="T736" s="70"/>
      <c r="U736" s="76">
        <v>8.1699999999999995E-2</v>
      </c>
      <c r="V736" s="76">
        <v>3.6650000000000002E-2</v>
      </c>
      <c r="W736" s="76">
        <v>8.1699999999999995E-2</v>
      </c>
      <c r="X736" s="76">
        <v>3.6650000000000002E-2</v>
      </c>
      <c r="Y736" s="77" t="s">
        <v>35</v>
      </c>
      <c r="Z736" s="98">
        <v>5100</v>
      </c>
      <c r="AA736" s="79" t="s">
        <v>36</v>
      </c>
      <c r="AB736" s="79" t="s">
        <v>35</v>
      </c>
      <c r="AC736" s="79" t="s">
        <v>37</v>
      </c>
      <c r="AD736" s="79" t="s">
        <v>38</v>
      </c>
      <c r="AE736" s="79" t="s">
        <v>973</v>
      </c>
      <c r="AF736" s="79" t="s">
        <v>974</v>
      </c>
      <c r="AG736" s="79" t="s">
        <v>975</v>
      </c>
      <c r="AH736" s="79"/>
      <c r="AI736" s="53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</row>
    <row r="737" spans="1:110" ht="13.8" x14ac:dyDescent="0.25">
      <c r="A737" s="24">
        <v>1407015</v>
      </c>
      <c r="B737" s="10" t="s">
        <v>956</v>
      </c>
      <c r="C737" s="16" t="s">
        <v>1195</v>
      </c>
      <c r="D737" s="26"/>
      <c r="E737" s="10" t="s">
        <v>1196</v>
      </c>
      <c r="F737" s="10" t="s">
        <v>557</v>
      </c>
      <c r="G737" s="55" t="str">
        <f t="shared" si="17"/>
        <v>Obsolete</v>
      </c>
      <c r="H737" s="10"/>
      <c r="I737" s="13"/>
      <c r="J737" s="56"/>
      <c r="K737" s="57"/>
      <c r="M737" s="10"/>
      <c r="N737" s="10"/>
      <c r="O737" s="21"/>
      <c r="P737" s="29"/>
      <c r="Q737" s="29"/>
      <c r="R737" s="29"/>
      <c r="S737" s="29"/>
      <c r="T737" s="72"/>
      <c r="U737" s="97" t="s">
        <v>54</v>
      </c>
      <c r="V737" s="97"/>
      <c r="W737" s="97" t="s">
        <v>54</v>
      </c>
      <c r="X737" s="97"/>
      <c r="Y737" s="77" t="s">
        <v>35</v>
      </c>
      <c r="Z737" s="87"/>
      <c r="AA737" s="79" t="s">
        <v>36</v>
      </c>
      <c r="AB737" s="79" t="s">
        <v>37</v>
      </c>
      <c r="AC737" s="79" t="s">
        <v>37</v>
      </c>
      <c r="AD737" s="79" t="s">
        <v>38</v>
      </c>
      <c r="AE737" s="79" t="s">
        <v>973</v>
      </c>
      <c r="AF737" s="79" t="s">
        <v>974</v>
      </c>
      <c r="AG737" s="79" t="s">
        <v>975</v>
      </c>
      <c r="AH737" s="79"/>
      <c r="AI737" s="53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</row>
    <row r="738" spans="1:110" ht="13.8" x14ac:dyDescent="0.25">
      <c r="A738" s="24">
        <v>1407016</v>
      </c>
      <c r="B738" s="10" t="s">
        <v>934</v>
      </c>
      <c r="C738" s="16" t="s">
        <v>1197</v>
      </c>
      <c r="D738" s="26" t="s">
        <v>971</v>
      </c>
      <c r="E738" s="10" t="s">
        <v>1198</v>
      </c>
      <c r="F738" s="10" t="s">
        <v>557</v>
      </c>
      <c r="G738" s="55">
        <f t="shared" si="17"/>
        <v>0</v>
      </c>
      <c r="H738" s="10"/>
      <c r="I738" s="13"/>
      <c r="J738" s="56"/>
      <c r="K738" s="57"/>
      <c r="M738" s="10"/>
      <c r="N738" s="10"/>
      <c r="O738" s="21"/>
      <c r="P738" s="29"/>
      <c r="Q738" s="29"/>
      <c r="R738" s="29"/>
      <c r="S738" s="29"/>
      <c r="T738" s="72"/>
      <c r="U738" s="97">
        <v>0</v>
      </c>
      <c r="V738" s="97">
        <v>0</v>
      </c>
      <c r="W738" s="97">
        <v>0</v>
      </c>
      <c r="X738" s="97">
        <v>0</v>
      </c>
      <c r="Y738" s="77" t="s">
        <v>35</v>
      </c>
      <c r="Z738" s="87"/>
      <c r="AA738" s="79" t="s">
        <v>36</v>
      </c>
      <c r="AB738" s="79" t="s">
        <v>35</v>
      </c>
      <c r="AC738" s="79" t="s">
        <v>37</v>
      </c>
      <c r="AD738" s="79" t="s">
        <v>38</v>
      </c>
      <c r="AE738" s="79"/>
      <c r="AF738" s="79"/>
      <c r="AG738" s="79"/>
      <c r="AH738" s="79"/>
      <c r="AI738" s="53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</row>
    <row r="739" spans="1:110" ht="13.8" x14ac:dyDescent="0.25">
      <c r="A739" s="24">
        <v>1407017</v>
      </c>
      <c r="B739" s="10" t="s">
        <v>934</v>
      </c>
      <c r="C739" s="16" t="s">
        <v>1199</v>
      </c>
      <c r="D739" s="26" t="s">
        <v>971</v>
      </c>
      <c r="E739" s="10" t="s">
        <v>972</v>
      </c>
      <c r="F739" s="10" t="s">
        <v>557</v>
      </c>
      <c r="G739" s="55">
        <f t="shared" si="17"/>
        <v>0.40889999999999999</v>
      </c>
      <c r="H739" s="10">
        <v>7</v>
      </c>
      <c r="I739" s="13">
        <v>1200</v>
      </c>
      <c r="J739" s="56"/>
      <c r="K739" s="57"/>
      <c r="M739" s="10"/>
      <c r="N739" s="10"/>
      <c r="O739" s="21"/>
      <c r="P739" s="29"/>
      <c r="Q739" s="29"/>
      <c r="R739" s="29"/>
      <c r="S739" s="29"/>
      <c r="T739" s="72"/>
      <c r="U739" s="84">
        <v>0.3639</v>
      </c>
      <c r="V739" s="89">
        <v>4.4999999999999998E-2</v>
      </c>
      <c r="W739" s="84">
        <v>0.3639</v>
      </c>
      <c r="X739" s="89">
        <v>4.4999999999999998E-2</v>
      </c>
      <c r="Y739" s="77" t="s">
        <v>35</v>
      </c>
      <c r="Z739" s="87">
        <v>1200</v>
      </c>
      <c r="AA739" s="79" t="s">
        <v>36</v>
      </c>
      <c r="AB739" s="79" t="s">
        <v>35</v>
      </c>
      <c r="AC739" s="79" t="s">
        <v>37</v>
      </c>
      <c r="AD739" s="79" t="s">
        <v>38</v>
      </c>
      <c r="AE739" s="79" t="s">
        <v>1550</v>
      </c>
      <c r="AF739" s="79">
        <v>8992702747</v>
      </c>
      <c r="AG739" s="81" t="s">
        <v>1551</v>
      </c>
      <c r="AH739" s="79"/>
      <c r="AI739" s="53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</row>
    <row r="740" spans="1:110" ht="13.5" customHeight="1" x14ac:dyDescent="0.25">
      <c r="A740" s="122">
        <v>1407018</v>
      </c>
      <c r="B740" s="10" t="s">
        <v>934</v>
      </c>
      <c r="C740" s="16" t="s">
        <v>1200</v>
      </c>
      <c r="D740" s="26"/>
      <c r="E740" s="10" t="s">
        <v>1201</v>
      </c>
      <c r="F740" s="10" t="s">
        <v>557</v>
      </c>
      <c r="G740" s="55">
        <f t="shared" si="17"/>
        <v>0.1206</v>
      </c>
      <c r="H740" s="10">
        <v>4</v>
      </c>
      <c r="I740" s="13">
        <v>25000</v>
      </c>
      <c r="J740" s="56">
        <v>44616</v>
      </c>
      <c r="K740" s="57">
        <v>0.1118</v>
      </c>
      <c r="M740" s="10"/>
      <c r="N740" s="10"/>
      <c r="O740" s="21"/>
      <c r="P740" s="29"/>
      <c r="Q740" s="29"/>
      <c r="R740" s="29"/>
      <c r="S740" s="29"/>
      <c r="T740" s="72"/>
      <c r="U740" s="84">
        <v>7.5600000000000001E-2</v>
      </c>
      <c r="V740" s="89">
        <v>4.4999999999999998E-2</v>
      </c>
      <c r="W740" s="84">
        <v>7.5600000000000001E-2</v>
      </c>
      <c r="X740" s="89">
        <v>4.4999999999999998E-2</v>
      </c>
      <c r="Y740" s="77" t="s">
        <v>35</v>
      </c>
      <c r="Z740" s="87"/>
      <c r="AA740" s="79" t="s">
        <v>468</v>
      </c>
      <c r="AB740" s="79" t="s">
        <v>35</v>
      </c>
      <c r="AC740" s="79" t="s">
        <v>37</v>
      </c>
      <c r="AD740" s="79" t="s">
        <v>38</v>
      </c>
      <c r="AE740" s="79" t="s">
        <v>1537</v>
      </c>
      <c r="AF740" s="79" t="s">
        <v>1538</v>
      </c>
      <c r="AG740" s="79" t="s">
        <v>1539</v>
      </c>
      <c r="AH740" s="79"/>
      <c r="AI740" s="53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</row>
    <row r="741" spans="1:110" ht="10.5" customHeight="1" x14ac:dyDescent="0.25">
      <c r="A741" s="122">
        <v>1407019</v>
      </c>
      <c r="B741" s="10" t="s">
        <v>934</v>
      </c>
      <c r="C741" s="16" t="s">
        <v>1202</v>
      </c>
      <c r="D741" s="26"/>
      <c r="E741" s="10" t="s">
        <v>1201</v>
      </c>
      <c r="F741" s="10" t="s">
        <v>557</v>
      </c>
      <c r="G741" s="55">
        <f t="shared" si="17"/>
        <v>0.33399999999999996</v>
      </c>
      <c r="H741" s="10">
        <v>8</v>
      </c>
      <c r="I741" s="13">
        <v>50000</v>
      </c>
      <c r="J741" s="56">
        <v>44616</v>
      </c>
      <c r="K741" s="57">
        <v>0.30669999999999997</v>
      </c>
      <c r="M741" s="10"/>
      <c r="N741" s="10"/>
      <c r="O741" s="21"/>
      <c r="P741" s="29"/>
      <c r="Q741" s="29"/>
      <c r="R741" s="29"/>
      <c r="S741" s="29"/>
      <c r="T741" s="72"/>
      <c r="U741" s="84">
        <v>0.28899999999999998</v>
      </c>
      <c r="V741" s="89">
        <v>4.4999999999999998E-2</v>
      </c>
      <c r="W741" s="84">
        <v>0.28899999999999998</v>
      </c>
      <c r="X741" s="89">
        <v>4.4999999999999998E-2</v>
      </c>
      <c r="Y741" s="77" t="s">
        <v>35</v>
      </c>
      <c r="Z741" s="87"/>
      <c r="AA741" s="79" t="s">
        <v>468</v>
      </c>
      <c r="AB741" s="79" t="s">
        <v>35</v>
      </c>
      <c r="AC741" s="79" t="s">
        <v>37</v>
      </c>
      <c r="AD741" s="79" t="s">
        <v>38</v>
      </c>
      <c r="AE741" s="79" t="s">
        <v>1537</v>
      </c>
      <c r="AF741" s="79" t="s">
        <v>1538</v>
      </c>
      <c r="AG741" s="79" t="s">
        <v>1539</v>
      </c>
      <c r="AH741" s="79"/>
      <c r="AI741" s="53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</row>
    <row r="742" spans="1:110" ht="9.75" customHeight="1" x14ac:dyDescent="0.25">
      <c r="A742" s="24">
        <v>1407020</v>
      </c>
      <c r="B742" s="10" t="s">
        <v>934</v>
      </c>
      <c r="C742" s="16" t="s">
        <v>1203</v>
      </c>
      <c r="D742" s="26"/>
      <c r="E742" s="10" t="s">
        <v>1533</v>
      </c>
      <c r="F742" s="10" t="s">
        <v>557</v>
      </c>
      <c r="G742" s="55">
        <f t="shared" si="17"/>
        <v>0.115</v>
      </c>
      <c r="H742" s="10">
        <v>10</v>
      </c>
      <c r="I742" s="13">
        <v>75000</v>
      </c>
      <c r="J742" s="56"/>
      <c r="K742" s="57"/>
      <c r="M742" s="10"/>
      <c r="N742" s="10"/>
      <c r="O742" s="21"/>
      <c r="P742" s="29"/>
      <c r="Q742" s="29"/>
      <c r="R742" s="29"/>
      <c r="S742" s="29"/>
      <c r="T742" s="72"/>
      <c r="U742" s="84">
        <v>7.0000000000000007E-2</v>
      </c>
      <c r="V742" s="89">
        <v>4.4999999999999998E-2</v>
      </c>
      <c r="W742" s="84">
        <v>7.0000000000000007E-2</v>
      </c>
      <c r="X742" s="89">
        <v>4.4999999999999998E-2</v>
      </c>
      <c r="Y742" s="77" t="s">
        <v>35</v>
      </c>
      <c r="Z742" s="87"/>
      <c r="AA742" s="79" t="s">
        <v>468</v>
      </c>
      <c r="AB742" s="79" t="s">
        <v>35</v>
      </c>
      <c r="AC742" s="79" t="s">
        <v>37</v>
      </c>
      <c r="AD742" s="79" t="s">
        <v>38</v>
      </c>
      <c r="AE742" s="79" t="s">
        <v>1534</v>
      </c>
      <c r="AF742" s="79" t="s">
        <v>1535</v>
      </c>
      <c r="AG742" s="79" t="s">
        <v>1536</v>
      </c>
      <c r="AH742" s="79"/>
      <c r="AI742" s="53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</row>
    <row r="743" spans="1:110" ht="13.8" x14ac:dyDescent="0.25">
      <c r="A743" s="24">
        <v>1408001</v>
      </c>
      <c r="B743" s="26" t="s">
        <v>956</v>
      </c>
      <c r="C743" s="25" t="s">
        <v>1204</v>
      </c>
      <c r="D743" s="26"/>
      <c r="E743" s="10" t="s">
        <v>292</v>
      </c>
      <c r="F743" s="10" t="s">
        <v>557</v>
      </c>
      <c r="G743" s="55" t="str">
        <f t="shared" si="17"/>
        <v>Obsolete</v>
      </c>
      <c r="H743" s="10"/>
      <c r="I743" s="13"/>
      <c r="J743" s="56"/>
      <c r="K743" s="57"/>
      <c r="M743" s="10"/>
      <c r="N743" s="10"/>
      <c r="O743" s="29"/>
      <c r="P743" s="29"/>
      <c r="Q743" s="29"/>
      <c r="R743" s="29"/>
      <c r="S743" s="29"/>
      <c r="T743" s="72"/>
      <c r="U743" s="97" t="s">
        <v>54</v>
      </c>
      <c r="V743" s="97"/>
      <c r="W743" s="97" t="s">
        <v>54</v>
      </c>
      <c r="X743" s="97"/>
      <c r="Y743" s="97"/>
      <c r="Z743" s="87"/>
      <c r="AA743" s="79" t="s">
        <v>292</v>
      </c>
      <c r="AB743" s="79" t="s">
        <v>37</v>
      </c>
      <c r="AC743" s="79" t="s">
        <v>37</v>
      </c>
      <c r="AD743" s="79"/>
      <c r="AE743" s="79"/>
      <c r="AF743" s="79"/>
      <c r="AG743" s="79"/>
      <c r="AH743" s="79"/>
      <c r="AI743" s="53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</row>
    <row r="744" spans="1:110" ht="20.399999999999999" x14ac:dyDescent="0.25">
      <c r="A744" s="24">
        <v>1408002</v>
      </c>
      <c r="B744" s="26" t="s">
        <v>956</v>
      </c>
      <c r="C744" s="25" t="s">
        <v>1205</v>
      </c>
      <c r="D744" s="26"/>
      <c r="E744" s="10" t="s">
        <v>966</v>
      </c>
      <c r="F744" s="10" t="s">
        <v>557</v>
      </c>
      <c r="G744" s="55" t="str">
        <f t="shared" si="17"/>
        <v>Obsolete</v>
      </c>
      <c r="H744" s="10"/>
      <c r="I744" s="13"/>
      <c r="J744" s="56"/>
      <c r="K744" s="57"/>
      <c r="M744" s="10"/>
      <c r="N744" s="10"/>
      <c r="O744" s="29"/>
      <c r="P744" s="29"/>
      <c r="Q744" s="29"/>
      <c r="R744" s="29"/>
      <c r="S744" s="29"/>
      <c r="T744" s="72"/>
      <c r="U744" s="97" t="s">
        <v>54</v>
      </c>
      <c r="V744" s="97"/>
      <c r="W744" s="97" t="s">
        <v>54</v>
      </c>
      <c r="X744" s="97"/>
      <c r="Y744" s="97"/>
      <c r="Z744" s="87"/>
      <c r="AA744" s="79" t="s">
        <v>966</v>
      </c>
      <c r="AB744" s="79" t="s">
        <v>37</v>
      </c>
      <c r="AC744" s="79" t="s">
        <v>37</v>
      </c>
      <c r="AD744" s="79"/>
      <c r="AE744" s="79"/>
      <c r="AF744" s="79"/>
      <c r="AG744" s="79"/>
      <c r="AH744" s="79"/>
      <c r="AI744" s="53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</row>
    <row r="745" spans="1:110" ht="13.8" x14ac:dyDescent="0.25">
      <c r="A745" s="24">
        <v>1409001</v>
      </c>
      <c r="B745" s="26" t="s">
        <v>956</v>
      </c>
      <c r="C745" s="25" t="s">
        <v>1206</v>
      </c>
      <c r="D745" s="26" t="s">
        <v>1087</v>
      </c>
      <c r="E745" s="10" t="s">
        <v>1043</v>
      </c>
      <c r="F745" s="10" t="s">
        <v>557</v>
      </c>
      <c r="G745" s="55" t="str">
        <f t="shared" si="17"/>
        <v>Obsolete</v>
      </c>
      <c r="H745" s="10"/>
      <c r="I745" s="13"/>
      <c r="J745" s="56"/>
      <c r="K745" s="57"/>
      <c r="M745" s="10"/>
      <c r="N745" s="10"/>
      <c r="O745" s="29"/>
      <c r="P745" s="29"/>
      <c r="Q745" s="29"/>
      <c r="R745" s="29"/>
      <c r="S745" s="29"/>
      <c r="T745" s="72"/>
      <c r="U745" s="97" t="s">
        <v>54</v>
      </c>
      <c r="V745" s="97"/>
      <c r="W745" s="97" t="s">
        <v>54</v>
      </c>
      <c r="X745" s="97"/>
      <c r="Y745" s="97"/>
      <c r="Z745" s="87"/>
      <c r="AA745" s="79"/>
      <c r="AB745" s="79" t="s">
        <v>37</v>
      </c>
      <c r="AC745" s="79" t="s">
        <v>37</v>
      </c>
      <c r="AD745" s="79"/>
      <c r="AE745" s="79" t="s">
        <v>1044</v>
      </c>
      <c r="AF745" s="79" t="s">
        <v>1045</v>
      </c>
      <c r="AG745" s="79" t="s">
        <v>1046</v>
      </c>
      <c r="AH745" s="79"/>
      <c r="AI745" s="53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</row>
    <row r="746" spans="1:110" ht="18" customHeight="1" x14ac:dyDescent="0.25">
      <c r="A746" s="24">
        <v>1409002</v>
      </c>
      <c r="B746" s="26" t="s">
        <v>956</v>
      </c>
      <c r="C746" s="25" t="s">
        <v>1207</v>
      </c>
      <c r="D746" s="26" t="s">
        <v>1087</v>
      </c>
      <c r="E746" s="10" t="s">
        <v>1043</v>
      </c>
      <c r="F746" s="10" t="s">
        <v>557</v>
      </c>
      <c r="G746" s="55" t="str">
        <f t="shared" si="17"/>
        <v>Obsolete</v>
      </c>
      <c r="H746" s="10"/>
      <c r="I746" s="13"/>
      <c r="J746" s="56"/>
      <c r="K746" s="57"/>
      <c r="M746" s="10"/>
      <c r="N746" s="10"/>
      <c r="O746" s="29"/>
      <c r="P746" s="29"/>
      <c r="Q746" s="29"/>
      <c r="R746" s="29"/>
      <c r="S746" s="29"/>
      <c r="T746" s="72"/>
      <c r="U746" s="97" t="s">
        <v>54</v>
      </c>
      <c r="V746" s="97"/>
      <c r="W746" s="97" t="s">
        <v>54</v>
      </c>
      <c r="X746" s="97"/>
      <c r="Y746" s="97"/>
      <c r="Z746" s="87"/>
      <c r="AA746" s="79"/>
      <c r="AB746" s="79" t="s">
        <v>37</v>
      </c>
      <c r="AC746" s="79" t="s">
        <v>37</v>
      </c>
      <c r="AD746" s="79"/>
      <c r="AE746" s="79" t="s">
        <v>1044</v>
      </c>
      <c r="AF746" s="79" t="s">
        <v>1045</v>
      </c>
      <c r="AG746" s="79" t="s">
        <v>1046</v>
      </c>
      <c r="AH746" s="79"/>
      <c r="AI746" s="53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</row>
    <row r="747" spans="1:110" ht="13.8" x14ac:dyDescent="0.25">
      <c r="A747" s="24">
        <v>1409003</v>
      </c>
      <c r="B747" s="26" t="s">
        <v>956</v>
      </c>
      <c r="C747" s="16" t="s">
        <v>1208</v>
      </c>
      <c r="D747" s="26" t="s">
        <v>1087</v>
      </c>
      <c r="E747" s="10" t="s">
        <v>1043</v>
      </c>
      <c r="F747" s="10" t="s">
        <v>557</v>
      </c>
      <c r="G747" s="55" t="str">
        <f t="shared" si="17"/>
        <v>Obsolete</v>
      </c>
      <c r="H747" s="10"/>
      <c r="I747" s="13"/>
      <c r="J747" s="56"/>
      <c r="K747" s="57"/>
      <c r="M747" s="10"/>
      <c r="N747" s="10"/>
      <c r="O747" s="29"/>
      <c r="P747" s="29"/>
      <c r="Q747" s="29"/>
      <c r="R747" s="29"/>
      <c r="S747" s="29"/>
      <c r="T747" s="72"/>
      <c r="U747" s="97" t="s">
        <v>54</v>
      </c>
      <c r="V747" s="97"/>
      <c r="W747" s="97" t="s">
        <v>54</v>
      </c>
      <c r="X747" s="97"/>
      <c r="Y747" s="97"/>
      <c r="Z747" s="87"/>
      <c r="AA747" s="79" t="s">
        <v>64</v>
      </c>
      <c r="AB747" s="79" t="s">
        <v>37</v>
      </c>
      <c r="AC747" s="79" t="s">
        <v>37</v>
      </c>
      <c r="AD747" s="79"/>
      <c r="AE747" s="79" t="s">
        <v>1044</v>
      </c>
      <c r="AF747" s="79" t="s">
        <v>1045</v>
      </c>
      <c r="AG747" s="79" t="s">
        <v>1046</v>
      </c>
      <c r="AH747" s="79"/>
      <c r="AI747" s="53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</row>
    <row r="748" spans="1:110" ht="13.8" x14ac:dyDescent="0.25">
      <c r="A748" s="24">
        <v>1409004</v>
      </c>
      <c r="B748" s="26" t="s">
        <v>956</v>
      </c>
      <c r="C748" s="16" t="s">
        <v>1209</v>
      </c>
      <c r="D748" s="26" t="s">
        <v>1087</v>
      </c>
      <c r="E748" s="17" t="s">
        <v>57</v>
      </c>
      <c r="F748" s="10" t="s">
        <v>557</v>
      </c>
      <c r="G748" s="55" t="str">
        <f t="shared" si="17"/>
        <v>Obsolete</v>
      </c>
      <c r="H748" s="10"/>
      <c r="I748" s="13"/>
      <c r="J748" s="56"/>
      <c r="K748" s="57"/>
      <c r="M748" s="10"/>
      <c r="N748" s="10"/>
      <c r="O748" s="29"/>
      <c r="P748" s="29"/>
      <c r="Q748" s="29"/>
      <c r="R748" s="29"/>
      <c r="S748" s="29"/>
      <c r="T748" s="72"/>
      <c r="U748" s="97" t="s">
        <v>54</v>
      </c>
      <c r="V748" s="97"/>
      <c r="W748" s="97" t="s">
        <v>54</v>
      </c>
      <c r="X748" s="97"/>
      <c r="Y748" s="97"/>
      <c r="Z748" s="87"/>
      <c r="AA748" s="79"/>
      <c r="AB748" s="79" t="s">
        <v>37</v>
      </c>
      <c r="AC748" s="79" t="s">
        <v>37</v>
      </c>
      <c r="AD748" s="79"/>
      <c r="AE748" s="79"/>
      <c r="AF748" s="79"/>
      <c r="AG748" s="79"/>
      <c r="AH748" s="79"/>
      <c r="AI748" s="53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</row>
    <row r="749" spans="1:110" ht="13.8" x14ac:dyDescent="0.25">
      <c r="A749" s="24">
        <v>1409005</v>
      </c>
      <c r="B749" s="26" t="s">
        <v>956</v>
      </c>
      <c r="C749" s="16" t="s">
        <v>1210</v>
      </c>
      <c r="D749" s="26"/>
      <c r="E749" s="17" t="s">
        <v>57</v>
      </c>
      <c r="F749" s="10" t="s">
        <v>557</v>
      </c>
      <c r="G749" s="55" t="str">
        <f t="shared" si="17"/>
        <v>Obsolete</v>
      </c>
      <c r="H749" s="10"/>
      <c r="I749" s="13"/>
      <c r="J749" s="56"/>
      <c r="K749" s="57"/>
      <c r="M749" s="10"/>
      <c r="N749" s="10"/>
      <c r="O749" s="29"/>
      <c r="P749" s="29"/>
      <c r="Q749" s="29"/>
      <c r="R749" s="29"/>
      <c r="S749" s="29"/>
      <c r="T749" s="72"/>
      <c r="U749" s="97" t="s">
        <v>54</v>
      </c>
      <c r="V749" s="97"/>
      <c r="W749" s="97" t="s">
        <v>54</v>
      </c>
      <c r="X749" s="97"/>
      <c r="Y749" s="97"/>
      <c r="Z749" s="87"/>
      <c r="AA749" s="79"/>
      <c r="AB749" s="79" t="s">
        <v>37</v>
      </c>
      <c r="AC749" s="79" t="s">
        <v>37</v>
      </c>
      <c r="AD749" s="79"/>
      <c r="AE749" s="79"/>
      <c r="AF749" s="79"/>
      <c r="AG749" s="79"/>
      <c r="AH749" s="79"/>
      <c r="AI749" s="53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</row>
    <row r="750" spans="1:110" ht="20.399999999999999" x14ac:dyDescent="0.25">
      <c r="A750" s="10">
        <v>1501001</v>
      </c>
      <c r="B750" s="11" t="s">
        <v>1211</v>
      </c>
      <c r="C750" s="25" t="s">
        <v>1212</v>
      </c>
      <c r="D750" s="11"/>
      <c r="E750" s="10" t="s">
        <v>1213</v>
      </c>
      <c r="F750" s="10" t="s">
        <v>557</v>
      </c>
      <c r="G750" s="55">
        <v>1.06</v>
      </c>
      <c r="H750" s="10">
        <v>1</v>
      </c>
      <c r="I750" s="13">
        <v>500</v>
      </c>
      <c r="J750" s="56">
        <v>44414</v>
      </c>
      <c r="K750" s="57">
        <v>0.90700000000000003</v>
      </c>
      <c r="M750" s="14"/>
      <c r="N750" s="14"/>
      <c r="O750" s="14"/>
      <c r="P750" s="14"/>
      <c r="Q750" s="14"/>
      <c r="R750" s="14"/>
      <c r="S750" s="14"/>
      <c r="T750" s="70"/>
      <c r="U750" s="76">
        <v>1.06</v>
      </c>
      <c r="V750" s="76">
        <v>0</v>
      </c>
      <c r="W750" s="76">
        <v>1.06</v>
      </c>
      <c r="X750" s="76">
        <v>0</v>
      </c>
      <c r="Y750" s="77" t="s">
        <v>37</v>
      </c>
      <c r="Z750" s="78">
        <v>10</v>
      </c>
      <c r="AA750" s="79" t="s">
        <v>1214</v>
      </c>
      <c r="AB750" s="79" t="s">
        <v>35</v>
      </c>
      <c r="AC750" s="79" t="s">
        <v>37</v>
      </c>
      <c r="AD750" s="79" t="s">
        <v>38</v>
      </c>
      <c r="AE750" s="79" t="s">
        <v>1511</v>
      </c>
      <c r="AF750" s="79" t="s">
        <v>1512</v>
      </c>
      <c r="AG750" s="81" t="s">
        <v>1278</v>
      </c>
      <c r="AH750" s="94"/>
      <c r="AI750" s="53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</row>
    <row r="751" spans="1:110" ht="20.399999999999999" x14ac:dyDescent="0.25">
      <c r="A751" s="10">
        <v>1501002</v>
      </c>
      <c r="B751" s="11" t="s">
        <v>1211</v>
      </c>
      <c r="C751" s="25" t="s">
        <v>1218</v>
      </c>
      <c r="D751" s="11"/>
      <c r="E751" s="10" t="s">
        <v>1213</v>
      </c>
      <c r="F751" s="10" t="s">
        <v>557</v>
      </c>
      <c r="G751" s="55">
        <v>0.11</v>
      </c>
      <c r="H751" s="10">
        <v>1</v>
      </c>
      <c r="I751" s="13">
        <v>2500</v>
      </c>
      <c r="J751" s="56">
        <v>44414</v>
      </c>
      <c r="K751" s="57">
        <v>9.7000000000000003E-2</v>
      </c>
      <c r="M751" s="14"/>
      <c r="N751" s="14"/>
      <c r="O751" s="14"/>
      <c r="P751" s="14"/>
      <c r="Q751" s="14"/>
      <c r="R751" s="14"/>
      <c r="S751" s="14"/>
      <c r="T751" s="70"/>
      <c r="U751" s="76">
        <v>0.11</v>
      </c>
      <c r="V751" s="76">
        <v>0</v>
      </c>
      <c r="W751" s="76">
        <v>0.11</v>
      </c>
      <c r="X751" s="76">
        <v>0</v>
      </c>
      <c r="Y751" s="77" t="s">
        <v>37</v>
      </c>
      <c r="Z751" s="78">
        <v>50</v>
      </c>
      <c r="AA751" s="79" t="s">
        <v>1214</v>
      </c>
      <c r="AB751" s="79" t="s">
        <v>35</v>
      </c>
      <c r="AC751" s="79" t="s">
        <v>37</v>
      </c>
      <c r="AD751" s="79" t="s">
        <v>38</v>
      </c>
      <c r="AE751" s="79" t="s">
        <v>1511</v>
      </c>
      <c r="AF751" s="79" t="s">
        <v>1512</v>
      </c>
      <c r="AG751" s="81" t="s">
        <v>1278</v>
      </c>
      <c r="AH751" s="79"/>
      <c r="AI751" s="53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</row>
    <row r="752" spans="1:110" ht="13.8" x14ac:dyDescent="0.25">
      <c r="A752" s="10">
        <v>1501003</v>
      </c>
      <c r="B752" s="11" t="s">
        <v>1211</v>
      </c>
      <c r="C752" s="12" t="s">
        <v>1219</v>
      </c>
      <c r="D752" s="11"/>
      <c r="E752" s="17" t="s">
        <v>57</v>
      </c>
      <c r="F752" s="10" t="s">
        <v>557</v>
      </c>
      <c r="G752" s="55" t="str">
        <f t="shared" si="17"/>
        <v>Obsolete</v>
      </c>
      <c r="H752" s="10"/>
      <c r="I752" s="13"/>
      <c r="J752" s="56"/>
      <c r="K752" s="57"/>
      <c r="M752" s="10"/>
      <c r="N752" s="10"/>
      <c r="O752" s="29"/>
      <c r="P752" s="29"/>
      <c r="Q752" s="29"/>
      <c r="R752" s="29"/>
      <c r="S752" s="29"/>
      <c r="T752" s="72"/>
      <c r="U752" s="97" t="s">
        <v>54</v>
      </c>
      <c r="V752" s="97"/>
      <c r="W752" s="97" t="s">
        <v>54</v>
      </c>
      <c r="X752" s="97"/>
      <c r="Y752" s="97"/>
      <c r="Z752" s="78"/>
      <c r="AA752" s="79"/>
      <c r="AB752" s="79" t="s">
        <v>37</v>
      </c>
      <c r="AC752" s="79" t="s">
        <v>37</v>
      </c>
      <c r="AD752" s="79"/>
      <c r="AE752" s="79"/>
      <c r="AF752" s="79"/>
      <c r="AG752" s="79"/>
      <c r="AH752" s="79"/>
      <c r="AI752" s="53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</row>
    <row r="753" spans="1:110" ht="13.8" x14ac:dyDescent="0.25">
      <c r="A753" s="10">
        <v>1501004</v>
      </c>
      <c r="B753" s="11" t="s">
        <v>1211</v>
      </c>
      <c r="C753" s="12" t="s">
        <v>1220</v>
      </c>
      <c r="D753" s="11"/>
      <c r="E753" s="10" t="s">
        <v>1221</v>
      </c>
      <c r="F753" s="10" t="s">
        <v>557</v>
      </c>
      <c r="G753" s="55" t="str">
        <f t="shared" si="17"/>
        <v>Obsolete</v>
      </c>
      <c r="H753" s="10">
        <v>1</v>
      </c>
      <c r="I753" s="13"/>
      <c r="J753" s="56"/>
      <c r="K753" s="57"/>
      <c r="M753" s="10"/>
      <c r="N753" s="10"/>
      <c r="O753" s="29"/>
      <c r="P753" s="29"/>
      <c r="Q753" s="29"/>
      <c r="R753" s="29"/>
      <c r="S753" s="29"/>
      <c r="T753" s="72"/>
      <c r="U753" s="97" t="s">
        <v>54</v>
      </c>
      <c r="V753" s="97"/>
      <c r="W753" s="97" t="s">
        <v>54</v>
      </c>
      <c r="X753" s="97"/>
      <c r="Y753" s="97"/>
      <c r="Z753" s="78"/>
      <c r="AA753" s="79" t="s">
        <v>55</v>
      </c>
      <c r="AB753" s="79" t="s">
        <v>37</v>
      </c>
      <c r="AC753" s="79" t="s">
        <v>37</v>
      </c>
      <c r="AD753" s="79"/>
      <c r="AE753" s="79"/>
      <c r="AF753" s="79"/>
      <c r="AG753" s="79"/>
      <c r="AH753" s="79"/>
      <c r="AI753" s="53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</row>
    <row r="754" spans="1:110" ht="13.8" x14ac:dyDescent="0.25">
      <c r="A754" s="10">
        <v>1501005</v>
      </c>
      <c r="B754" s="11" t="s">
        <v>1211</v>
      </c>
      <c r="C754" s="12" t="s">
        <v>1222</v>
      </c>
      <c r="D754" s="11"/>
      <c r="E754" s="10" t="s">
        <v>1221</v>
      </c>
      <c r="F754" s="10" t="s">
        <v>557</v>
      </c>
      <c r="G754" s="55" t="str">
        <f t="shared" si="17"/>
        <v>Obsolete</v>
      </c>
      <c r="H754" s="10">
        <v>1</v>
      </c>
      <c r="I754" s="13"/>
      <c r="J754" s="56"/>
      <c r="K754" s="57"/>
      <c r="M754" s="10"/>
      <c r="N754" s="10"/>
      <c r="O754" s="29"/>
      <c r="P754" s="29"/>
      <c r="Q754" s="29"/>
      <c r="R754" s="29"/>
      <c r="S754" s="29"/>
      <c r="T754" s="72"/>
      <c r="U754" s="97" t="s">
        <v>54</v>
      </c>
      <c r="V754" s="97"/>
      <c r="W754" s="97" t="s">
        <v>54</v>
      </c>
      <c r="X754" s="97"/>
      <c r="Y754" s="97"/>
      <c r="Z754" s="78"/>
      <c r="AA754" s="79" t="s">
        <v>55</v>
      </c>
      <c r="AB754" s="79" t="s">
        <v>37</v>
      </c>
      <c r="AC754" s="79" t="s">
        <v>37</v>
      </c>
      <c r="AD754" s="79"/>
      <c r="AE754" s="79"/>
      <c r="AF754" s="79"/>
      <c r="AG754" s="79"/>
      <c r="AH754" s="79"/>
      <c r="AI754" s="53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</row>
    <row r="755" spans="1:110" ht="13.8" x14ac:dyDescent="0.25">
      <c r="A755" s="10">
        <v>1501006</v>
      </c>
      <c r="B755" s="11" t="s">
        <v>1211</v>
      </c>
      <c r="C755" s="12" t="s">
        <v>1223</v>
      </c>
      <c r="D755" s="11"/>
      <c r="E755" s="10" t="s">
        <v>1224</v>
      </c>
      <c r="F755" s="10" t="s">
        <v>557</v>
      </c>
      <c r="G755" s="55" t="str">
        <f t="shared" si="17"/>
        <v>Obsolete</v>
      </c>
      <c r="H755" s="10">
        <v>1</v>
      </c>
      <c r="I755" s="13"/>
      <c r="J755" s="56"/>
      <c r="K755" s="57"/>
      <c r="M755" s="10"/>
      <c r="N755" s="10"/>
      <c r="O755" s="29"/>
      <c r="P755" s="29"/>
      <c r="Q755" s="29"/>
      <c r="R755" s="29"/>
      <c r="S755" s="29"/>
      <c r="T755" s="72"/>
      <c r="U755" s="97" t="s">
        <v>54</v>
      </c>
      <c r="V755" s="97"/>
      <c r="W755" s="97" t="s">
        <v>54</v>
      </c>
      <c r="X755" s="97"/>
      <c r="Y755" s="97"/>
      <c r="Z755" s="78"/>
      <c r="AA755" s="79" t="s">
        <v>382</v>
      </c>
      <c r="AB755" s="79" t="s">
        <v>37</v>
      </c>
      <c r="AC755" s="79" t="s">
        <v>37</v>
      </c>
      <c r="AD755" s="79"/>
      <c r="AE755" s="79" t="s">
        <v>1225</v>
      </c>
      <c r="AF755" s="79" t="s">
        <v>1226</v>
      </c>
      <c r="AG755" s="79" t="s">
        <v>1227</v>
      </c>
      <c r="AH755" s="79"/>
      <c r="AI755" s="53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</row>
    <row r="756" spans="1:110" ht="20.399999999999999" x14ac:dyDescent="0.25">
      <c r="A756" s="24">
        <v>1501007</v>
      </c>
      <c r="B756" s="11" t="s">
        <v>1211</v>
      </c>
      <c r="C756" s="25" t="s">
        <v>1228</v>
      </c>
      <c r="D756" s="26"/>
      <c r="E756" s="10" t="s">
        <v>1221</v>
      </c>
      <c r="F756" s="10" t="s">
        <v>557</v>
      </c>
      <c r="G756" s="55" t="str">
        <f t="shared" si="17"/>
        <v>Obsolete</v>
      </c>
      <c r="H756" s="10">
        <v>1</v>
      </c>
      <c r="I756" s="13">
        <v>1500</v>
      </c>
      <c r="J756" s="56"/>
      <c r="K756" s="57"/>
      <c r="M756" s="10"/>
      <c r="N756" s="10"/>
      <c r="O756" s="29"/>
      <c r="P756" s="29"/>
      <c r="Q756" s="29"/>
      <c r="R756" s="29"/>
      <c r="S756" s="29"/>
      <c r="T756" s="72"/>
      <c r="U756" s="97" t="s">
        <v>54</v>
      </c>
      <c r="V756" s="97"/>
      <c r="W756" s="97" t="s">
        <v>54</v>
      </c>
      <c r="X756" s="97"/>
      <c r="Y756" s="97"/>
      <c r="Z756" s="87"/>
      <c r="AA756" s="79" t="s">
        <v>292</v>
      </c>
      <c r="AB756" s="79" t="s">
        <v>37</v>
      </c>
      <c r="AC756" s="79" t="s">
        <v>37</v>
      </c>
      <c r="AD756" s="79"/>
      <c r="AE756" s="79"/>
      <c r="AF756" s="79"/>
      <c r="AG756" s="79"/>
      <c r="AH756" s="79"/>
      <c r="AI756" s="53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</row>
    <row r="757" spans="1:110" ht="13.8" x14ac:dyDescent="0.25">
      <c r="A757" s="24">
        <v>1501008</v>
      </c>
      <c r="B757" s="26" t="s">
        <v>1229</v>
      </c>
      <c r="C757" s="25" t="s">
        <v>1230</v>
      </c>
      <c r="D757" s="26"/>
      <c r="E757" s="10" t="s">
        <v>1231</v>
      </c>
      <c r="F757" s="10" t="s">
        <v>557</v>
      </c>
      <c r="G757" s="55">
        <f t="shared" si="17"/>
        <v>1.3100000000000001E-2</v>
      </c>
      <c r="H757" s="10">
        <v>1</v>
      </c>
      <c r="I757" s="13">
        <v>1000</v>
      </c>
      <c r="J757" s="56"/>
      <c r="K757" s="57"/>
      <c r="M757" s="14"/>
      <c r="N757" s="14"/>
      <c r="O757" s="14"/>
      <c r="P757" s="14"/>
      <c r="Q757" s="14"/>
      <c r="R757" s="14"/>
      <c r="S757" s="14"/>
      <c r="T757" s="70"/>
      <c r="U757" s="76">
        <v>1.3100000000000001E-2</v>
      </c>
      <c r="V757" s="76">
        <v>0</v>
      </c>
      <c r="W757" s="76">
        <v>1.3100000000000001E-2</v>
      </c>
      <c r="X757" s="76">
        <v>0</v>
      </c>
      <c r="Y757" s="77" t="s">
        <v>37</v>
      </c>
      <c r="Z757" s="98">
        <v>1000</v>
      </c>
      <c r="AA757" s="79" t="s">
        <v>234</v>
      </c>
      <c r="AB757" s="79" t="s">
        <v>35</v>
      </c>
      <c r="AC757" s="79" t="s">
        <v>37</v>
      </c>
      <c r="AD757" s="79" t="s">
        <v>38</v>
      </c>
      <c r="AE757" s="79" t="s">
        <v>1232</v>
      </c>
      <c r="AF757" s="79" t="s">
        <v>1233</v>
      </c>
      <c r="AG757" s="105" t="s">
        <v>1234</v>
      </c>
      <c r="AH757" s="79"/>
      <c r="AI757" s="53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</row>
    <row r="758" spans="1:110" ht="20.399999999999999" x14ac:dyDescent="0.25">
      <c r="A758" s="24">
        <v>1501009</v>
      </c>
      <c r="B758" s="11" t="s">
        <v>1211</v>
      </c>
      <c r="C758" s="25" t="s">
        <v>1235</v>
      </c>
      <c r="D758" s="26"/>
      <c r="E758" s="10" t="s">
        <v>1221</v>
      </c>
      <c r="F758" s="10" t="s">
        <v>557</v>
      </c>
      <c r="G758" s="55" t="str">
        <f t="shared" si="17"/>
        <v>Obsolete</v>
      </c>
      <c r="H758" s="10"/>
      <c r="I758" s="13"/>
      <c r="J758" s="56"/>
      <c r="K758" s="57"/>
      <c r="M758" s="10"/>
      <c r="N758" s="10"/>
      <c r="O758" s="29"/>
      <c r="P758" s="29"/>
      <c r="Q758" s="29"/>
      <c r="R758" s="29"/>
      <c r="S758" s="29"/>
      <c r="T758" s="72"/>
      <c r="U758" s="97" t="s">
        <v>54</v>
      </c>
      <c r="V758" s="97"/>
      <c r="W758" s="97" t="s">
        <v>54</v>
      </c>
      <c r="X758" s="97"/>
      <c r="Y758" s="97"/>
      <c r="Z758" s="87"/>
      <c r="AA758" s="79" t="s">
        <v>1236</v>
      </c>
      <c r="AB758" s="79" t="s">
        <v>37</v>
      </c>
      <c r="AC758" s="79" t="s">
        <v>37</v>
      </c>
      <c r="AD758" s="79"/>
      <c r="AE758" s="79"/>
      <c r="AF758" s="79"/>
      <c r="AG758" s="79"/>
      <c r="AH758" s="79"/>
      <c r="AI758" s="53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</row>
    <row r="759" spans="1:110" ht="30.6" x14ac:dyDescent="0.25">
      <c r="A759" s="10">
        <v>1501010</v>
      </c>
      <c r="B759" s="11" t="s">
        <v>940</v>
      </c>
      <c r="C759" s="25" t="s">
        <v>1237</v>
      </c>
      <c r="D759" s="11"/>
      <c r="E759" s="10" t="s">
        <v>946</v>
      </c>
      <c r="F759" s="10" t="s">
        <v>557</v>
      </c>
      <c r="G759" s="55">
        <f t="shared" si="17"/>
        <v>6.9600000000000009E-2</v>
      </c>
      <c r="H759" s="10">
        <v>4</v>
      </c>
      <c r="I759" s="13">
        <v>25000</v>
      </c>
      <c r="J759" s="56"/>
      <c r="K759" s="57"/>
      <c r="M759" s="14"/>
      <c r="N759" s="14"/>
      <c r="O759" s="14"/>
      <c r="P759" s="14"/>
      <c r="Q759" s="14"/>
      <c r="R759" s="14"/>
      <c r="S759" s="14"/>
      <c r="T759" s="70"/>
      <c r="U759" s="76">
        <v>6.6500000000000004E-2</v>
      </c>
      <c r="V759" s="76">
        <v>3.0999999999999999E-3</v>
      </c>
      <c r="W759" s="76">
        <v>6.6500000000000004E-2</v>
      </c>
      <c r="X759" s="76">
        <v>3.0999999999999999E-3</v>
      </c>
      <c r="Y759" s="110"/>
      <c r="Z759" s="78"/>
      <c r="AA759" s="79" t="s">
        <v>36</v>
      </c>
      <c r="AB759" s="79" t="s">
        <v>35</v>
      </c>
      <c r="AC759" s="79" t="s">
        <v>37</v>
      </c>
      <c r="AD759" s="79" t="s">
        <v>38</v>
      </c>
      <c r="AE759" s="79" t="s">
        <v>947</v>
      </c>
      <c r="AF759" s="94" t="s">
        <v>948</v>
      </c>
      <c r="AG759" s="79" t="s">
        <v>949</v>
      </c>
      <c r="AH759" s="79"/>
      <c r="AI759" s="53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</row>
    <row r="760" spans="1:110" ht="13.8" x14ac:dyDescent="0.25">
      <c r="A760" s="10">
        <v>1501012</v>
      </c>
      <c r="B760" s="11" t="s">
        <v>940</v>
      </c>
      <c r="C760" s="12" t="s">
        <v>1238</v>
      </c>
      <c r="D760" s="11"/>
      <c r="E760" s="10" t="s">
        <v>951</v>
      </c>
      <c r="F760" s="10" t="s">
        <v>557</v>
      </c>
      <c r="G760" s="55">
        <f t="shared" si="17"/>
        <v>7.2059639999999994E-2</v>
      </c>
      <c r="H760" s="10">
        <v>3</v>
      </c>
      <c r="I760" s="13">
        <v>14000</v>
      </c>
      <c r="J760" s="56"/>
      <c r="K760" s="57"/>
      <c r="M760" s="14"/>
      <c r="N760" s="14"/>
      <c r="O760" s="14"/>
      <c r="P760" s="14"/>
      <c r="Q760" s="14"/>
      <c r="R760" s="14"/>
      <c r="S760" s="14"/>
      <c r="T760" s="70"/>
      <c r="U760" s="76">
        <v>7.1499999999999994E-2</v>
      </c>
      <c r="V760" s="76">
        <v>5.5964000000000003E-4</v>
      </c>
      <c r="W760" s="76">
        <v>7.1499999999999994E-2</v>
      </c>
      <c r="X760" s="76">
        <v>5.5964000000000003E-4</v>
      </c>
      <c r="Y760" s="110" t="s">
        <v>37</v>
      </c>
      <c r="Z760" s="78">
        <v>14000</v>
      </c>
      <c r="AA760" s="79" t="s">
        <v>36</v>
      </c>
      <c r="AB760" s="79" t="s">
        <v>35</v>
      </c>
      <c r="AC760" s="79" t="s">
        <v>37</v>
      </c>
      <c r="AD760" s="79" t="s">
        <v>38</v>
      </c>
      <c r="AE760" s="79" t="s">
        <v>1239</v>
      </c>
      <c r="AF760" s="79" t="s">
        <v>1240</v>
      </c>
      <c r="AG760" s="79" t="s">
        <v>1241</v>
      </c>
      <c r="AH760" s="79"/>
      <c r="AI760" s="53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</row>
    <row r="761" spans="1:110" ht="20.399999999999999" x14ac:dyDescent="0.25">
      <c r="A761" s="10">
        <v>1501015</v>
      </c>
      <c r="B761" s="11" t="s">
        <v>940</v>
      </c>
      <c r="C761" s="25" t="s">
        <v>1242</v>
      </c>
      <c r="D761" s="11"/>
      <c r="E761" s="10" t="s">
        <v>946</v>
      </c>
      <c r="F761" s="10" t="s">
        <v>557</v>
      </c>
      <c r="G761" s="55" t="str">
        <f t="shared" ref="G761:G808" si="18">IF(U761="Obsolete",U761,U761+V761)</f>
        <v>Obsolete</v>
      </c>
      <c r="H761" s="10">
        <v>5</v>
      </c>
      <c r="I761" s="13">
        <v>100000</v>
      </c>
      <c r="J761" s="56"/>
      <c r="K761" s="57"/>
      <c r="M761" s="14"/>
      <c r="N761" s="14"/>
      <c r="O761" s="14"/>
      <c r="P761" s="14"/>
      <c r="Q761" s="14"/>
      <c r="R761" s="14"/>
      <c r="S761" s="14"/>
      <c r="T761" s="70"/>
      <c r="U761" s="76" t="s">
        <v>54</v>
      </c>
      <c r="V761" s="76">
        <v>3.0999999999999999E-3</v>
      </c>
      <c r="W761" s="76" t="s">
        <v>54</v>
      </c>
      <c r="X761" s="76">
        <v>3.0999999999999999E-3</v>
      </c>
      <c r="Y761" s="110"/>
      <c r="Z761" s="78"/>
      <c r="AA761" s="79" t="s">
        <v>36</v>
      </c>
      <c r="AB761" s="79" t="s">
        <v>37</v>
      </c>
      <c r="AC761" s="79" t="s">
        <v>37</v>
      </c>
      <c r="AD761" s="79" t="s">
        <v>38</v>
      </c>
      <c r="AE761" s="79" t="s">
        <v>947</v>
      </c>
      <c r="AF761" s="94" t="s">
        <v>948</v>
      </c>
      <c r="AG761" s="79" t="s">
        <v>949</v>
      </c>
      <c r="AH761" s="79"/>
      <c r="AI761" s="53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</row>
    <row r="762" spans="1:110" ht="13.8" x14ac:dyDescent="0.25">
      <c r="A762" s="125">
        <v>1501018</v>
      </c>
      <c r="B762" s="11" t="s">
        <v>940</v>
      </c>
      <c r="C762" s="12" t="s">
        <v>1243</v>
      </c>
      <c r="D762" s="11"/>
      <c r="E762" s="10" t="s">
        <v>1244</v>
      </c>
      <c r="F762" s="10" t="s">
        <v>557</v>
      </c>
      <c r="G762" s="55">
        <f t="shared" si="18"/>
        <v>5.7519476923077002E-3</v>
      </c>
      <c r="H762" s="10">
        <v>2</v>
      </c>
      <c r="I762" s="13">
        <v>57200</v>
      </c>
      <c r="J762" s="56">
        <v>44616</v>
      </c>
      <c r="K762" s="57">
        <v>5.5999999999999999E-3</v>
      </c>
      <c r="M762" s="14"/>
      <c r="N762" s="14"/>
      <c r="O762" s="14"/>
      <c r="P762" s="14"/>
      <c r="Q762" s="14"/>
      <c r="R762" s="14"/>
      <c r="S762" s="14"/>
      <c r="T762" s="70"/>
      <c r="U762" s="76">
        <v>5.1923076923077001E-3</v>
      </c>
      <c r="V762" s="76">
        <v>5.5964000000000003E-4</v>
      </c>
      <c r="W762" s="76">
        <v>5.1923076923077001E-3</v>
      </c>
      <c r="X762" s="76">
        <v>5.5964000000000003E-4</v>
      </c>
      <c r="Y762" s="77" t="s">
        <v>37</v>
      </c>
      <c r="Z762" s="78">
        <v>4400</v>
      </c>
      <c r="AA762" s="79" t="s">
        <v>36</v>
      </c>
      <c r="AB762" s="79" t="s">
        <v>35</v>
      </c>
      <c r="AC762" s="79" t="s">
        <v>37</v>
      </c>
      <c r="AD762" s="79" t="s">
        <v>38</v>
      </c>
      <c r="AE762" s="79" t="s">
        <v>1245</v>
      </c>
      <c r="AF762" s="79" t="s">
        <v>1246</v>
      </c>
      <c r="AG762" s="105" t="s">
        <v>1247</v>
      </c>
      <c r="AH762" s="79"/>
      <c r="AI762" s="53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</row>
    <row r="763" spans="1:110" ht="30.6" x14ac:dyDescent="0.25">
      <c r="A763" s="10">
        <v>1501019</v>
      </c>
      <c r="B763" s="11" t="s">
        <v>940</v>
      </c>
      <c r="C763" s="25" t="s">
        <v>1248</v>
      </c>
      <c r="D763" s="11"/>
      <c r="E763" s="10" t="s">
        <v>946</v>
      </c>
      <c r="F763" s="10" t="s">
        <v>557</v>
      </c>
      <c r="G763" s="55" t="str">
        <f t="shared" si="18"/>
        <v>Obsolete</v>
      </c>
      <c r="H763" s="10">
        <v>4</v>
      </c>
      <c r="I763" s="13">
        <v>100000</v>
      </c>
      <c r="J763" s="56"/>
      <c r="K763" s="57"/>
      <c r="M763" s="14"/>
      <c r="N763" s="14"/>
      <c r="O763" s="14"/>
      <c r="P763" s="14"/>
      <c r="Q763" s="14"/>
      <c r="R763" s="14"/>
      <c r="S763" s="14"/>
      <c r="T763" s="70"/>
      <c r="U763" s="76" t="s">
        <v>54</v>
      </c>
      <c r="V763" s="76">
        <v>3.0999999999999999E-3</v>
      </c>
      <c r="W763" s="76" t="s">
        <v>54</v>
      </c>
      <c r="X763" s="76">
        <v>3.0999999999999999E-3</v>
      </c>
      <c r="Y763" s="110"/>
      <c r="Z763" s="78"/>
      <c r="AA763" s="79" t="s">
        <v>36</v>
      </c>
      <c r="AB763" s="79" t="s">
        <v>37</v>
      </c>
      <c r="AC763" s="79" t="s">
        <v>37</v>
      </c>
      <c r="AD763" s="79" t="s">
        <v>38</v>
      </c>
      <c r="AE763" s="79" t="s">
        <v>947</v>
      </c>
      <c r="AF763" s="94" t="s">
        <v>948</v>
      </c>
      <c r="AG763" s="79" t="s">
        <v>949</v>
      </c>
      <c r="AH763" s="79"/>
      <c r="AI763" s="53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</row>
    <row r="764" spans="1:110" ht="30.6" x14ac:dyDescent="0.25">
      <c r="A764" s="10">
        <v>1501020</v>
      </c>
      <c r="B764" s="11" t="s">
        <v>940</v>
      </c>
      <c r="C764" s="25" t="s">
        <v>1249</v>
      </c>
      <c r="D764" s="11"/>
      <c r="E764" s="10" t="s">
        <v>946</v>
      </c>
      <c r="F764" s="10" t="s">
        <v>557</v>
      </c>
      <c r="G764" s="55">
        <f t="shared" si="18"/>
        <v>6.9600000000000009E-2</v>
      </c>
      <c r="H764" s="10">
        <v>4</v>
      </c>
      <c r="I764" s="13">
        <v>25000</v>
      </c>
      <c r="J764" s="56"/>
      <c r="K764" s="57"/>
      <c r="M764" s="14"/>
      <c r="N764" s="14"/>
      <c r="O764" s="14"/>
      <c r="P764" s="14"/>
      <c r="Q764" s="14"/>
      <c r="R764" s="14"/>
      <c r="S764" s="14"/>
      <c r="T764" s="70"/>
      <c r="U764" s="76">
        <v>6.6500000000000004E-2</v>
      </c>
      <c r="V764" s="76">
        <v>3.0999999999999999E-3</v>
      </c>
      <c r="W764" s="76">
        <v>6.6500000000000004E-2</v>
      </c>
      <c r="X764" s="76">
        <v>3.0999999999999999E-3</v>
      </c>
      <c r="Y764" s="110"/>
      <c r="Z764" s="78"/>
      <c r="AA764" s="79" t="s">
        <v>36</v>
      </c>
      <c r="AB764" s="79" t="s">
        <v>35</v>
      </c>
      <c r="AC764" s="79" t="s">
        <v>37</v>
      </c>
      <c r="AD764" s="79" t="s">
        <v>38</v>
      </c>
      <c r="AE764" s="79" t="s">
        <v>947</v>
      </c>
      <c r="AF764" s="94" t="s">
        <v>948</v>
      </c>
      <c r="AG764" s="79" t="s">
        <v>949</v>
      </c>
      <c r="AH764" s="79"/>
      <c r="AI764" s="53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</row>
    <row r="765" spans="1:110" ht="13.8" x14ac:dyDescent="0.25">
      <c r="A765" s="10">
        <v>1501021</v>
      </c>
      <c r="B765" s="11" t="s">
        <v>1211</v>
      </c>
      <c r="C765" s="12" t="s">
        <v>1250</v>
      </c>
      <c r="D765" s="11"/>
      <c r="E765" s="10" t="s">
        <v>1224</v>
      </c>
      <c r="F765" s="10" t="s">
        <v>557</v>
      </c>
      <c r="G765" s="55" t="str">
        <f t="shared" si="18"/>
        <v>Obsolete</v>
      </c>
      <c r="H765" s="10"/>
      <c r="I765" s="13"/>
      <c r="J765" s="56"/>
      <c r="K765" s="57"/>
      <c r="M765" s="10"/>
      <c r="N765" s="10"/>
      <c r="O765" s="29"/>
      <c r="P765" s="29"/>
      <c r="Q765" s="29"/>
      <c r="R765" s="29"/>
      <c r="S765" s="29"/>
      <c r="T765" s="72"/>
      <c r="U765" s="97" t="s">
        <v>54</v>
      </c>
      <c r="V765" s="97"/>
      <c r="W765" s="97" t="s">
        <v>54</v>
      </c>
      <c r="X765" s="97"/>
      <c r="Y765" s="97"/>
      <c r="Z765" s="78"/>
      <c r="AA765" s="79" t="s">
        <v>1251</v>
      </c>
      <c r="AB765" s="79" t="s">
        <v>37</v>
      </c>
      <c r="AC765" s="79" t="s">
        <v>37</v>
      </c>
      <c r="AD765" s="79"/>
      <c r="AE765" s="79" t="s">
        <v>1225</v>
      </c>
      <c r="AF765" s="79" t="s">
        <v>1226</v>
      </c>
      <c r="AG765" s="79" t="s">
        <v>1227</v>
      </c>
      <c r="AH765" s="79"/>
      <c r="AI765" s="53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</row>
    <row r="766" spans="1:110" ht="13.8" x14ac:dyDescent="0.25">
      <c r="A766" s="10">
        <v>1501022</v>
      </c>
      <c r="B766" s="11" t="s">
        <v>1211</v>
      </c>
      <c r="C766" s="12" t="s">
        <v>1252</v>
      </c>
      <c r="D766" s="11"/>
      <c r="E766" s="10" t="s">
        <v>1224</v>
      </c>
      <c r="F766" s="10" t="s">
        <v>557</v>
      </c>
      <c r="G766" s="55" t="str">
        <f t="shared" si="18"/>
        <v>Obsolete</v>
      </c>
      <c r="H766" s="10"/>
      <c r="I766" s="13"/>
      <c r="J766" s="56"/>
      <c r="K766" s="57"/>
      <c r="M766" s="10"/>
      <c r="N766" s="10"/>
      <c r="O766" s="29"/>
      <c r="P766" s="29"/>
      <c r="Q766" s="29"/>
      <c r="R766" s="29"/>
      <c r="S766" s="29"/>
      <c r="T766" s="72"/>
      <c r="U766" s="97" t="s">
        <v>54</v>
      </c>
      <c r="V766" s="97"/>
      <c r="W766" s="97" t="s">
        <v>54</v>
      </c>
      <c r="X766" s="97"/>
      <c r="Y766" s="97"/>
      <c r="Z766" s="78"/>
      <c r="AA766" s="79" t="s">
        <v>1251</v>
      </c>
      <c r="AB766" s="79" t="s">
        <v>37</v>
      </c>
      <c r="AC766" s="79" t="s">
        <v>37</v>
      </c>
      <c r="AD766" s="79"/>
      <c r="AE766" s="79" t="s">
        <v>1225</v>
      </c>
      <c r="AF766" s="79" t="s">
        <v>1226</v>
      </c>
      <c r="AG766" s="79" t="s">
        <v>1227</v>
      </c>
      <c r="AH766" s="79"/>
      <c r="AI766" s="53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</row>
    <row r="767" spans="1:110" ht="13.8" x14ac:dyDescent="0.25">
      <c r="A767" s="10">
        <v>1501023</v>
      </c>
      <c r="B767" s="11" t="s">
        <v>1211</v>
      </c>
      <c r="C767" s="12" t="s">
        <v>1253</v>
      </c>
      <c r="D767" s="11"/>
      <c r="E767" s="10" t="s">
        <v>1224</v>
      </c>
      <c r="F767" s="10" t="s">
        <v>557</v>
      </c>
      <c r="G767" s="55" t="str">
        <f t="shared" si="18"/>
        <v>Obsolete</v>
      </c>
      <c r="H767" s="10"/>
      <c r="I767" s="13"/>
      <c r="J767" s="56"/>
      <c r="K767" s="57"/>
      <c r="M767" s="10"/>
      <c r="N767" s="10"/>
      <c r="O767" s="29"/>
      <c r="P767" s="29"/>
      <c r="Q767" s="29"/>
      <c r="R767" s="29"/>
      <c r="S767" s="29"/>
      <c r="T767" s="72"/>
      <c r="U767" s="97" t="s">
        <v>54</v>
      </c>
      <c r="V767" s="97"/>
      <c r="W767" s="97" t="s">
        <v>54</v>
      </c>
      <c r="X767" s="97"/>
      <c r="Y767" s="97"/>
      <c r="Z767" s="78"/>
      <c r="AA767" s="79" t="s">
        <v>64</v>
      </c>
      <c r="AB767" s="79" t="s">
        <v>37</v>
      </c>
      <c r="AC767" s="79" t="s">
        <v>37</v>
      </c>
      <c r="AD767" s="79"/>
      <c r="AE767" s="79" t="s">
        <v>1225</v>
      </c>
      <c r="AF767" s="79" t="s">
        <v>1226</v>
      </c>
      <c r="AG767" s="79" t="s">
        <v>1227</v>
      </c>
      <c r="AH767" s="79"/>
      <c r="AI767" s="53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</row>
    <row r="768" spans="1:110" ht="13.8" x14ac:dyDescent="0.25">
      <c r="A768" s="10">
        <v>1501024</v>
      </c>
      <c r="B768" s="11" t="s">
        <v>1211</v>
      </c>
      <c r="C768" s="12" t="s">
        <v>1254</v>
      </c>
      <c r="D768" s="11"/>
      <c r="E768" s="10" t="s">
        <v>1224</v>
      </c>
      <c r="F768" s="10" t="s">
        <v>557</v>
      </c>
      <c r="G768" s="55" t="str">
        <f t="shared" si="18"/>
        <v>Obsolete</v>
      </c>
      <c r="H768" s="10"/>
      <c r="I768" s="13"/>
      <c r="J768" s="56"/>
      <c r="K768" s="57"/>
      <c r="M768" s="10"/>
      <c r="N768" s="10"/>
      <c r="O768" s="29"/>
      <c r="P768" s="29"/>
      <c r="Q768" s="29"/>
      <c r="R768" s="29"/>
      <c r="S768" s="29"/>
      <c r="T768" s="72"/>
      <c r="U768" s="97" t="s">
        <v>54</v>
      </c>
      <c r="V768" s="97"/>
      <c r="W768" s="97" t="s">
        <v>54</v>
      </c>
      <c r="X768" s="97"/>
      <c r="Y768" s="97"/>
      <c r="Z768" s="78"/>
      <c r="AA768" s="79" t="s">
        <v>1251</v>
      </c>
      <c r="AB768" s="79" t="s">
        <v>37</v>
      </c>
      <c r="AC768" s="79" t="s">
        <v>37</v>
      </c>
      <c r="AD768" s="79"/>
      <c r="AE768" s="79" t="s">
        <v>1225</v>
      </c>
      <c r="AF768" s="79" t="s">
        <v>1226</v>
      </c>
      <c r="AG768" s="79" t="s">
        <v>1227</v>
      </c>
      <c r="AH768" s="79"/>
      <c r="AI768" s="53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</row>
    <row r="769" spans="1:110" ht="20.399999999999999" x14ac:dyDescent="0.25">
      <c r="A769" s="10">
        <v>1501025</v>
      </c>
      <c r="B769" s="11" t="s">
        <v>1211</v>
      </c>
      <c r="C769" s="25" t="s">
        <v>1255</v>
      </c>
      <c r="D769" s="10" t="s">
        <v>1211</v>
      </c>
      <c r="E769" s="10" t="s">
        <v>1275</v>
      </c>
      <c r="F769" s="10" t="s">
        <v>557</v>
      </c>
      <c r="G769" s="55">
        <f t="shared" si="18"/>
        <v>3.11</v>
      </c>
      <c r="H769" s="10">
        <v>1</v>
      </c>
      <c r="I769" s="13">
        <v>500</v>
      </c>
      <c r="J769" s="56">
        <v>44601</v>
      </c>
      <c r="K769" s="76">
        <v>2.2679999999999998</v>
      </c>
      <c r="M769" s="14"/>
      <c r="N769" s="14"/>
      <c r="O769" s="14"/>
      <c r="P769" s="14"/>
      <c r="Q769" s="14"/>
      <c r="R769" s="14"/>
      <c r="S769" s="14"/>
      <c r="T769" s="70"/>
      <c r="U769" s="76">
        <v>3.11</v>
      </c>
      <c r="V769" s="76">
        <v>0</v>
      </c>
      <c r="W769" s="76">
        <v>3.11</v>
      </c>
      <c r="X769" s="76">
        <v>0</v>
      </c>
      <c r="Y769" s="77" t="s">
        <v>37</v>
      </c>
      <c r="Z769" s="78">
        <v>10</v>
      </c>
      <c r="AA769" s="79" t="s">
        <v>1214</v>
      </c>
      <c r="AB769" s="79" t="s">
        <v>35</v>
      </c>
      <c r="AC769" s="79" t="s">
        <v>37</v>
      </c>
      <c r="AD769" s="79" t="s">
        <v>38</v>
      </c>
      <c r="AE769" s="79" t="s">
        <v>1276</v>
      </c>
      <c r="AF769" s="79" t="s">
        <v>1277</v>
      </c>
      <c r="AG769" s="105" t="s">
        <v>1278</v>
      </c>
      <c r="AH769" s="79"/>
      <c r="AI769" s="53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</row>
    <row r="770" spans="1:110" ht="13.8" x14ac:dyDescent="0.25">
      <c r="A770" s="10">
        <v>1501026</v>
      </c>
      <c r="B770" s="11" t="s">
        <v>1211</v>
      </c>
      <c r="C770" s="12" t="s">
        <v>1256</v>
      </c>
      <c r="D770" s="10" t="s">
        <v>1257</v>
      </c>
      <c r="E770" s="10" t="s">
        <v>1221</v>
      </c>
      <c r="F770" s="10" t="s">
        <v>557</v>
      </c>
      <c r="G770" s="55" t="str">
        <f t="shared" si="18"/>
        <v>Obsolete</v>
      </c>
      <c r="H770" s="10"/>
      <c r="I770" s="13"/>
      <c r="J770" s="56"/>
      <c r="K770" s="57"/>
      <c r="M770" s="10">
        <v>0.93899999999999995</v>
      </c>
      <c r="N770" s="10"/>
      <c r="O770" s="29"/>
      <c r="P770" s="29"/>
      <c r="Q770" s="29"/>
      <c r="R770" s="29"/>
      <c r="S770" s="29"/>
      <c r="T770" s="72"/>
      <c r="U770" s="97" t="s">
        <v>54</v>
      </c>
      <c r="V770" s="97"/>
      <c r="W770" s="97" t="s">
        <v>54</v>
      </c>
      <c r="X770" s="97"/>
      <c r="Y770" s="97"/>
      <c r="Z770" s="78"/>
      <c r="AA770" s="79" t="s">
        <v>1257</v>
      </c>
      <c r="AB770" s="79" t="s">
        <v>37</v>
      </c>
      <c r="AC770" s="79" t="s">
        <v>37</v>
      </c>
      <c r="AD770" s="79"/>
      <c r="AE770" s="79"/>
      <c r="AF770" s="79"/>
      <c r="AG770" s="79"/>
      <c r="AH770" s="79"/>
      <c r="AI770" s="53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</row>
    <row r="771" spans="1:110" ht="13.8" x14ac:dyDescent="0.25">
      <c r="A771" s="10">
        <v>1501027</v>
      </c>
      <c r="B771" s="11" t="s">
        <v>1211</v>
      </c>
      <c r="C771" s="12" t="s">
        <v>1256</v>
      </c>
      <c r="D771" s="10"/>
      <c r="E771" s="10" t="s">
        <v>1258</v>
      </c>
      <c r="F771" s="10" t="s">
        <v>557</v>
      </c>
      <c r="G771" s="55" t="str">
        <f t="shared" si="18"/>
        <v>Obsolete</v>
      </c>
      <c r="H771" s="10"/>
      <c r="I771" s="13"/>
      <c r="J771" s="56"/>
      <c r="K771" s="57"/>
      <c r="M771" s="10">
        <v>1.28</v>
      </c>
      <c r="N771" s="10"/>
      <c r="O771" s="29"/>
      <c r="P771" s="29"/>
      <c r="Q771" s="29"/>
      <c r="R771" s="29"/>
      <c r="S771" s="29"/>
      <c r="T771" s="72"/>
      <c r="U771" s="97" t="s">
        <v>54</v>
      </c>
      <c r="V771" s="97"/>
      <c r="W771" s="97" t="s">
        <v>54</v>
      </c>
      <c r="X771" s="97"/>
      <c r="Y771" s="97"/>
      <c r="Z771" s="78"/>
      <c r="AA771" s="79"/>
      <c r="AB771" s="79" t="s">
        <v>37</v>
      </c>
      <c r="AC771" s="79" t="s">
        <v>37</v>
      </c>
      <c r="AD771" s="79"/>
      <c r="AE771" s="79"/>
      <c r="AF771" s="79"/>
      <c r="AG771" s="79"/>
      <c r="AH771" s="79"/>
      <c r="AI771" s="53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</row>
    <row r="772" spans="1:110" ht="13.8" x14ac:dyDescent="0.25">
      <c r="A772" s="10">
        <v>1501028</v>
      </c>
      <c r="B772" s="11" t="s">
        <v>1211</v>
      </c>
      <c r="C772" s="25" t="s">
        <v>1259</v>
      </c>
      <c r="D772" s="10"/>
      <c r="E772" s="10" t="s">
        <v>1213</v>
      </c>
      <c r="F772" s="10" t="s">
        <v>557</v>
      </c>
      <c r="G772" s="55">
        <v>0.16</v>
      </c>
      <c r="H772" s="10">
        <v>1</v>
      </c>
      <c r="I772" s="13">
        <v>1500</v>
      </c>
      <c r="J772" s="56">
        <v>44414</v>
      </c>
      <c r="K772" s="57">
        <v>0.15</v>
      </c>
      <c r="M772" s="14"/>
      <c r="N772" s="14"/>
      <c r="O772" s="14"/>
      <c r="P772" s="14"/>
      <c r="Q772" s="14"/>
      <c r="R772" s="14"/>
      <c r="S772" s="14"/>
      <c r="T772" s="70"/>
      <c r="U772" s="76">
        <v>0.16</v>
      </c>
      <c r="V772" s="76">
        <v>0</v>
      </c>
      <c r="W772" s="76">
        <v>0.16</v>
      </c>
      <c r="X772" s="76">
        <v>0</v>
      </c>
      <c r="Y772" s="77" t="s">
        <v>37</v>
      </c>
      <c r="Z772" s="78">
        <v>50</v>
      </c>
      <c r="AA772" s="79" t="s">
        <v>1214</v>
      </c>
      <c r="AB772" s="79" t="s">
        <v>35</v>
      </c>
      <c r="AC772" s="79" t="s">
        <v>37</v>
      </c>
      <c r="AD772" s="79" t="s">
        <v>38</v>
      </c>
      <c r="AE772" s="79" t="s">
        <v>1511</v>
      </c>
      <c r="AF772" s="79" t="s">
        <v>1513</v>
      </c>
      <c r="AG772" s="81" t="s">
        <v>1278</v>
      </c>
      <c r="AH772" s="79"/>
      <c r="AI772" s="53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</row>
    <row r="773" spans="1:110" ht="13.8" x14ac:dyDescent="0.25">
      <c r="A773" s="10">
        <v>1501029</v>
      </c>
      <c r="B773" s="11" t="s">
        <v>1211</v>
      </c>
      <c r="C773" s="12" t="s">
        <v>1260</v>
      </c>
      <c r="D773" s="10"/>
      <c r="E773" s="10" t="s">
        <v>1261</v>
      </c>
      <c r="F773" s="10" t="s">
        <v>557</v>
      </c>
      <c r="G773" s="55" t="str">
        <f t="shared" si="18"/>
        <v>Obsolete</v>
      </c>
      <c r="H773" s="10"/>
      <c r="I773" s="13"/>
      <c r="J773" s="56"/>
      <c r="K773" s="57"/>
      <c r="M773" s="10"/>
      <c r="N773" s="10"/>
      <c r="O773" s="29"/>
      <c r="P773" s="29"/>
      <c r="Q773" s="29"/>
      <c r="R773" s="29"/>
      <c r="S773" s="29"/>
      <c r="T773" s="72"/>
      <c r="U773" s="97" t="s">
        <v>54</v>
      </c>
      <c r="V773" s="97"/>
      <c r="W773" s="97" t="s">
        <v>54</v>
      </c>
      <c r="X773" s="97"/>
      <c r="Y773" s="97"/>
      <c r="Z773" s="78"/>
      <c r="AA773" s="79" t="s">
        <v>1262</v>
      </c>
      <c r="AB773" s="79" t="s">
        <v>37</v>
      </c>
      <c r="AC773" s="79" t="s">
        <v>37</v>
      </c>
      <c r="AD773" s="79"/>
      <c r="AE773" s="79"/>
      <c r="AF773" s="79"/>
      <c r="AG773" s="79"/>
      <c r="AH773" s="79"/>
      <c r="AI773" s="53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</row>
    <row r="774" spans="1:110" ht="13.8" x14ac:dyDescent="0.25">
      <c r="A774" s="10">
        <v>1501030</v>
      </c>
      <c r="B774" s="11" t="s">
        <v>1211</v>
      </c>
      <c r="C774" s="12" t="s">
        <v>1263</v>
      </c>
      <c r="D774" s="10"/>
      <c r="E774" s="10" t="s">
        <v>116</v>
      </c>
      <c r="F774" s="10" t="s">
        <v>557</v>
      </c>
      <c r="G774" s="55" t="str">
        <f t="shared" si="18"/>
        <v>Obsolete</v>
      </c>
      <c r="H774" s="10"/>
      <c r="I774" s="13"/>
      <c r="J774" s="56"/>
      <c r="K774" s="57"/>
      <c r="M774" s="14"/>
      <c r="N774" s="14"/>
      <c r="O774" s="14"/>
      <c r="P774" s="14"/>
      <c r="Q774" s="14"/>
      <c r="R774" s="14"/>
      <c r="S774" s="14"/>
      <c r="T774" s="70"/>
      <c r="U774" s="76" t="s">
        <v>54</v>
      </c>
      <c r="V774" s="76" t="s">
        <v>38</v>
      </c>
      <c r="W774" s="76" t="s">
        <v>54</v>
      </c>
      <c r="X774" s="76" t="s">
        <v>38</v>
      </c>
      <c r="Y774" s="77" t="s">
        <v>37</v>
      </c>
      <c r="Z774" s="78"/>
      <c r="AA774" s="79" t="s">
        <v>162</v>
      </c>
      <c r="AB774" s="79" t="s">
        <v>37</v>
      </c>
      <c r="AC774" s="79" t="s">
        <v>35</v>
      </c>
      <c r="AD774" s="79" t="s">
        <v>38</v>
      </c>
      <c r="AE774" s="79" t="s">
        <v>1264</v>
      </c>
      <c r="AF774" s="79">
        <v>8991280318</v>
      </c>
      <c r="AG774" s="79" t="s">
        <v>1265</v>
      </c>
      <c r="AH774" s="79"/>
      <c r="AI774" s="53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</row>
    <row r="775" spans="1:110" ht="13.8" x14ac:dyDescent="0.25">
      <c r="A775" s="10">
        <v>1501031</v>
      </c>
      <c r="B775" s="11" t="s">
        <v>1211</v>
      </c>
      <c r="C775" s="12" t="s">
        <v>1266</v>
      </c>
      <c r="D775" s="10" t="s">
        <v>1211</v>
      </c>
      <c r="E775" s="10" t="s">
        <v>1275</v>
      </c>
      <c r="F775" s="10" t="s">
        <v>557</v>
      </c>
      <c r="G775" s="55">
        <f t="shared" si="18"/>
        <v>2.08</v>
      </c>
      <c r="H775" s="10">
        <v>2</v>
      </c>
      <c r="I775" s="13"/>
      <c r="J775" s="56"/>
      <c r="K775" s="57"/>
      <c r="M775" s="14"/>
      <c r="N775" s="14"/>
      <c r="O775" s="14"/>
      <c r="P775" s="14"/>
      <c r="Q775" s="14"/>
      <c r="R775" s="14"/>
      <c r="S775" s="14"/>
      <c r="T775" s="70"/>
      <c r="U775" s="76">
        <v>2.08</v>
      </c>
      <c r="V775" s="76">
        <v>0</v>
      </c>
      <c r="W775" s="76">
        <v>2.08</v>
      </c>
      <c r="X775" s="76">
        <v>0</v>
      </c>
      <c r="Y775" s="77" t="s">
        <v>37</v>
      </c>
      <c r="Z775" s="78"/>
      <c r="AA775" s="79" t="s">
        <v>365</v>
      </c>
      <c r="AB775" s="79" t="s">
        <v>35</v>
      </c>
      <c r="AC775" s="79" t="s">
        <v>35</v>
      </c>
      <c r="AD775" s="79" t="s">
        <v>38</v>
      </c>
      <c r="AE775" s="79" t="s">
        <v>1276</v>
      </c>
      <c r="AF775" s="79" t="s">
        <v>1277</v>
      </c>
      <c r="AG775" s="105" t="s">
        <v>1278</v>
      </c>
      <c r="AH775" s="79"/>
      <c r="AI775" s="53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</row>
    <row r="776" spans="1:110" ht="13.8" x14ac:dyDescent="0.25">
      <c r="A776" s="10">
        <v>1501032</v>
      </c>
      <c r="B776" s="11" t="s">
        <v>1211</v>
      </c>
      <c r="C776" s="12" t="s">
        <v>1271</v>
      </c>
      <c r="D776" s="10" t="s">
        <v>1211</v>
      </c>
      <c r="E776" s="10" t="s">
        <v>1275</v>
      </c>
      <c r="F776" s="10" t="s">
        <v>557</v>
      </c>
      <c r="G776" s="55">
        <f t="shared" si="18"/>
        <v>0.24</v>
      </c>
      <c r="H776" s="10">
        <v>2</v>
      </c>
      <c r="I776" s="13"/>
      <c r="J776" s="56"/>
      <c r="K776" s="57"/>
      <c r="M776" s="14"/>
      <c r="N776" s="14"/>
      <c r="O776" s="14"/>
      <c r="P776" s="14"/>
      <c r="Q776" s="14"/>
      <c r="R776" s="14"/>
      <c r="S776" s="14"/>
      <c r="T776" s="70"/>
      <c r="U776" s="76">
        <v>0.24</v>
      </c>
      <c r="V776" s="76">
        <v>0</v>
      </c>
      <c r="W776" s="76">
        <v>0.24</v>
      </c>
      <c r="X776" s="76">
        <v>0</v>
      </c>
      <c r="Y776" s="77" t="s">
        <v>37</v>
      </c>
      <c r="Z776" s="78"/>
      <c r="AA776" s="79" t="s">
        <v>365</v>
      </c>
      <c r="AB776" s="79" t="s">
        <v>35</v>
      </c>
      <c r="AC776" s="79" t="s">
        <v>35</v>
      </c>
      <c r="AD776" s="79" t="s">
        <v>38</v>
      </c>
      <c r="AE776" s="79" t="s">
        <v>1276</v>
      </c>
      <c r="AF776" s="79" t="s">
        <v>1277</v>
      </c>
      <c r="AG776" s="105" t="s">
        <v>1278</v>
      </c>
      <c r="AH776" s="79"/>
      <c r="AI776" s="53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</row>
    <row r="777" spans="1:110" ht="13.8" x14ac:dyDescent="0.25">
      <c r="A777" s="10">
        <v>1501033</v>
      </c>
      <c r="B777" s="11" t="s">
        <v>1211</v>
      </c>
      <c r="C777" s="12" t="s">
        <v>1272</v>
      </c>
      <c r="D777" s="10" t="s">
        <v>1211</v>
      </c>
      <c r="E777" s="10" t="s">
        <v>1267</v>
      </c>
      <c r="F777" s="10" t="s">
        <v>557</v>
      </c>
      <c r="G777" s="55">
        <f t="shared" si="18"/>
        <v>3.26</v>
      </c>
      <c r="H777" s="10">
        <v>2</v>
      </c>
      <c r="I777" s="13"/>
      <c r="J777" s="56"/>
      <c r="K777" s="57"/>
      <c r="M777" s="14"/>
      <c r="N777" s="14"/>
      <c r="O777" s="14"/>
      <c r="P777" s="14"/>
      <c r="Q777" s="14"/>
      <c r="R777" s="14"/>
      <c r="S777" s="14"/>
      <c r="T777" s="70"/>
      <c r="U777" s="76">
        <v>3.26</v>
      </c>
      <c r="V777" s="76">
        <v>0</v>
      </c>
      <c r="W777" s="76">
        <v>3.26</v>
      </c>
      <c r="X777" s="76">
        <v>0</v>
      </c>
      <c r="Y777" s="77" t="s">
        <v>37</v>
      </c>
      <c r="Z777" s="78"/>
      <c r="AA777" s="79" t="s">
        <v>365</v>
      </c>
      <c r="AB777" s="79" t="s">
        <v>35</v>
      </c>
      <c r="AC777" s="79" t="s">
        <v>35</v>
      </c>
      <c r="AD777" s="79" t="s">
        <v>38</v>
      </c>
      <c r="AE777" s="79" t="s">
        <v>1268</v>
      </c>
      <c r="AF777" s="79" t="s">
        <v>1269</v>
      </c>
      <c r="AG777" s="88" t="s">
        <v>1270</v>
      </c>
      <c r="AH777" s="79"/>
      <c r="AI777" s="53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</row>
    <row r="778" spans="1:110" ht="13.8" x14ac:dyDescent="0.25">
      <c r="A778" s="10">
        <v>1501034</v>
      </c>
      <c r="B778" s="11" t="s">
        <v>1211</v>
      </c>
      <c r="C778" s="12" t="s">
        <v>1273</v>
      </c>
      <c r="D778" s="10" t="s">
        <v>1211</v>
      </c>
      <c r="E778" s="10" t="s">
        <v>1231</v>
      </c>
      <c r="F778" s="10" t="s">
        <v>557</v>
      </c>
      <c r="G778" s="55">
        <f t="shared" si="18"/>
        <v>5.8</v>
      </c>
      <c r="H778" s="10">
        <v>2</v>
      </c>
      <c r="I778" s="13"/>
      <c r="J778" s="56"/>
      <c r="K778" s="57"/>
      <c r="M778" s="14"/>
      <c r="N778" s="14"/>
      <c r="O778" s="14"/>
      <c r="P778" s="14"/>
      <c r="Q778" s="14"/>
      <c r="R778" s="14"/>
      <c r="S778" s="14"/>
      <c r="T778" s="70"/>
      <c r="U778" s="76">
        <v>5.8</v>
      </c>
      <c r="V778" s="76">
        <v>0</v>
      </c>
      <c r="W778" s="76">
        <v>5.8</v>
      </c>
      <c r="X778" s="76">
        <v>0</v>
      </c>
      <c r="Y778" s="77" t="s">
        <v>37</v>
      </c>
      <c r="Z778" s="78"/>
      <c r="AA778" s="79" t="s">
        <v>263</v>
      </c>
      <c r="AB778" s="79" t="s">
        <v>35</v>
      </c>
      <c r="AC778" s="79" t="s">
        <v>37</v>
      </c>
      <c r="AD778" s="79" t="s">
        <v>38</v>
      </c>
      <c r="AE778" s="79" t="s">
        <v>1232</v>
      </c>
      <c r="AF778" s="79" t="s">
        <v>1233</v>
      </c>
      <c r="AG778" s="105" t="s">
        <v>1234</v>
      </c>
      <c r="AH778" s="79"/>
      <c r="AI778" s="53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</row>
    <row r="779" spans="1:110" ht="13.8" x14ac:dyDescent="0.25">
      <c r="A779" s="10">
        <v>1501035</v>
      </c>
      <c r="B779" s="11" t="s">
        <v>1211</v>
      </c>
      <c r="C779" s="12" t="s">
        <v>1274</v>
      </c>
      <c r="D779" s="10" t="s">
        <v>1211</v>
      </c>
      <c r="E779" s="10" t="s">
        <v>1275</v>
      </c>
      <c r="F779" s="10" t="s">
        <v>557</v>
      </c>
      <c r="G779" s="55">
        <f t="shared" si="18"/>
        <v>1.76</v>
      </c>
      <c r="H779" s="10">
        <v>2</v>
      </c>
      <c r="I779" s="13"/>
      <c r="J779" s="56"/>
      <c r="K779" s="57"/>
      <c r="M779" s="14"/>
      <c r="N779" s="14"/>
      <c r="O779" s="14"/>
      <c r="P779" s="14"/>
      <c r="Q779" s="14"/>
      <c r="R779" s="14"/>
      <c r="S779" s="14"/>
      <c r="T779" s="70"/>
      <c r="U779" s="76">
        <v>1.76</v>
      </c>
      <c r="V779" s="76">
        <v>0</v>
      </c>
      <c r="W779" s="76">
        <v>1.76</v>
      </c>
      <c r="X779" s="76">
        <v>0</v>
      </c>
      <c r="Y779" s="77" t="s">
        <v>37</v>
      </c>
      <c r="Z779" s="78"/>
      <c r="AA779" s="79" t="s">
        <v>263</v>
      </c>
      <c r="AB779" s="79" t="s">
        <v>35</v>
      </c>
      <c r="AC779" s="79" t="s">
        <v>37</v>
      </c>
      <c r="AD779" s="79" t="s">
        <v>38</v>
      </c>
      <c r="AE779" s="79" t="s">
        <v>1276</v>
      </c>
      <c r="AF779" s="79" t="s">
        <v>1277</v>
      </c>
      <c r="AG779" s="105" t="s">
        <v>1278</v>
      </c>
      <c r="AH779" s="79"/>
      <c r="AI779" s="53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</row>
    <row r="780" spans="1:110" ht="13.8" x14ac:dyDescent="0.25">
      <c r="A780" s="10">
        <v>1501036</v>
      </c>
      <c r="B780" s="11" t="s">
        <v>1211</v>
      </c>
      <c r="C780" s="12" t="s">
        <v>1279</v>
      </c>
      <c r="D780" s="10" t="s">
        <v>1211</v>
      </c>
      <c r="E780" s="10" t="s">
        <v>1275</v>
      </c>
      <c r="F780" s="10" t="s">
        <v>557</v>
      </c>
      <c r="G780" s="55">
        <f t="shared" si="18"/>
        <v>0.56000000000000005</v>
      </c>
      <c r="H780" s="10">
        <v>2</v>
      </c>
      <c r="I780" s="13"/>
      <c r="J780" s="56"/>
      <c r="K780" s="57"/>
      <c r="M780" s="14"/>
      <c r="N780" s="14"/>
      <c r="O780" s="14"/>
      <c r="P780" s="14"/>
      <c r="Q780" s="14"/>
      <c r="R780" s="14"/>
      <c r="S780" s="14"/>
      <c r="T780" s="70"/>
      <c r="U780" s="76">
        <v>0.56000000000000005</v>
      </c>
      <c r="V780" s="76">
        <v>0</v>
      </c>
      <c r="W780" s="76">
        <v>0.56000000000000005</v>
      </c>
      <c r="X780" s="76">
        <v>0</v>
      </c>
      <c r="Y780" s="77" t="s">
        <v>37</v>
      </c>
      <c r="Z780" s="78"/>
      <c r="AA780" s="79" t="s">
        <v>263</v>
      </c>
      <c r="AB780" s="79" t="s">
        <v>35</v>
      </c>
      <c r="AC780" s="79" t="s">
        <v>37</v>
      </c>
      <c r="AD780" s="79" t="s">
        <v>38</v>
      </c>
      <c r="AE780" s="79" t="s">
        <v>1276</v>
      </c>
      <c r="AF780" s="79" t="s">
        <v>1277</v>
      </c>
      <c r="AG780" s="105" t="s">
        <v>1278</v>
      </c>
      <c r="AH780" s="79"/>
      <c r="AI780" s="53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</row>
    <row r="781" spans="1:110" ht="13.8" x14ac:dyDescent="0.25">
      <c r="A781" s="10">
        <v>1501037</v>
      </c>
      <c r="B781" s="11" t="s">
        <v>1211</v>
      </c>
      <c r="C781" s="12" t="s">
        <v>1280</v>
      </c>
      <c r="D781" s="10" t="s">
        <v>1211</v>
      </c>
      <c r="E781" s="10" t="s">
        <v>1275</v>
      </c>
      <c r="F781" s="10" t="s">
        <v>557</v>
      </c>
      <c r="G781" s="55">
        <f t="shared" si="18"/>
        <v>0.36</v>
      </c>
      <c r="H781" s="10">
        <v>2</v>
      </c>
      <c r="I781" s="13"/>
      <c r="J781" s="56"/>
      <c r="K781" s="57"/>
      <c r="M781" s="14"/>
      <c r="N781" s="14"/>
      <c r="O781" s="14"/>
      <c r="P781" s="14"/>
      <c r="Q781" s="14"/>
      <c r="R781" s="14"/>
      <c r="S781" s="14"/>
      <c r="T781" s="70"/>
      <c r="U781" s="76">
        <v>0.36</v>
      </c>
      <c r="V781" s="76">
        <v>0</v>
      </c>
      <c r="W781" s="76">
        <v>0.36</v>
      </c>
      <c r="X781" s="76">
        <v>0</v>
      </c>
      <c r="Y781" s="77" t="s">
        <v>37</v>
      </c>
      <c r="Z781" s="78"/>
      <c r="AA781" s="79" t="s">
        <v>263</v>
      </c>
      <c r="AB781" s="79" t="s">
        <v>35</v>
      </c>
      <c r="AC781" s="79" t="s">
        <v>37</v>
      </c>
      <c r="AD781" s="79" t="s">
        <v>38</v>
      </c>
      <c r="AE781" s="79" t="s">
        <v>1276</v>
      </c>
      <c r="AF781" s="79" t="s">
        <v>1277</v>
      </c>
      <c r="AG781" s="105" t="s">
        <v>1278</v>
      </c>
      <c r="AH781" s="79"/>
      <c r="AI781" s="53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</row>
    <row r="782" spans="1:110" ht="13.8" x14ac:dyDescent="0.25">
      <c r="A782" s="10">
        <v>1501038</v>
      </c>
      <c r="B782" s="11" t="s">
        <v>1211</v>
      </c>
      <c r="C782" s="12" t="s">
        <v>1281</v>
      </c>
      <c r="D782" s="10" t="s">
        <v>1211</v>
      </c>
      <c r="E782" s="10" t="s">
        <v>1275</v>
      </c>
      <c r="F782" s="10" t="s">
        <v>557</v>
      </c>
      <c r="G782" s="55">
        <f t="shared" si="18"/>
        <v>2.99</v>
      </c>
      <c r="H782" s="10">
        <v>2</v>
      </c>
      <c r="I782" s="13"/>
      <c r="J782" s="56"/>
      <c r="K782" s="57"/>
      <c r="M782" s="14"/>
      <c r="N782" s="14"/>
      <c r="O782" s="14"/>
      <c r="P782" s="14"/>
      <c r="Q782" s="14"/>
      <c r="R782" s="14"/>
      <c r="S782" s="14"/>
      <c r="T782" s="70"/>
      <c r="U782" s="76">
        <v>2.99</v>
      </c>
      <c r="V782" s="76">
        <v>0</v>
      </c>
      <c r="W782" s="76">
        <v>2.99</v>
      </c>
      <c r="X782" s="76">
        <v>0</v>
      </c>
      <c r="Y782" s="77" t="s">
        <v>37</v>
      </c>
      <c r="Z782" s="78"/>
      <c r="AA782" s="79" t="s">
        <v>263</v>
      </c>
      <c r="AB782" s="79" t="s">
        <v>35</v>
      </c>
      <c r="AC782" s="79" t="s">
        <v>37</v>
      </c>
      <c r="AD782" s="79" t="s">
        <v>38</v>
      </c>
      <c r="AE782" s="79" t="s">
        <v>1276</v>
      </c>
      <c r="AF782" s="79" t="s">
        <v>1277</v>
      </c>
      <c r="AG782" s="105" t="s">
        <v>1278</v>
      </c>
      <c r="AH782" s="79"/>
      <c r="AI782" s="53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</row>
    <row r="783" spans="1:110" ht="13.8" x14ac:dyDescent="0.25">
      <c r="A783" s="10">
        <v>1501039</v>
      </c>
      <c r="B783" s="11" t="s">
        <v>1211</v>
      </c>
      <c r="C783" s="12" t="s">
        <v>1282</v>
      </c>
      <c r="D783" s="10" t="s">
        <v>1211</v>
      </c>
      <c r="E783" s="10" t="s">
        <v>1275</v>
      </c>
      <c r="F783" s="10" t="s">
        <v>557</v>
      </c>
      <c r="G783" s="55">
        <f t="shared" si="18"/>
        <v>0.26</v>
      </c>
      <c r="H783" s="10">
        <v>2</v>
      </c>
      <c r="I783" s="13"/>
      <c r="J783" s="56"/>
      <c r="K783" s="57"/>
      <c r="M783" s="14"/>
      <c r="N783" s="14"/>
      <c r="O783" s="14"/>
      <c r="P783" s="14"/>
      <c r="Q783" s="14"/>
      <c r="R783" s="14"/>
      <c r="S783" s="14"/>
      <c r="T783" s="70"/>
      <c r="U783" s="76">
        <v>0.26</v>
      </c>
      <c r="V783" s="76">
        <v>0</v>
      </c>
      <c r="W783" s="76">
        <v>0.26</v>
      </c>
      <c r="X783" s="76">
        <v>0</v>
      </c>
      <c r="Y783" s="77" t="s">
        <v>37</v>
      </c>
      <c r="Z783" s="78"/>
      <c r="AA783" s="79" t="s">
        <v>263</v>
      </c>
      <c r="AB783" s="79" t="s">
        <v>35</v>
      </c>
      <c r="AC783" s="79" t="s">
        <v>37</v>
      </c>
      <c r="AD783" s="79" t="s">
        <v>38</v>
      </c>
      <c r="AE783" s="79" t="s">
        <v>1276</v>
      </c>
      <c r="AF783" s="79" t="s">
        <v>1277</v>
      </c>
      <c r="AG783" s="105" t="s">
        <v>1278</v>
      </c>
      <c r="AH783" s="79"/>
      <c r="AI783" s="53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</row>
    <row r="784" spans="1:110" ht="13.8" x14ac:dyDescent="0.25">
      <c r="A784" s="10">
        <v>1501040</v>
      </c>
      <c r="B784" s="11" t="s">
        <v>1211</v>
      </c>
      <c r="C784" s="12" t="s">
        <v>1283</v>
      </c>
      <c r="D784" s="10" t="s">
        <v>1211</v>
      </c>
      <c r="E784" s="10" t="s">
        <v>1275</v>
      </c>
      <c r="F784" s="10" t="s">
        <v>557</v>
      </c>
      <c r="G784" s="55">
        <f t="shared" si="18"/>
        <v>0</v>
      </c>
      <c r="H784" s="10">
        <v>2</v>
      </c>
      <c r="I784" s="13"/>
      <c r="J784" s="56"/>
      <c r="K784" s="57"/>
      <c r="M784" s="14"/>
      <c r="N784" s="14"/>
      <c r="O784" s="14"/>
      <c r="P784" s="14"/>
      <c r="Q784" s="14"/>
      <c r="R784" s="14"/>
      <c r="S784" s="14"/>
      <c r="T784" s="70"/>
      <c r="U784" s="76">
        <v>0</v>
      </c>
      <c r="V784" s="76">
        <v>0</v>
      </c>
      <c r="W784" s="76">
        <v>0</v>
      </c>
      <c r="X784" s="76">
        <v>0</v>
      </c>
      <c r="Y784" s="77" t="s">
        <v>37</v>
      </c>
      <c r="Z784" s="78"/>
      <c r="AA784" s="79" t="s">
        <v>263</v>
      </c>
      <c r="AB784" s="79" t="s">
        <v>35</v>
      </c>
      <c r="AC784" s="79" t="s">
        <v>37</v>
      </c>
      <c r="AD784" s="79" t="s">
        <v>38</v>
      </c>
      <c r="AE784" s="79" t="s">
        <v>1276</v>
      </c>
      <c r="AF784" s="79" t="s">
        <v>1277</v>
      </c>
      <c r="AG784" s="105" t="s">
        <v>1278</v>
      </c>
      <c r="AH784" s="79"/>
      <c r="AI784" s="53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</row>
    <row r="785" spans="1:110" ht="13.8" x14ac:dyDescent="0.25">
      <c r="A785" s="10">
        <v>1501041</v>
      </c>
      <c r="B785" s="11" t="s">
        <v>1211</v>
      </c>
      <c r="C785" s="12" t="s">
        <v>1284</v>
      </c>
      <c r="D785" s="10" t="s">
        <v>1211</v>
      </c>
      <c r="E785" s="10" t="s">
        <v>1275</v>
      </c>
      <c r="F785" s="10" t="s">
        <v>557</v>
      </c>
      <c r="G785" s="55">
        <f t="shared" si="18"/>
        <v>0.54</v>
      </c>
      <c r="H785" s="10">
        <v>2</v>
      </c>
      <c r="I785" s="13">
        <v>1000</v>
      </c>
      <c r="J785" s="56"/>
      <c r="K785" s="57"/>
      <c r="M785" s="14"/>
      <c r="N785" s="14"/>
      <c r="O785" s="14"/>
      <c r="P785" s="14"/>
      <c r="Q785" s="14"/>
      <c r="R785" s="14"/>
      <c r="S785" s="14"/>
      <c r="T785" s="70"/>
      <c r="U785" s="76">
        <v>0.54</v>
      </c>
      <c r="V785" s="76">
        <v>0</v>
      </c>
      <c r="W785" s="76">
        <v>0.54</v>
      </c>
      <c r="X785" s="76">
        <v>0</v>
      </c>
      <c r="Y785" s="77" t="s">
        <v>37</v>
      </c>
      <c r="Z785" s="78">
        <v>25</v>
      </c>
      <c r="AA785" s="79" t="s">
        <v>36</v>
      </c>
      <c r="AB785" s="79" t="s">
        <v>35</v>
      </c>
      <c r="AC785" s="79" t="s">
        <v>37</v>
      </c>
      <c r="AD785" s="79" t="s">
        <v>38</v>
      </c>
      <c r="AE785" s="79" t="s">
        <v>1276</v>
      </c>
      <c r="AF785" s="79" t="s">
        <v>1277</v>
      </c>
      <c r="AG785" s="105" t="s">
        <v>1278</v>
      </c>
      <c r="AH785" s="79"/>
      <c r="AI785" s="53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</row>
    <row r="786" spans="1:110" ht="13.8" x14ac:dyDescent="0.25">
      <c r="A786" s="10">
        <v>1501042</v>
      </c>
      <c r="B786" s="11" t="s">
        <v>1211</v>
      </c>
      <c r="C786" s="12" t="s">
        <v>1529</v>
      </c>
      <c r="D786" s="10" t="s">
        <v>1211</v>
      </c>
      <c r="E786" s="10" t="s">
        <v>1275</v>
      </c>
      <c r="F786" s="10" t="s">
        <v>557</v>
      </c>
      <c r="G786" s="55">
        <f t="shared" si="18"/>
        <v>1.77</v>
      </c>
      <c r="H786" s="10">
        <v>2</v>
      </c>
      <c r="I786" s="13">
        <v>180</v>
      </c>
      <c r="J786" s="56"/>
      <c r="K786" s="57"/>
      <c r="M786" s="14"/>
      <c r="N786" s="14"/>
      <c r="O786" s="14"/>
      <c r="P786" s="14"/>
      <c r="Q786" s="14"/>
      <c r="R786" s="14"/>
      <c r="S786" s="14"/>
      <c r="T786" s="70"/>
      <c r="U786" s="76">
        <v>1.77</v>
      </c>
      <c r="V786" s="76">
        <v>0</v>
      </c>
      <c r="W786" s="76">
        <v>1.77</v>
      </c>
      <c r="X786" s="76">
        <v>0</v>
      </c>
      <c r="Y786" s="77" t="s">
        <v>37</v>
      </c>
      <c r="Z786" s="78">
        <v>10</v>
      </c>
      <c r="AA786" s="79" t="s">
        <v>102</v>
      </c>
      <c r="AB786" s="79" t="s">
        <v>35</v>
      </c>
      <c r="AC786" s="79" t="s">
        <v>35</v>
      </c>
      <c r="AD786" s="79" t="s">
        <v>38</v>
      </c>
      <c r="AE786" s="79" t="s">
        <v>1276</v>
      </c>
      <c r="AF786" s="79" t="s">
        <v>1277</v>
      </c>
      <c r="AG786" s="105" t="s">
        <v>1278</v>
      </c>
      <c r="AH786" s="79"/>
      <c r="AI786" s="53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</row>
    <row r="787" spans="1:110" ht="13.8" x14ac:dyDescent="0.25">
      <c r="A787" s="10">
        <v>1501043</v>
      </c>
      <c r="B787" s="11" t="s">
        <v>1211</v>
      </c>
      <c r="C787" s="12" t="s">
        <v>1528</v>
      </c>
      <c r="D787" s="10" t="s">
        <v>1211</v>
      </c>
      <c r="E787" s="10" t="s">
        <v>1275</v>
      </c>
      <c r="F787" s="10" t="s">
        <v>557</v>
      </c>
      <c r="G787" s="55">
        <f t="shared" si="18"/>
        <v>0.32</v>
      </c>
      <c r="H787" s="10">
        <v>2</v>
      </c>
      <c r="I787" s="13">
        <v>1700</v>
      </c>
      <c r="J787" s="56"/>
      <c r="K787" s="57"/>
      <c r="M787" s="14"/>
      <c r="N787" s="14"/>
      <c r="O787" s="14"/>
      <c r="P787" s="14"/>
      <c r="Q787" s="14"/>
      <c r="R787" s="14"/>
      <c r="S787" s="14"/>
      <c r="T787" s="70"/>
      <c r="U787" s="76">
        <v>0.32</v>
      </c>
      <c r="V787" s="76">
        <v>0</v>
      </c>
      <c r="W787" s="76">
        <v>0.32</v>
      </c>
      <c r="X787" s="76">
        <v>0</v>
      </c>
      <c r="Y787" s="77" t="s">
        <v>37</v>
      </c>
      <c r="Z787" s="78">
        <v>50</v>
      </c>
      <c r="AA787" s="79" t="s">
        <v>102</v>
      </c>
      <c r="AB787" s="79" t="s">
        <v>35</v>
      </c>
      <c r="AC787" s="79" t="s">
        <v>35</v>
      </c>
      <c r="AD787" s="79" t="s">
        <v>38</v>
      </c>
      <c r="AE787" s="79" t="s">
        <v>1276</v>
      </c>
      <c r="AF787" s="79" t="s">
        <v>1277</v>
      </c>
      <c r="AG787" s="105" t="s">
        <v>1278</v>
      </c>
      <c r="AH787" s="79"/>
      <c r="AI787" s="53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</row>
    <row r="788" spans="1:110" ht="13.8" x14ac:dyDescent="0.25">
      <c r="A788" s="10">
        <v>1501044</v>
      </c>
      <c r="B788" s="11" t="s">
        <v>1211</v>
      </c>
      <c r="C788" s="12" t="s">
        <v>1554</v>
      </c>
      <c r="D788" s="10" t="s">
        <v>1211</v>
      </c>
      <c r="E788" s="10" t="s">
        <v>102</v>
      </c>
      <c r="F788" s="10" t="s">
        <v>557</v>
      </c>
      <c r="G788" s="55">
        <f t="shared" si="18"/>
        <v>0</v>
      </c>
      <c r="H788" s="10"/>
      <c r="I788" s="13"/>
      <c r="J788" s="56"/>
      <c r="K788" s="57"/>
      <c r="M788" s="14"/>
      <c r="N788" s="14"/>
      <c r="O788" s="14"/>
      <c r="P788" s="14"/>
      <c r="Q788" s="14"/>
      <c r="R788" s="14"/>
      <c r="S788" s="14"/>
      <c r="T788" s="70"/>
      <c r="U788" s="76">
        <v>0</v>
      </c>
      <c r="V788" s="76">
        <v>0</v>
      </c>
      <c r="W788" s="76">
        <v>0</v>
      </c>
      <c r="X788" s="76">
        <v>0</v>
      </c>
      <c r="Y788" s="77" t="s">
        <v>37</v>
      </c>
      <c r="Z788" s="78"/>
      <c r="AA788" s="79" t="s">
        <v>102</v>
      </c>
      <c r="AB788" s="79" t="s">
        <v>35</v>
      </c>
      <c r="AC788" s="79" t="s">
        <v>35</v>
      </c>
      <c r="AD788" s="79" t="s">
        <v>38</v>
      </c>
      <c r="AE788" s="79"/>
      <c r="AF788" s="79"/>
      <c r="AG788" s="105"/>
      <c r="AH788" s="79"/>
      <c r="AI788" s="53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</row>
    <row r="789" spans="1:110" ht="20.399999999999999" x14ac:dyDescent="0.25">
      <c r="A789" s="10">
        <v>1501045</v>
      </c>
      <c r="B789" s="11" t="s">
        <v>1211</v>
      </c>
      <c r="C789" s="25" t="s">
        <v>1579</v>
      </c>
      <c r="D789" s="10" t="s">
        <v>1211</v>
      </c>
      <c r="E789" s="10" t="s">
        <v>102</v>
      </c>
      <c r="F789" s="10" t="s">
        <v>557</v>
      </c>
      <c r="G789" s="55">
        <f t="shared" si="18"/>
        <v>0.41</v>
      </c>
      <c r="H789" s="10">
        <v>2</v>
      </c>
      <c r="I789" s="13"/>
      <c r="J789" s="56"/>
      <c r="K789" s="57"/>
      <c r="M789" s="14"/>
      <c r="N789" s="14"/>
      <c r="O789" s="14"/>
      <c r="P789" s="14"/>
      <c r="Q789" s="14"/>
      <c r="R789" s="14"/>
      <c r="S789" s="14"/>
      <c r="T789" s="70"/>
      <c r="U789" s="76">
        <v>0.41</v>
      </c>
      <c r="V789" s="76">
        <v>0</v>
      </c>
      <c r="W789" s="76">
        <v>0.41</v>
      </c>
      <c r="X789" s="76">
        <v>0</v>
      </c>
      <c r="Y789" s="77" t="s">
        <v>1580</v>
      </c>
      <c r="Z789" s="78"/>
      <c r="AA789" s="79" t="s">
        <v>102</v>
      </c>
      <c r="AB789" s="79" t="s">
        <v>35</v>
      </c>
      <c r="AC789" s="79" t="s">
        <v>35</v>
      </c>
      <c r="AD789" s="79" t="s">
        <v>38</v>
      </c>
      <c r="AE789" s="79" t="s">
        <v>1276</v>
      </c>
      <c r="AF789" s="79" t="s">
        <v>1277</v>
      </c>
      <c r="AG789" s="105" t="s">
        <v>1278</v>
      </c>
      <c r="AH789" s="79"/>
      <c r="AI789" s="53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</row>
    <row r="790" spans="1:110" ht="13.8" x14ac:dyDescent="0.25">
      <c r="A790" s="10">
        <v>1501101</v>
      </c>
      <c r="B790" s="11" t="s">
        <v>1211</v>
      </c>
      <c r="C790" s="12" t="s">
        <v>1285</v>
      </c>
      <c r="D790" s="10" t="s">
        <v>1286</v>
      </c>
      <c r="E790" s="10" t="s">
        <v>74</v>
      </c>
      <c r="F790" s="10" t="s">
        <v>557</v>
      </c>
      <c r="G790" s="55" t="str">
        <f t="shared" si="18"/>
        <v>Obsolete</v>
      </c>
      <c r="H790" s="10"/>
      <c r="I790" s="13"/>
      <c r="J790" s="56"/>
      <c r="K790" s="57"/>
      <c r="M790" s="10"/>
      <c r="N790" s="10"/>
      <c r="O790" s="29"/>
      <c r="P790" s="29"/>
      <c r="Q790" s="29"/>
      <c r="R790" s="29"/>
      <c r="S790" s="29"/>
      <c r="T790" s="72"/>
      <c r="U790" s="97" t="s">
        <v>54</v>
      </c>
      <c r="V790" s="97"/>
      <c r="W790" s="97" t="s">
        <v>54</v>
      </c>
      <c r="X790" s="97"/>
      <c r="Y790" s="97"/>
      <c r="Z790" s="78"/>
      <c r="AA790" s="79"/>
      <c r="AB790" s="79" t="s">
        <v>37</v>
      </c>
      <c r="AC790" s="79" t="s">
        <v>37</v>
      </c>
      <c r="AD790" s="79"/>
      <c r="AE790" s="79"/>
      <c r="AF790" s="79"/>
      <c r="AG790" s="79"/>
      <c r="AH790" s="79"/>
      <c r="AI790" s="53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</row>
    <row r="791" spans="1:110" ht="13.8" x14ac:dyDescent="0.25">
      <c r="A791" s="10">
        <v>1501102</v>
      </c>
      <c r="B791" s="11" t="s">
        <v>1211</v>
      </c>
      <c r="C791" s="12" t="s">
        <v>1287</v>
      </c>
      <c r="D791" s="10" t="s">
        <v>1288</v>
      </c>
      <c r="E791" s="10" t="s">
        <v>74</v>
      </c>
      <c r="F791" s="10" t="s">
        <v>557</v>
      </c>
      <c r="G791" s="55" t="str">
        <f t="shared" si="18"/>
        <v>Obsolete</v>
      </c>
      <c r="H791" s="10"/>
      <c r="I791" s="13"/>
      <c r="J791" s="56"/>
      <c r="K791" s="57"/>
      <c r="M791" s="10"/>
      <c r="N791" s="10"/>
      <c r="O791" s="29"/>
      <c r="P791" s="29"/>
      <c r="Q791" s="29"/>
      <c r="R791" s="29"/>
      <c r="S791" s="29"/>
      <c r="T791" s="72"/>
      <c r="U791" s="97" t="s">
        <v>54</v>
      </c>
      <c r="V791" s="97"/>
      <c r="W791" s="97" t="s">
        <v>54</v>
      </c>
      <c r="X791" s="97"/>
      <c r="Y791" s="97"/>
      <c r="Z791" s="78"/>
      <c r="AA791" s="79"/>
      <c r="AB791" s="79" t="s">
        <v>37</v>
      </c>
      <c r="AC791" s="79" t="s">
        <v>37</v>
      </c>
      <c r="AD791" s="79"/>
      <c r="AE791" s="79"/>
      <c r="AF791" s="79"/>
      <c r="AG791" s="79"/>
      <c r="AH791" s="79"/>
      <c r="AI791" s="53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</row>
    <row r="792" spans="1:110" ht="13.8" x14ac:dyDescent="0.25">
      <c r="A792" s="10">
        <v>1501103</v>
      </c>
      <c r="B792" s="11" t="s">
        <v>1211</v>
      </c>
      <c r="C792" s="12" t="s">
        <v>1289</v>
      </c>
      <c r="D792" s="10" t="s">
        <v>1290</v>
      </c>
      <c r="E792" s="10" t="s">
        <v>74</v>
      </c>
      <c r="F792" s="10" t="s">
        <v>557</v>
      </c>
      <c r="G792" s="55" t="str">
        <f t="shared" si="18"/>
        <v>Obsolete</v>
      </c>
      <c r="H792" s="10"/>
      <c r="I792" s="13"/>
      <c r="J792" s="56"/>
      <c r="K792" s="57"/>
      <c r="M792" s="10"/>
      <c r="N792" s="10"/>
      <c r="O792" s="29"/>
      <c r="P792" s="29"/>
      <c r="Q792" s="29"/>
      <c r="R792" s="29"/>
      <c r="S792" s="29"/>
      <c r="T792" s="72"/>
      <c r="U792" s="97" t="s">
        <v>54</v>
      </c>
      <c r="V792" s="97"/>
      <c r="W792" s="97" t="s">
        <v>54</v>
      </c>
      <c r="X792" s="97"/>
      <c r="Y792" s="97"/>
      <c r="Z792" s="78"/>
      <c r="AA792" s="79"/>
      <c r="AB792" s="79" t="s">
        <v>37</v>
      </c>
      <c r="AC792" s="79" t="s">
        <v>37</v>
      </c>
      <c r="AD792" s="79"/>
      <c r="AE792" s="79"/>
      <c r="AF792" s="79"/>
      <c r="AG792" s="79"/>
      <c r="AH792" s="79"/>
      <c r="AI792" s="53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</row>
    <row r="793" spans="1:110" ht="13.8" x14ac:dyDescent="0.25">
      <c r="A793" s="10">
        <v>1501104</v>
      </c>
      <c r="B793" s="11" t="s">
        <v>1211</v>
      </c>
      <c r="C793" s="12" t="s">
        <v>1291</v>
      </c>
      <c r="D793" s="10" t="s">
        <v>1292</v>
      </c>
      <c r="E793" s="10" t="s">
        <v>74</v>
      </c>
      <c r="F793" s="10" t="s">
        <v>557</v>
      </c>
      <c r="G793" s="55" t="str">
        <f t="shared" si="18"/>
        <v>Obsolete</v>
      </c>
      <c r="H793" s="10"/>
      <c r="I793" s="13"/>
      <c r="J793" s="56"/>
      <c r="K793" s="57"/>
      <c r="M793" s="10"/>
      <c r="N793" s="10"/>
      <c r="O793" s="29"/>
      <c r="P793" s="29"/>
      <c r="Q793" s="29"/>
      <c r="R793" s="29"/>
      <c r="S793" s="29"/>
      <c r="T793" s="72"/>
      <c r="U793" s="97" t="s">
        <v>54</v>
      </c>
      <c r="V793" s="97"/>
      <c r="W793" s="97" t="s">
        <v>54</v>
      </c>
      <c r="X793" s="97"/>
      <c r="Y793" s="97"/>
      <c r="Z793" s="78"/>
      <c r="AA793" s="79"/>
      <c r="AB793" s="79" t="s">
        <v>37</v>
      </c>
      <c r="AC793" s="79" t="s">
        <v>37</v>
      </c>
      <c r="AD793" s="79"/>
      <c r="AE793" s="79"/>
      <c r="AF793" s="79"/>
      <c r="AG793" s="79"/>
      <c r="AH793" s="79"/>
      <c r="AI793" s="53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</row>
    <row r="794" spans="1:110" ht="13.8" x14ac:dyDescent="0.25">
      <c r="A794" s="10">
        <v>1501105</v>
      </c>
      <c r="B794" s="11" t="s">
        <v>1293</v>
      </c>
      <c r="C794" s="12" t="s">
        <v>1294</v>
      </c>
      <c r="D794" s="10" t="s">
        <v>1295</v>
      </c>
      <c r="E794" s="10" t="s">
        <v>74</v>
      </c>
      <c r="F794" s="10" t="s">
        <v>557</v>
      </c>
      <c r="G794" s="55" t="str">
        <f t="shared" si="18"/>
        <v>Obsolete</v>
      </c>
      <c r="H794" s="10"/>
      <c r="I794" s="13"/>
      <c r="J794" s="56"/>
      <c r="K794" s="57"/>
      <c r="M794" s="10"/>
      <c r="N794" s="10"/>
      <c r="O794" s="29"/>
      <c r="P794" s="29"/>
      <c r="Q794" s="29"/>
      <c r="R794" s="29"/>
      <c r="S794" s="29"/>
      <c r="T794" s="72"/>
      <c r="U794" s="97" t="s">
        <v>54</v>
      </c>
      <c r="V794" s="97"/>
      <c r="W794" s="97" t="s">
        <v>54</v>
      </c>
      <c r="X794" s="97"/>
      <c r="Y794" s="97"/>
      <c r="Z794" s="78"/>
      <c r="AA794" s="79"/>
      <c r="AB794" s="79" t="s">
        <v>37</v>
      </c>
      <c r="AC794" s="79" t="s">
        <v>37</v>
      </c>
      <c r="AD794" s="79"/>
      <c r="AE794" s="79"/>
      <c r="AF794" s="79"/>
      <c r="AG794" s="79"/>
      <c r="AH794" s="79"/>
      <c r="AI794" s="53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</row>
    <row r="795" spans="1:110" ht="13.8" x14ac:dyDescent="0.25">
      <c r="A795" s="10">
        <v>1501106</v>
      </c>
      <c r="B795" s="11" t="s">
        <v>1211</v>
      </c>
      <c r="C795" s="12" t="s">
        <v>1296</v>
      </c>
      <c r="D795" s="10" t="s">
        <v>1211</v>
      </c>
      <c r="E795" s="10" t="s">
        <v>1231</v>
      </c>
      <c r="F795" s="10" t="s">
        <v>557</v>
      </c>
      <c r="G795" s="55">
        <f t="shared" si="18"/>
        <v>0.22600000000000001</v>
      </c>
      <c r="H795" s="10"/>
      <c r="I795" s="13"/>
      <c r="J795" s="56"/>
      <c r="K795" s="57"/>
      <c r="M795" s="10"/>
      <c r="N795" s="10"/>
      <c r="O795" s="29"/>
      <c r="P795" s="29"/>
      <c r="Q795" s="29"/>
      <c r="R795" s="29"/>
      <c r="S795" s="29"/>
      <c r="T795" s="72"/>
      <c r="U795" s="97">
        <v>0.22600000000000001</v>
      </c>
      <c r="V795" s="97">
        <v>0</v>
      </c>
      <c r="W795" s="97">
        <v>0.22600000000000001</v>
      </c>
      <c r="X795" s="97">
        <v>0</v>
      </c>
      <c r="Y795" s="97"/>
      <c r="Z795" s="78"/>
      <c r="AA795" s="79" t="s">
        <v>263</v>
      </c>
      <c r="AB795" s="79" t="s">
        <v>35</v>
      </c>
      <c r="AC795" s="79" t="s">
        <v>37</v>
      </c>
      <c r="AD795" s="79" t="s">
        <v>38</v>
      </c>
      <c r="AE795" s="79" t="s">
        <v>1232</v>
      </c>
      <c r="AF795" s="79" t="s">
        <v>1233</v>
      </c>
      <c r="AG795" s="105" t="s">
        <v>1234</v>
      </c>
      <c r="AH795" s="79"/>
      <c r="AI795" s="53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</row>
    <row r="796" spans="1:110" ht="13.8" x14ac:dyDescent="0.25">
      <c r="A796" s="10">
        <v>1501107</v>
      </c>
      <c r="B796" s="11" t="s">
        <v>1211</v>
      </c>
      <c r="C796" s="12" t="s">
        <v>1635</v>
      </c>
      <c r="D796" s="10" t="s">
        <v>1211</v>
      </c>
      <c r="E796" s="10" t="s">
        <v>1625</v>
      </c>
      <c r="F796" s="10" t="s">
        <v>557</v>
      </c>
      <c r="G796" s="55">
        <v>0</v>
      </c>
      <c r="H796" s="10"/>
      <c r="I796" s="13"/>
      <c r="J796" s="56"/>
      <c r="K796" s="57"/>
      <c r="M796" s="10"/>
      <c r="N796" s="10"/>
      <c r="O796" s="29"/>
      <c r="P796" s="29"/>
      <c r="Q796" s="29"/>
      <c r="R796" s="29"/>
      <c r="S796" s="29"/>
      <c r="T796" s="72"/>
      <c r="U796" s="97"/>
      <c r="V796" s="97"/>
      <c r="W796" s="97"/>
      <c r="X796" s="97"/>
      <c r="Y796" s="97"/>
      <c r="Z796" s="78"/>
      <c r="AA796" s="79"/>
      <c r="AB796" s="79"/>
      <c r="AC796" s="79"/>
      <c r="AD796" s="79"/>
      <c r="AE796" s="79"/>
      <c r="AF796" s="79"/>
      <c r="AG796" s="105"/>
      <c r="AH796" s="79"/>
      <c r="AI796" s="53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</row>
    <row r="797" spans="1:110" ht="13.8" x14ac:dyDescent="0.25">
      <c r="A797" s="10">
        <v>1501108</v>
      </c>
      <c r="B797" s="11" t="s">
        <v>1211</v>
      </c>
      <c r="C797" s="12" t="s">
        <v>1651</v>
      </c>
      <c r="D797" s="10" t="s">
        <v>1211</v>
      </c>
      <c r="E797" s="10" t="s">
        <v>1649</v>
      </c>
      <c r="F797" s="10" t="s">
        <v>557</v>
      </c>
      <c r="G797" s="55">
        <f t="shared" si="18"/>
        <v>0.51</v>
      </c>
      <c r="H797" s="10">
        <v>2</v>
      </c>
      <c r="I797" s="13">
        <v>800</v>
      </c>
      <c r="J797" s="56"/>
      <c r="K797" s="57"/>
      <c r="M797" s="10"/>
      <c r="N797" s="10"/>
      <c r="O797" s="29"/>
      <c r="P797" s="29"/>
      <c r="Q797" s="29"/>
      <c r="R797" s="29"/>
      <c r="S797" s="29"/>
      <c r="T797" s="72"/>
      <c r="U797" s="76">
        <v>0.51</v>
      </c>
      <c r="V797" s="76">
        <v>0</v>
      </c>
      <c r="W797" s="76">
        <v>0.51</v>
      </c>
      <c r="X797" s="76">
        <v>0</v>
      </c>
      <c r="Y797" s="97"/>
      <c r="Z797" s="78"/>
      <c r="AA797" s="79"/>
      <c r="AB797" s="79"/>
      <c r="AC797" s="79"/>
      <c r="AD797" s="79"/>
      <c r="AE797" s="79"/>
      <c r="AF797" s="79"/>
      <c r="AG797" s="105"/>
      <c r="AH797" s="79"/>
      <c r="AI797" s="53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</row>
    <row r="798" spans="1:110" ht="20.399999999999999" x14ac:dyDescent="0.25">
      <c r="A798" s="10">
        <v>1502001</v>
      </c>
      <c r="B798" s="11" t="s">
        <v>1211</v>
      </c>
      <c r="C798" s="25" t="s">
        <v>1297</v>
      </c>
      <c r="D798" s="10" t="s">
        <v>1211</v>
      </c>
      <c r="E798" s="10" t="s">
        <v>1267</v>
      </c>
      <c r="F798" s="10" t="s">
        <v>557</v>
      </c>
      <c r="G798" s="55" t="str">
        <f t="shared" si="18"/>
        <v>Obsolete</v>
      </c>
      <c r="H798" s="10"/>
      <c r="I798" s="13"/>
      <c r="J798" s="56"/>
      <c r="K798" s="57"/>
      <c r="M798" s="14"/>
      <c r="N798" s="14"/>
      <c r="O798" s="14"/>
      <c r="P798" s="14"/>
      <c r="Q798" s="14"/>
      <c r="R798" s="14"/>
      <c r="S798" s="14"/>
      <c r="T798" s="70"/>
      <c r="U798" s="76" t="s">
        <v>54</v>
      </c>
      <c r="V798" s="76">
        <v>0</v>
      </c>
      <c r="W798" s="76" t="s">
        <v>54</v>
      </c>
      <c r="X798" s="76">
        <v>0</v>
      </c>
      <c r="Y798" s="77" t="s">
        <v>37</v>
      </c>
      <c r="Z798" s="78"/>
      <c r="AA798" s="79" t="s">
        <v>277</v>
      </c>
      <c r="AB798" s="79" t="s">
        <v>37</v>
      </c>
      <c r="AC798" s="79" t="s">
        <v>35</v>
      </c>
      <c r="AD798" s="79" t="s">
        <v>38</v>
      </c>
      <c r="AE798" s="79" t="s">
        <v>1215</v>
      </c>
      <c r="AF798" s="79" t="s">
        <v>1216</v>
      </c>
      <c r="AG798" s="88" t="s">
        <v>1217</v>
      </c>
      <c r="AH798" s="79"/>
      <c r="AI798" s="53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</row>
    <row r="799" spans="1:110" ht="20.399999999999999" x14ac:dyDescent="0.25">
      <c r="A799" s="10">
        <v>1502002</v>
      </c>
      <c r="B799" s="11" t="s">
        <v>1211</v>
      </c>
      <c r="C799" s="25" t="s">
        <v>1298</v>
      </c>
      <c r="D799" s="10" t="s">
        <v>1211</v>
      </c>
      <c r="E799" s="10" t="s">
        <v>1267</v>
      </c>
      <c r="F799" s="10" t="s">
        <v>557</v>
      </c>
      <c r="G799" s="55" t="str">
        <f t="shared" si="18"/>
        <v>Obsolete</v>
      </c>
      <c r="H799" s="10"/>
      <c r="I799" s="13"/>
      <c r="J799" s="56"/>
      <c r="K799" s="57"/>
      <c r="M799" s="14"/>
      <c r="N799" s="14"/>
      <c r="O799" s="14"/>
      <c r="P799" s="14"/>
      <c r="Q799" s="14"/>
      <c r="R799" s="14"/>
      <c r="S799" s="14"/>
      <c r="T799" s="70"/>
      <c r="U799" s="76" t="s">
        <v>54</v>
      </c>
      <c r="V799" s="76">
        <v>0</v>
      </c>
      <c r="W799" s="76" t="s">
        <v>54</v>
      </c>
      <c r="X799" s="76">
        <v>0</v>
      </c>
      <c r="Y799" s="77" t="s">
        <v>37</v>
      </c>
      <c r="Z799" s="78"/>
      <c r="AA799" s="79" t="s">
        <v>277</v>
      </c>
      <c r="AB799" s="79" t="s">
        <v>37</v>
      </c>
      <c r="AC799" s="79" t="s">
        <v>35</v>
      </c>
      <c r="AD799" s="79" t="s">
        <v>38</v>
      </c>
      <c r="AE799" s="79" t="s">
        <v>1299</v>
      </c>
      <c r="AF799" s="79" t="s">
        <v>1300</v>
      </c>
      <c r="AG799" s="79" t="s">
        <v>1301</v>
      </c>
      <c r="AH799" s="79"/>
      <c r="AI799" s="53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</row>
    <row r="800" spans="1:110" ht="20.399999999999999" x14ac:dyDescent="0.25">
      <c r="A800" s="10">
        <v>1502003</v>
      </c>
      <c r="B800" s="11" t="s">
        <v>1211</v>
      </c>
      <c r="C800" s="25" t="s">
        <v>1302</v>
      </c>
      <c r="D800" s="10" t="s">
        <v>1211</v>
      </c>
      <c r="E800" s="10" t="s">
        <v>1267</v>
      </c>
      <c r="F800" s="10" t="s">
        <v>557</v>
      </c>
      <c r="G800" s="55" t="str">
        <f t="shared" si="18"/>
        <v>Obsolete</v>
      </c>
      <c r="H800" s="10"/>
      <c r="I800" s="13"/>
      <c r="J800" s="56"/>
      <c r="K800" s="57"/>
      <c r="M800" s="14"/>
      <c r="N800" s="14"/>
      <c r="O800" s="14"/>
      <c r="P800" s="14"/>
      <c r="Q800" s="14"/>
      <c r="R800" s="14"/>
      <c r="S800" s="14"/>
      <c r="T800" s="70"/>
      <c r="U800" s="76" t="s">
        <v>54</v>
      </c>
      <c r="V800" s="76">
        <v>0</v>
      </c>
      <c r="W800" s="76" t="s">
        <v>54</v>
      </c>
      <c r="X800" s="76">
        <v>0</v>
      </c>
      <c r="Y800" s="77" t="s">
        <v>37</v>
      </c>
      <c r="Z800" s="78"/>
      <c r="AA800" s="79" t="s">
        <v>277</v>
      </c>
      <c r="AB800" s="79" t="s">
        <v>37</v>
      </c>
      <c r="AC800" s="79" t="s">
        <v>35</v>
      </c>
      <c r="AD800" s="79" t="s">
        <v>38</v>
      </c>
      <c r="AE800" s="79" t="s">
        <v>1299</v>
      </c>
      <c r="AF800" s="79" t="s">
        <v>1300</v>
      </c>
      <c r="AG800" s="79" t="s">
        <v>1301</v>
      </c>
      <c r="AH800" s="79"/>
      <c r="AI800" s="53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</row>
    <row r="801" spans="1:110" ht="20.399999999999999" x14ac:dyDescent="0.25">
      <c r="A801" s="10">
        <v>1502004</v>
      </c>
      <c r="B801" s="11" t="s">
        <v>1211</v>
      </c>
      <c r="C801" s="25" t="s">
        <v>1303</v>
      </c>
      <c r="D801" s="10" t="s">
        <v>1211</v>
      </c>
      <c r="E801" s="10" t="s">
        <v>1267</v>
      </c>
      <c r="F801" s="10" t="s">
        <v>557</v>
      </c>
      <c r="G801" s="55" t="str">
        <f t="shared" si="18"/>
        <v>Obsolete</v>
      </c>
      <c r="H801" s="10"/>
      <c r="I801" s="13"/>
      <c r="J801" s="56"/>
      <c r="K801" s="57"/>
      <c r="M801" s="14"/>
      <c r="N801" s="14"/>
      <c r="O801" s="14"/>
      <c r="P801" s="14"/>
      <c r="Q801" s="14"/>
      <c r="R801" s="14"/>
      <c r="S801" s="14"/>
      <c r="T801" s="70"/>
      <c r="U801" s="76" t="s">
        <v>54</v>
      </c>
      <c r="V801" s="76">
        <v>0</v>
      </c>
      <c r="W801" s="76" t="s">
        <v>54</v>
      </c>
      <c r="X801" s="76">
        <v>0</v>
      </c>
      <c r="Y801" s="77" t="s">
        <v>37</v>
      </c>
      <c r="Z801" s="78"/>
      <c r="AA801" s="79" t="s">
        <v>277</v>
      </c>
      <c r="AB801" s="79" t="s">
        <v>37</v>
      </c>
      <c r="AC801" s="79" t="s">
        <v>35</v>
      </c>
      <c r="AD801" s="79" t="s">
        <v>38</v>
      </c>
      <c r="AE801" s="79" t="s">
        <v>1299</v>
      </c>
      <c r="AF801" s="79" t="s">
        <v>1300</v>
      </c>
      <c r="AG801" s="79" t="s">
        <v>1301</v>
      </c>
      <c r="AH801" s="79"/>
      <c r="AI801" s="53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</row>
    <row r="802" spans="1:110" ht="20.399999999999999" x14ac:dyDescent="0.25">
      <c r="A802" s="10">
        <v>1502005</v>
      </c>
      <c r="B802" s="11" t="s">
        <v>1211</v>
      </c>
      <c r="C802" s="25" t="s">
        <v>1304</v>
      </c>
      <c r="D802" s="10" t="s">
        <v>1211</v>
      </c>
      <c r="E802" s="10" t="s">
        <v>1267</v>
      </c>
      <c r="F802" s="10" t="s">
        <v>557</v>
      </c>
      <c r="G802" s="55" t="str">
        <f t="shared" si="18"/>
        <v>Obsolete</v>
      </c>
      <c r="H802" s="10"/>
      <c r="I802" s="13"/>
      <c r="J802" s="56"/>
      <c r="K802" s="57"/>
      <c r="M802" s="14"/>
      <c r="N802" s="14"/>
      <c r="O802" s="14"/>
      <c r="P802" s="14"/>
      <c r="Q802" s="14"/>
      <c r="R802" s="14"/>
      <c r="S802" s="14"/>
      <c r="T802" s="70"/>
      <c r="U802" s="76" t="s">
        <v>54</v>
      </c>
      <c r="V802" s="76">
        <v>0</v>
      </c>
      <c r="W802" s="76" t="s">
        <v>54</v>
      </c>
      <c r="X802" s="76">
        <v>0</v>
      </c>
      <c r="Y802" s="77" t="s">
        <v>37</v>
      </c>
      <c r="Z802" s="78"/>
      <c r="AA802" s="79" t="s">
        <v>277</v>
      </c>
      <c r="AB802" s="79" t="s">
        <v>37</v>
      </c>
      <c r="AC802" s="79" t="s">
        <v>35</v>
      </c>
      <c r="AD802" s="79" t="s">
        <v>38</v>
      </c>
      <c r="AE802" s="79" t="s">
        <v>1299</v>
      </c>
      <c r="AF802" s="79" t="s">
        <v>1300</v>
      </c>
      <c r="AG802" s="79" t="s">
        <v>1301</v>
      </c>
      <c r="AH802" s="79"/>
      <c r="AI802" s="53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</row>
    <row r="803" spans="1:110" ht="13.8" x14ac:dyDescent="0.25">
      <c r="A803" s="10">
        <v>1502010</v>
      </c>
      <c r="B803" s="11" t="s">
        <v>1211</v>
      </c>
      <c r="C803" s="12" t="s">
        <v>1305</v>
      </c>
      <c r="D803" s="10" t="s">
        <v>1211</v>
      </c>
      <c r="E803" s="10" t="s">
        <v>116</v>
      </c>
      <c r="F803" s="10" t="s">
        <v>557</v>
      </c>
      <c r="G803" s="55" t="str">
        <f t="shared" si="18"/>
        <v>Obsolete</v>
      </c>
      <c r="H803" s="10"/>
      <c r="I803" s="13"/>
      <c r="J803" s="56"/>
      <c r="K803" s="57"/>
      <c r="M803" s="14"/>
      <c r="N803" s="14"/>
      <c r="O803" s="14"/>
      <c r="P803" s="14"/>
      <c r="Q803" s="14"/>
      <c r="R803" s="14"/>
      <c r="S803" s="14"/>
      <c r="T803" s="70"/>
      <c r="U803" s="76" t="s">
        <v>54</v>
      </c>
      <c r="V803" s="76" t="s">
        <v>38</v>
      </c>
      <c r="W803" s="76" t="s">
        <v>54</v>
      </c>
      <c r="X803" s="76" t="s">
        <v>38</v>
      </c>
      <c r="Y803" s="77" t="s">
        <v>37</v>
      </c>
      <c r="Z803" s="78"/>
      <c r="AA803" s="79" t="s">
        <v>277</v>
      </c>
      <c r="AB803" s="79" t="s">
        <v>37</v>
      </c>
      <c r="AC803" s="79" t="s">
        <v>35</v>
      </c>
      <c r="AD803" s="79" t="s">
        <v>38</v>
      </c>
      <c r="AE803" s="79" t="s">
        <v>1264</v>
      </c>
      <c r="AF803" s="79">
        <v>8991280318</v>
      </c>
      <c r="AG803" s="79" t="s">
        <v>1265</v>
      </c>
      <c r="AH803" s="79"/>
      <c r="AI803" s="53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</row>
    <row r="804" spans="1:110" ht="13.8" x14ac:dyDescent="0.25">
      <c r="A804" s="10">
        <v>1502011</v>
      </c>
      <c r="B804" s="11" t="s">
        <v>1211</v>
      </c>
      <c r="C804" s="12" t="s">
        <v>1306</v>
      </c>
      <c r="D804" s="10" t="s">
        <v>1211</v>
      </c>
      <c r="E804" s="10" t="s">
        <v>116</v>
      </c>
      <c r="F804" s="10" t="s">
        <v>557</v>
      </c>
      <c r="G804" s="55" t="str">
        <f t="shared" si="18"/>
        <v>Obsolete</v>
      </c>
      <c r="H804" s="10"/>
      <c r="I804" s="13"/>
      <c r="J804" s="56"/>
      <c r="K804" s="57"/>
      <c r="M804" s="14"/>
      <c r="N804" s="14"/>
      <c r="O804" s="14"/>
      <c r="P804" s="14"/>
      <c r="Q804" s="14"/>
      <c r="R804" s="14"/>
      <c r="S804" s="14"/>
      <c r="T804" s="70"/>
      <c r="U804" s="76" t="s">
        <v>54</v>
      </c>
      <c r="V804" s="76" t="s">
        <v>38</v>
      </c>
      <c r="W804" s="76" t="s">
        <v>54</v>
      </c>
      <c r="X804" s="76" t="s">
        <v>38</v>
      </c>
      <c r="Y804" s="77" t="s">
        <v>37</v>
      </c>
      <c r="Z804" s="78"/>
      <c r="AA804" s="79" t="s">
        <v>277</v>
      </c>
      <c r="AB804" s="79" t="s">
        <v>37</v>
      </c>
      <c r="AC804" s="79" t="s">
        <v>35</v>
      </c>
      <c r="AD804" s="79" t="s">
        <v>38</v>
      </c>
      <c r="AE804" s="79" t="s">
        <v>1264</v>
      </c>
      <c r="AF804" s="79">
        <v>8991280318</v>
      </c>
      <c r="AG804" s="79" t="s">
        <v>1265</v>
      </c>
      <c r="AH804" s="79"/>
      <c r="AI804" s="53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</row>
    <row r="805" spans="1:110" ht="13.8" x14ac:dyDescent="0.25">
      <c r="A805" s="10">
        <v>1502012</v>
      </c>
      <c r="B805" s="11" t="s">
        <v>1211</v>
      </c>
      <c r="C805" s="12" t="s">
        <v>1307</v>
      </c>
      <c r="D805" s="10" t="s">
        <v>1211</v>
      </c>
      <c r="E805" s="10" t="s">
        <v>116</v>
      </c>
      <c r="F805" s="10" t="s">
        <v>557</v>
      </c>
      <c r="G805" s="55" t="str">
        <f t="shared" si="18"/>
        <v>Obsolete</v>
      </c>
      <c r="H805" s="10"/>
      <c r="I805" s="13"/>
      <c r="J805" s="56"/>
      <c r="K805" s="57"/>
      <c r="M805" s="14"/>
      <c r="N805" s="14"/>
      <c r="O805" s="14"/>
      <c r="P805" s="14"/>
      <c r="Q805" s="14"/>
      <c r="R805" s="14"/>
      <c r="S805" s="14"/>
      <c r="T805" s="70"/>
      <c r="U805" s="76" t="s">
        <v>54</v>
      </c>
      <c r="V805" s="76" t="s">
        <v>38</v>
      </c>
      <c r="W805" s="76" t="s">
        <v>54</v>
      </c>
      <c r="X805" s="76" t="s">
        <v>38</v>
      </c>
      <c r="Y805" s="77" t="s">
        <v>37</v>
      </c>
      <c r="Z805" s="78"/>
      <c r="AA805" s="79" t="s">
        <v>277</v>
      </c>
      <c r="AB805" s="79" t="s">
        <v>37</v>
      </c>
      <c r="AC805" s="79" t="s">
        <v>35</v>
      </c>
      <c r="AD805" s="79" t="s">
        <v>38</v>
      </c>
      <c r="AE805" s="79" t="s">
        <v>1264</v>
      </c>
      <c r="AF805" s="79">
        <v>8991280318</v>
      </c>
      <c r="AG805" s="79" t="s">
        <v>1265</v>
      </c>
      <c r="AH805" s="79"/>
      <c r="AI805" s="53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</row>
    <row r="806" spans="1:110" ht="13.8" x14ac:dyDescent="0.25">
      <c r="A806" s="10">
        <v>1502013</v>
      </c>
      <c r="B806" s="11" t="s">
        <v>1211</v>
      </c>
      <c r="C806" s="12" t="s">
        <v>1308</v>
      </c>
      <c r="D806" s="10" t="s">
        <v>1211</v>
      </c>
      <c r="E806" s="10" t="s">
        <v>116</v>
      </c>
      <c r="F806" s="10" t="s">
        <v>557</v>
      </c>
      <c r="G806" s="55" t="str">
        <f t="shared" si="18"/>
        <v>Obsolete</v>
      </c>
      <c r="H806" s="10"/>
      <c r="I806" s="13"/>
      <c r="J806" s="56"/>
      <c r="K806" s="57"/>
      <c r="M806" s="14"/>
      <c r="N806" s="14"/>
      <c r="O806" s="14"/>
      <c r="P806" s="14"/>
      <c r="Q806" s="14"/>
      <c r="R806" s="14"/>
      <c r="S806" s="14"/>
      <c r="T806" s="70"/>
      <c r="U806" s="76" t="s">
        <v>54</v>
      </c>
      <c r="V806" s="76" t="s">
        <v>38</v>
      </c>
      <c r="W806" s="76" t="s">
        <v>54</v>
      </c>
      <c r="X806" s="76" t="s">
        <v>38</v>
      </c>
      <c r="Y806" s="77" t="s">
        <v>37</v>
      </c>
      <c r="Z806" s="78"/>
      <c r="AA806" s="79" t="s">
        <v>277</v>
      </c>
      <c r="AB806" s="79" t="s">
        <v>37</v>
      </c>
      <c r="AC806" s="79" t="s">
        <v>35</v>
      </c>
      <c r="AD806" s="79" t="s">
        <v>38</v>
      </c>
      <c r="AE806" s="79" t="s">
        <v>1264</v>
      </c>
      <c r="AF806" s="79">
        <v>8991280318</v>
      </c>
      <c r="AG806" s="79" t="s">
        <v>1265</v>
      </c>
      <c r="AH806" s="79"/>
      <c r="AI806" s="53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</row>
    <row r="807" spans="1:110" ht="13.8" x14ac:dyDescent="0.25">
      <c r="A807" s="10">
        <v>1502014</v>
      </c>
      <c r="B807" s="11" t="s">
        <v>1211</v>
      </c>
      <c r="C807" s="12" t="s">
        <v>1309</v>
      </c>
      <c r="D807" s="10" t="s">
        <v>1211</v>
      </c>
      <c r="E807" s="10" t="s">
        <v>116</v>
      </c>
      <c r="F807" s="10" t="s">
        <v>557</v>
      </c>
      <c r="G807" s="55" t="str">
        <f t="shared" si="18"/>
        <v>Obsolete</v>
      </c>
      <c r="H807" s="10"/>
      <c r="I807" s="13"/>
      <c r="J807" s="56"/>
      <c r="K807" s="57"/>
      <c r="M807" s="14"/>
      <c r="N807" s="14"/>
      <c r="O807" s="14"/>
      <c r="P807" s="14"/>
      <c r="Q807" s="14"/>
      <c r="R807" s="14"/>
      <c r="S807" s="14"/>
      <c r="T807" s="70"/>
      <c r="U807" s="76" t="s">
        <v>54</v>
      </c>
      <c r="V807" s="76" t="s">
        <v>38</v>
      </c>
      <c r="W807" s="76" t="s">
        <v>54</v>
      </c>
      <c r="X807" s="76" t="s">
        <v>38</v>
      </c>
      <c r="Y807" s="77" t="s">
        <v>37</v>
      </c>
      <c r="Z807" s="78"/>
      <c r="AA807" s="79" t="s">
        <v>277</v>
      </c>
      <c r="AB807" s="79" t="s">
        <v>37</v>
      </c>
      <c r="AC807" s="79" t="s">
        <v>35</v>
      </c>
      <c r="AD807" s="79" t="s">
        <v>38</v>
      </c>
      <c r="AE807" s="79" t="s">
        <v>1264</v>
      </c>
      <c r="AF807" s="79">
        <v>8991280318</v>
      </c>
      <c r="AG807" s="79" t="s">
        <v>1265</v>
      </c>
      <c r="AH807" s="79"/>
      <c r="AI807" s="53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</row>
    <row r="808" spans="1:110" ht="13.8" x14ac:dyDescent="0.25">
      <c r="A808" s="10">
        <v>1502015</v>
      </c>
      <c r="B808" s="11" t="s">
        <v>1211</v>
      </c>
      <c r="C808" s="12" t="s">
        <v>1310</v>
      </c>
      <c r="D808" s="10" t="s">
        <v>1211</v>
      </c>
      <c r="E808" s="10" t="s">
        <v>1311</v>
      </c>
      <c r="F808" s="10" t="s">
        <v>557</v>
      </c>
      <c r="G808" s="55" t="str">
        <f t="shared" si="18"/>
        <v>Obsolete</v>
      </c>
      <c r="H808" s="10">
        <v>1</v>
      </c>
      <c r="I808" s="13"/>
      <c r="J808" s="56"/>
      <c r="K808" s="57"/>
      <c r="M808" s="14"/>
      <c r="N808" s="14"/>
      <c r="O808" s="14"/>
      <c r="P808" s="14"/>
      <c r="Q808" s="14"/>
      <c r="R808" s="14"/>
      <c r="S808" s="14"/>
      <c r="T808" s="70"/>
      <c r="U808" s="76" t="s">
        <v>54</v>
      </c>
      <c r="V808" s="76">
        <v>0</v>
      </c>
      <c r="W808" s="76" t="s">
        <v>54</v>
      </c>
      <c r="X808" s="76">
        <v>0</v>
      </c>
      <c r="Y808" s="77" t="s">
        <v>37</v>
      </c>
      <c r="Z808" s="78"/>
      <c r="AA808" s="79" t="s">
        <v>36</v>
      </c>
      <c r="AB808" s="79" t="s">
        <v>37</v>
      </c>
      <c r="AC808" s="79" t="s">
        <v>37</v>
      </c>
      <c r="AD808" s="79" t="s">
        <v>38</v>
      </c>
      <c r="AE808" s="79" t="s">
        <v>1276</v>
      </c>
      <c r="AF808" s="79" t="s">
        <v>1312</v>
      </c>
      <c r="AG808" s="105" t="s">
        <v>1313</v>
      </c>
      <c r="AH808" s="79"/>
      <c r="AI808" s="53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</row>
    <row r="809" spans="1:110" ht="13.8" x14ac:dyDescent="0.25">
      <c r="A809" s="10">
        <v>1502016</v>
      </c>
      <c r="B809" s="26" t="s">
        <v>1314</v>
      </c>
      <c r="C809" s="16" t="s">
        <v>1315</v>
      </c>
      <c r="D809" s="10" t="s">
        <v>1316</v>
      </c>
      <c r="E809" s="10" t="s">
        <v>189</v>
      </c>
      <c r="F809" s="10" t="s">
        <v>557</v>
      </c>
      <c r="G809" s="58">
        <v>0</v>
      </c>
      <c r="H809" s="10"/>
      <c r="I809" s="13"/>
      <c r="J809" s="56"/>
      <c r="K809" s="57"/>
      <c r="M809" s="15"/>
      <c r="N809" s="15"/>
      <c r="O809" s="15"/>
      <c r="P809" s="15"/>
      <c r="Q809" s="15"/>
      <c r="R809" s="15"/>
      <c r="S809" s="15"/>
      <c r="T809" s="71"/>
      <c r="U809" s="77">
        <v>0</v>
      </c>
      <c r="V809" s="77">
        <v>0</v>
      </c>
      <c r="W809" s="77">
        <v>0</v>
      </c>
      <c r="X809" s="77">
        <v>0</v>
      </c>
      <c r="Y809" s="77" t="s">
        <v>37</v>
      </c>
      <c r="Z809" s="87"/>
      <c r="AA809" s="79" t="s">
        <v>189</v>
      </c>
      <c r="AB809" s="79" t="s">
        <v>37</v>
      </c>
      <c r="AC809" s="79" t="s">
        <v>35</v>
      </c>
      <c r="AD809" s="91" t="s">
        <v>57</v>
      </c>
      <c r="AE809" s="79"/>
      <c r="AF809" s="79"/>
      <c r="AG809" s="79"/>
      <c r="AH809" s="79"/>
      <c r="AI809" s="53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</row>
    <row r="810" spans="1:110" ht="13.8" x14ac:dyDescent="0.25">
      <c r="A810" s="10">
        <v>1502017</v>
      </c>
      <c r="B810" s="26" t="s">
        <v>1314</v>
      </c>
      <c r="C810" s="16" t="s">
        <v>1317</v>
      </c>
      <c r="D810" s="10" t="s">
        <v>1316</v>
      </c>
      <c r="E810" s="10" t="s">
        <v>189</v>
      </c>
      <c r="F810" s="10" t="s">
        <v>557</v>
      </c>
      <c r="G810" s="58">
        <v>0</v>
      </c>
      <c r="H810" s="10"/>
      <c r="I810" s="13"/>
      <c r="J810" s="56"/>
      <c r="K810" s="57"/>
      <c r="M810" s="15"/>
      <c r="N810" s="15"/>
      <c r="O810" s="15"/>
      <c r="P810" s="15"/>
      <c r="Q810" s="15"/>
      <c r="R810" s="15"/>
      <c r="S810" s="15"/>
      <c r="T810" s="71"/>
      <c r="U810" s="77"/>
      <c r="V810" s="77"/>
      <c r="W810" s="77"/>
      <c r="X810" s="77"/>
      <c r="Y810" s="77"/>
      <c r="Z810" s="87"/>
      <c r="AA810" s="79" t="s">
        <v>189</v>
      </c>
      <c r="AB810" s="79"/>
      <c r="AC810" s="79"/>
      <c r="AD810" s="79"/>
      <c r="AE810" s="79"/>
      <c r="AF810" s="79"/>
      <c r="AG810" s="79"/>
      <c r="AH810" s="79"/>
      <c r="AI810" s="53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</row>
    <row r="811" spans="1:110" ht="13.8" x14ac:dyDescent="0.25">
      <c r="A811" s="10">
        <v>1502018</v>
      </c>
      <c r="B811" s="26" t="s">
        <v>1314</v>
      </c>
      <c r="C811" s="16" t="s">
        <v>1318</v>
      </c>
      <c r="D811" s="10" t="s">
        <v>1316</v>
      </c>
      <c r="E811" s="10" t="s">
        <v>1319</v>
      </c>
      <c r="F811" s="10" t="s">
        <v>557</v>
      </c>
      <c r="G811" s="55">
        <f>IF(U811="Obsolete",U811,U811+V811)</f>
        <v>9.1656999999999993</v>
      </c>
      <c r="H811" s="10"/>
      <c r="I811" s="13"/>
      <c r="J811" s="56"/>
      <c r="K811" s="57"/>
      <c r="M811" s="15"/>
      <c r="N811" s="15"/>
      <c r="O811" s="15"/>
      <c r="P811" s="15"/>
      <c r="Q811" s="15"/>
      <c r="R811" s="15"/>
      <c r="S811" s="15"/>
      <c r="T811" s="71"/>
      <c r="U811" s="77">
        <v>7.2157</v>
      </c>
      <c r="V811" s="77">
        <f>37.05/19</f>
        <v>1.95</v>
      </c>
      <c r="W811" s="77">
        <v>7.2157</v>
      </c>
      <c r="X811" s="77">
        <f>37.05/19</f>
        <v>1.95</v>
      </c>
      <c r="Y811" s="77"/>
      <c r="Z811" s="87"/>
      <c r="AA811" s="79" t="s">
        <v>272</v>
      </c>
      <c r="AB811" s="79"/>
      <c r="AC811" s="79"/>
      <c r="AD811" s="79"/>
      <c r="AE811" s="79"/>
      <c r="AF811" s="79"/>
      <c r="AG811" s="79"/>
      <c r="AH811" s="79"/>
      <c r="AI811" s="53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</row>
    <row r="812" spans="1:110" ht="13.8" x14ac:dyDescent="0.25">
      <c r="A812" s="10">
        <v>1502019</v>
      </c>
      <c r="B812" s="26" t="s">
        <v>1314</v>
      </c>
      <c r="C812" s="16" t="s">
        <v>1526</v>
      </c>
      <c r="D812" s="10" t="s">
        <v>1316</v>
      </c>
      <c r="E812" s="10" t="s">
        <v>102</v>
      </c>
      <c r="F812" s="10" t="s">
        <v>557</v>
      </c>
      <c r="G812" s="55">
        <v>0</v>
      </c>
      <c r="H812" s="10"/>
      <c r="I812" s="13"/>
      <c r="J812" s="56"/>
      <c r="K812" s="57"/>
      <c r="M812" s="15"/>
      <c r="N812" s="15"/>
      <c r="O812" s="15"/>
      <c r="P812" s="15"/>
      <c r="Q812" s="15"/>
      <c r="R812" s="15"/>
      <c r="S812" s="15"/>
      <c r="T812" s="71"/>
      <c r="U812" s="77"/>
      <c r="V812" s="77"/>
      <c r="W812" s="77"/>
      <c r="X812" s="77"/>
      <c r="Y812" s="77"/>
      <c r="Z812" s="87"/>
      <c r="AA812" s="79" t="s">
        <v>102</v>
      </c>
      <c r="AB812" s="79" t="s">
        <v>35</v>
      </c>
      <c r="AC812" s="79" t="s">
        <v>35</v>
      </c>
      <c r="AD812" s="79" t="s">
        <v>38</v>
      </c>
      <c r="AE812" s="79" t="s">
        <v>313</v>
      </c>
      <c r="AF812" s="79" t="s">
        <v>1510</v>
      </c>
      <c r="AG812" s="80" t="s">
        <v>473</v>
      </c>
      <c r="AH812" s="79"/>
      <c r="AI812" s="53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</row>
    <row r="813" spans="1:110" ht="13.8" x14ac:dyDescent="0.25">
      <c r="A813" s="10">
        <v>1502020</v>
      </c>
      <c r="B813" s="26" t="s">
        <v>1314</v>
      </c>
      <c r="C813" s="16" t="s">
        <v>1552</v>
      </c>
      <c r="D813" s="10" t="s">
        <v>1316</v>
      </c>
      <c r="E813" s="10" t="s">
        <v>102</v>
      </c>
      <c r="F813" s="10" t="s">
        <v>557</v>
      </c>
      <c r="G813" s="55">
        <v>0</v>
      </c>
      <c r="H813" s="10"/>
      <c r="I813" s="13"/>
      <c r="J813" s="56"/>
      <c r="K813" s="57"/>
      <c r="M813" s="15"/>
      <c r="N813" s="15"/>
      <c r="O813" s="15"/>
      <c r="P813" s="15"/>
      <c r="Q813" s="15"/>
      <c r="R813" s="15"/>
      <c r="S813" s="15"/>
      <c r="T813" s="71"/>
      <c r="U813" s="77"/>
      <c r="V813" s="77"/>
      <c r="W813" s="77"/>
      <c r="X813" s="77"/>
      <c r="Y813" s="77"/>
      <c r="Z813" s="87"/>
      <c r="AA813" s="79" t="s">
        <v>102</v>
      </c>
      <c r="AB813" s="79" t="s">
        <v>35</v>
      </c>
      <c r="AC813" s="79" t="s">
        <v>35</v>
      </c>
      <c r="AD813" s="79" t="s">
        <v>38</v>
      </c>
      <c r="AE813" s="79" t="s">
        <v>313</v>
      </c>
      <c r="AF813" s="79" t="s">
        <v>1510</v>
      </c>
      <c r="AG813" s="80" t="s">
        <v>473</v>
      </c>
      <c r="AH813" s="79"/>
      <c r="AI813" s="53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</row>
    <row r="814" spans="1:110" ht="13.8" x14ac:dyDescent="0.25">
      <c r="A814" s="10">
        <v>1502021</v>
      </c>
      <c r="B814" s="26" t="s">
        <v>1314</v>
      </c>
      <c r="C814" s="16" t="s">
        <v>1561</v>
      </c>
      <c r="D814" s="10" t="s">
        <v>1316</v>
      </c>
      <c r="E814" s="10" t="s">
        <v>189</v>
      </c>
      <c r="F814" s="10" t="s">
        <v>557</v>
      </c>
      <c r="G814" s="58">
        <v>0</v>
      </c>
      <c r="H814" s="10"/>
      <c r="I814" s="13"/>
      <c r="J814" s="56"/>
      <c r="K814" s="57"/>
      <c r="M814" s="15"/>
      <c r="N814" s="15"/>
      <c r="O814" s="15"/>
      <c r="P814" s="15"/>
      <c r="Q814" s="15"/>
      <c r="R814" s="15"/>
      <c r="S814" s="15"/>
      <c r="T814" s="71"/>
      <c r="U814" s="77"/>
      <c r="V814" s="77"/>
      <c r="W814" s="77"/>
      <c r="X814" s="77"/>
      <c r="Y814" s="77"/>
      <c r="Z814" s="87"/>
      <c r="AA814" s="79" t="s">
        <v>189</v>
      </c>
      <c r="AB814" s="79"/>
      <c r="AC814" s="79"/>
      <c r="AD814" s="79"/>
      <c r="AE814" s="79"/>
      <c r="AF814" s="79"/>
      <c r="AG814" s="80"/>
      <c r="AH814" s="79"/>
      <c r="AI814" s="53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</row>
    <row r="815" spans="1:110" ht="13.8" x14ac:dyDescent="0.25">
      <c r="A815" s="10">
        <v>1503001</v>
      </c>
      <c r="B815" s="26" t="s">
        <v>1314</v>
      </c>
      <c r="C815" s="12" t="s">
        <v>1320</v>
      </c>
      <c r="D815" s="11"/>
      <c r="E815" s="17" t="s">
        <v>57</v>
      </c>
      <c r="F815" s="10" t="s">
        <v>557</v>
      </c>
      <c r="G815" s="55" t="str">
        <f t="shared" ref="G815:G829" si="19">IF(U815="Obsolete",U815,U815+V815)</f>
        <v>Obsolete</v>
      </c>
      <c r="H815" s="10"/>
      <c r="I815" s="13"/>
      <c r="J815" s="56"/>
      <c r="K815" s="57"/>
      <c r="M815" s="10"/>
      <c r="N815" s="10"/>
      <c r="O815" s="29"/>
      <c r="P815" s="29"/>
      <c r="Q815" s="29"/>
      <c r="R815" s="29"/>
      <c r="S815" s="29"/>
      <c r="T815" s="72"/>
      <c r="U815" s="97" t="s">
        <v>54</v>
      </c>
      <c r="V815" s="97"/>
      <c r="W815" s="97" t="s">
        <v>54</v>
      </c>
      <c r="X815" s="97"/>
      <c r="Y815" s="97"/>
      <c r="Z815" s="78"/>
      <c r="AA815" s="79" t="s">
        <v>55</v>
      </c>
      <c r="AB815" s="79" t="s">
        <v>37</v>
      </c>
      <c r="AC815" s="79" t="s">
        <v>37</v>
      </c>
      <c r="AD815" s="79"/>
      <c r="AE815" s="79"/>
      <c r="AF815" s="79"/>
      <c r="AG815" s="79"/>
      <c r="AH815" s="79"/>
      <c r="AI815" s="53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</row>
    <row r="816" spans="1:110" ht="13.8" x14ac:dyDescent="0.25">
      <c r="A816" s="24">
        <v>1503002</v>
      </c>
      <c r="B816" s="26" t="s">
        <v>1314</v>
      </c>
      <c r="C816" s="25" t="s">
        <v>1321</v>
      </c>
      <c r="D816" s="26"/>
      <c r="E816" s="17" t="s">
        <v>57</v>
      </c>
      <c r="F816" s="10" t="s">
        <v>557</v>
      </c>
      <c r="G816" s="55" t="str">
        <f t="shared" si="19"/>
        <v>Obsolete</v>
      </c>
      <c r="H816" s="10"/>
      <c r="I816" s="13"/>
      <c r="J816" s="56"/>
      <c r="K816" s="57"/>
      <c r="M816" s="10"/>
      <c r="N816" s="10"/>
      <c r="O816" s="29"/>
      <c r="P816" s="29"/>
      <c r="Q816" s="29"/>
      <c r="R816" s="29"/>
      <c r="S816" s="29"/>
      <c r="T816" s="72"/>
      <c r="U816" s="97" t="s">
        <v>54</v>
      </c>
      <c r="V816" s="97"/>
      <c r="W816" s="97" t="s">
        <v>54</v>
      </c>
      <c r="X816" s="97"/>
      <c r="Y816" s="97"/>
      <c r="Z816" s="87"/>
      <c r="AA816" s="79"/>
      <c r="AB816" s="79" t="s">
        <v>37</v>
      </c>
      <c r="AC816" s="79" t="s">
        <v>37</v>
      </c>
      <c r="AD816" s="79"/>
      <c r="AE816" s="79"/>
      <c r="AF816" s="79"/>
      <c r="AG816" s="79"/>
      <c r="AH816" s="79"/>
      <c r="AI816" s="53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</row>
    <row r="817" spans="1:110" ht="13.8" x14ac:dyDescent="0.25">
      <c r="A817" s="10">
        <v>1503003</v>
      </c>
      <c r="B817" s="26" t="s">
        <v>1314</v>
      </c>
      <c r="C817" s="12" t="s">
        <v>1322</v>
      </c>
      <c r="D817" s="11"/>
      <c r="E817" s="17" t="s">
        <v>57</v>
      </c>
      <c r="F817" s="10" t="s">
        <v>557</v>
      </c>
      <c r="G817" s="55" t="str">
        <f t="shared" si="19"/>
        <v>Obsolete</v>
      </c>
      <c r="H817" s="10"/>
      <c r="I817" s="13"/>
      <c r="J817" s="56"/>
      <c r="K817" s="57"/>
      <c r="M817" s="10"/>
      <c r="N817" s="10"/>
      <c r="O817" s="29"/>
      <c r="P817" s="29"/>
      <c r="Q817" s="29"/>
      <c r="R817" s="29"/>
      <c r="S817" s="29"/>
      <c r="T817" s="72"/>
      <c r="U817" s="97" t="s">
        <v>54</v>
      </c>
      <c r="V817" s="97"/>
      <c r="W817" s="97" t="s">
        <v>54</v>
      </c>
      <c r="X817" s="97"/>
      <c r="Y817" s="97"/>
      <c r="Z817" s="78"/>
      <c r="AA817" s="79" t="s">
        <v>55</v>
      </c>
      <c r="AB817" s="79" t="s">
        <v>37</v>
      </c>
      <c r="AC817" s="79" t="s">
        <v>37</v>
      </c>
      <c r="AD817" s="79"/>
      <c r="AE817" s="79"/>
      <c r="AF817" s="79"/>
      <c r="AG817" s="79"/>
      <c r="AH817" s="79"/>
      <c r="AI817" s="53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</row>
    <row r="818" spans="1:110" ht="13.8" x14ac:dyDescent="0.25">
      <c r="A818" s="24">
        <v>1503004</v>
      </c>
      <c r="B818" s="26" t="s">
        <v>1314</v>
      </c>
      <c r="C818" s="25" t="s">
        <v>1323</v>
      </c>
      <c r="D818" s="26"/>
      <c r="E818" s="17" t="s">
        <v>57</v>
      </c>
      <c r="F818" s="10" t="s">
        <v>557</v>
      </c>
      <c r="G818" s="55" t="str">
        <f t="shared" si="19"/>
        <v>Obsolete</v>
      </c>
      <c r="H818" s="10"/>
      <c r="I818" s="13"/>
      <c r="J818" s="56"/>
      <c r="K818" s="57"/>
      <c r="M818" s="10"/>
      <c r="N818" s="10"/>
      <c r="O818" s="29"/>
      <c r="P818" s="29"/>
      <c r="Q818" s="29"/>
      <c r="R818" s="29"/>
      <c r="S818" s="29"/>
      <c r="T818" s="72"/>
      <c r="U818" s="97" t="s">
        <v>54</v>
      </c>
      <c r="V818" s="97"/>
      <c r="W818" s="97" t="s">
        <v>54</v>
      </c>
      <c r="X818" s="97"/>
      <c r="Y818" s="97"/>
      <c r="Z818" s="87"/>
      <c r="AA818" s="79"/>
      <c r="AB818" s="79" t="s">
        <v>37</v>
      </c>
      <c r="AC818" s="79" t="s">
        <v>37</v>
      </c>
      <c r="AD818" s="79"/>
      <c r="AE818" s="79"/>
      <c r="AF818" s="79"/>
      <c r="AG818" s="79"/>
      <c r="AH818" s="79"/>
      <c r="AI818" s="53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</row>
    <row r="819" spans="1:110" ht="20.399999999999999" x14ac:dyDescent="0.25">
      <c r="A819" s="24">
        <v>1503005</v>
      </c>
      <c r="B819" s="26" t="s">
        <v>1314</v>
      </c>
      <c r="C819" s="25" t="s">
        <v>1324</v>
      </c>
      <c r="D819" s="26"/>
      <c r="E819" s="10" t="s">
        <v>1325</v>
      </c>
      <c r="F819" s="10" t="s">
        <v>557</v>
      </c>
      <c r="G819" s="55" t="str">
        <f t="shared" si="19"/>
        <v>Obsolete</v>
      </c>
      <c r="H819" s="10"/>
      <c r="I819" s="13">
        <v>1000</v>
      </c>
      <c r="J819" s="56"/>
      <c r="K819" s="57"/>
      <c r="M819" s="10">
        <v>0.98</v>
      </c>
      <c r="N819" s="10"/>
      <c r="O819" s="29"/>
      <c r="P819" s="29"/>
      <c r="Q819" s="29"/>
      <c r="R819" s="29"/>
      <c r="S819" s="29"/>
      <c r="T819" s="72"/>
      <c r="U819" s="97" t="s">
        <v>54</v>
      </c>
      <c r="V819" s="97"/>
      <c r="W819" s="97" t="s">
        <v>54</v>
      </c>
      <c r="X819" s="97"/>
      <c r="Y819" s="97"/>
      <c r="Z819" s="87"/>
      <c r="AA819" s="79" t="s">
        <v>64</v>
      </c>
      <c r="AB819" s="79" t="s">
        <v>37</v>
      </c>
      <c r="AC819" s="79" t="s">
        <v>37</v>
      </c>
      <c r="AD819" s="79"/>
      <c r="AE819" s="79" t="s">
        <v>1326</v>
      </c>
      <c r="AF819" s="79" t="s">
        <v>1327</v>
      </c>
      <c r="AG819" s="79" t="s">
        <v>1328</v>
      </c>
      <c r="AH819" s="79"/>
      <c r="AI819" s="53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</row>
    <row r="820" spans="1:110" ht="20.399999999999999" x14ac:dyDescent="0.25">
      <c r="A820" s="24">
        <v>1503006</v>
      </c>
      <c r="B820" s="26" t="s">
        <v>1314</v>
      </c>
      <c r="C820" s="25" t="s">
        <v>1329</v>
      </c>
      <c r="D820" s="26"/>
      <c r="E820" s="10" t="s">
        <v>1325</v>
      </c>
      <c r="F820" s="10" t="s">
        <v>557</v>
      </c>
      <c r="G820" s="55" t="str">
        <f t="shared" si="19"/>
        <v>Obsolete</v>
      </c>
      <c r="H820" s="10"/>
      <c r="I820" s="13">
        <v>1000</v>
      </c>
      <c r="J820" s="56"/>
      <c r="K820" s="57"/>
      <c r="M820" s="29">
        <v>0.98</v>
      </c>
      <c r="N820" s="10"/>
      <c r="O820" s="29"/>
      <c r="P820" s="29"/>
      <c r="Q820" s="29"/>
      <c r="R820" s="29"/>
      <c r="S820" s="29"/>
      <c r="T820" s="72"/>
      <c r="U820" s="97" t="s">
        <v>54</v>
      </c>
      <c r="V820" s="97"/>
      <c r="W820" s="97" t="s">
        <v>54</v>
      </c>
      <c r="X820" s="97"/>
      <c r="Y820" s="97"/>
      <c r="Z820" s="87"/>
      <c r="AA820" s="79" t="s">
        <v>64</v>
      </c>
      <c r="AB820" s="79" t="s">
        <v>37</v>
      </c>
      <c r="AC820" s="79" t="s">
        <v>37</v>
      </c>
      <c r="AD820" s="79"/>
      <c r="AE820" s="79" t="s">
        <v>1326</v>
      </c>
      <c r="AF820" s="79" t="s">
        <v>1327</v>
      </c>
      <c r="AG820" s="79" t="s">
        <v>1328</v>
      </c>
      <c r="AH820" s="79"/>
      <c r="AI820" s="53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</row>
    <row r="821" spans="1:110" ht="20.399999999999999" x14ac:dyDescent="0.25">
      <c r="A821" s="24">
        <v>1503007</v>
      </c>
      <c r="B821" s="26" t="s">
        <v>1314</v>
      </c>
      <c r="C821" s="25" t="s">
        <v>1330</v>
      </c>
      <c r="D821" s="26"/>
      <c r="E821" s="10" t="s">
        <v>1325</v>
      </c>
      <c r="F821" s="10" t="s">
        <v>557</v>
      </c>
      <c r="G821" s="55" t="str">
        <f t="shared" si="19"/>
        <v>Obsolete</v>
      </c>
      <c r="H821" s="10"/>
      <c r="I821" s="13">
        <v>1000</v>
      </c>
      <c r="J821" s="56"/>
      <c r="K821" s="57"/>
      <c r="M821" s="29">
        <v>0.98</v>
      </c>
      <c r="N821" s="10"/>
      <c r="O821" s="29"/>
      <c r="P821" s="29"/>
      <c r="Q821" s="29"/>
      <c r="R821" s="29"/>
      <c r="S821" s="29"/>
      <c r="T821" s="72"/>
      <c r="U821" s="97" t="s">
        <v>54</v>
      </c>
      <c r="V821" s="97"/>
      <c r="W821" s="97" t="s">
        <v>54</v>
      </c>
      <c r="X821" s="97"/>
      <c r="Y821" s="97"/>
      <c r="Z821" s="87"/>
      <c r="AA821" s="79" t="s">
        <v>64</v>
      </c>
      <c r="AB821" s="79" t="s">
        <v>37</v>
      </c>
      <c r="AC821" s="79" t="s">
        <v>37</v>
      </c>
      <c r="AD821" s="79"/>
      <c r="AE821" s="79" t="s">
        <v>1326</v>
      </c>
      <c r="AF821" s="79" t="s">
        <v>1327</v>
      </c>
      <c r="AG821" s="79" t="s">
        <v>1328</v>
      </c>
      <c r="AH821" s="79"/>
      <c r="AI821" s="53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</row>
    <row r="822" spans="1:110" ht="40.799999999999997" x14ac:dyDescent="0.25">
      <c r="A822" s="24">
        <v>1503008</v>
      </c>
      <c r="B822" s="26" t="s">
        <v>1314</v>
      </c>
      <c r="C822" s="25" t="s">
        <v>1331</v>
      </c>
      <c r="D822" s="26"/>
      <c r="E822" s="10" t="s">
        <v>1325</v>
      </c>
      <c r="F822" s="10" t="s">
        <v>557</v>
      </c>
      <c r="G822" s="55" t="str">
        <f t="shared" si="19"/>
        <v>Obsolete</v>
      </c>
      <c r="H822" s="10"/>
      <c r="I822" s="13">
        <v>1000</v>
      </c>
      <c r="J822" s="56"/>
      <c r="K822" s="57"/>
      <c r="M822" s="29">
        <v>0.98</v>
      </c>
      <c r="N822" s="10"/>
      <c r="O822" s="29"/>
      <c r="P822" s="29"/>
      <c r="Q822" s="29"/>
      <c r="R822" s="29"/>
      <c r="S822" s="29"/>
      <c r="T822" s="72"/>
      <c r="U822" s="97" t="s">
        <v>54</v>
      </c>
      <c r="V822" s="97"/>
      <c r="W822" s="97" t="s">
        <v>54</v>
      </c>
      <c r="X822" s="97"/>
      <c r="Y822" s="97"/>
      <c r="Z822" s="87"/>
      <c r="AA822" s="79" t="s">
        <v>64</v>
      </c>
      <c r="AB822" s="79" t="s">
        <v>37</v>
      </c>
      <c r="AC822" s="79" t="s">
        <v>37</v>
      </c>
      <c r="AD822" s="79"/>
      <c r="AE822" s="79" t="s">
        <v>1326</v>
      </c>
      <c r="AF822" s="79" t="s">
        <v>1327</v>
      </c>
      <c r="AG822" s="79" t="s">
        <v>1328</v>
      </c>
      <c r="AH822" s="79"/>
      <c r="AI822" s="53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</row>
    <row r="823" spans="1:110" ht="40.799999999999997" x14ac:dyDescent="0.25">
      <c r="A823" s="24">
        <v>1503009</v>
      </c>
      <c r="B823" s="26" t="s">
        <v>1314</v>
      </c>
      <c r="C823" s="25" t="s">
        <v>1332</v>
      </c>
      <c r="D823" s="26"/>
      <c r="E823" s="10" t="s">
        <v>1325</v>
      </c>
      <c r="F823" s="10" t="s">
        <v>557</v>
      </c>
      <c r="G823" s="55" t="str">
        <f t="shared" si="19"/>
        <v>Obsolete</v>
      </c>
      <c r="H823" s="10"/>
      <c r="I823" s="13">
        <v>1000</v>
      </c>
      <c r="J823" s="56"/>
      <c r="K823" s="57"/>
      <c r="M823" s="29">
        <v>0.98</v>
      </c>
      <c r="N823" s="10"/>
      <c r="O823" s="29"/>
      <c r="P823" s="29"/>
      <c r="Q823" s="29"/>
      <c r="R823" s="29"/>
      <c r="S823" s="29"/>
      <c r="T823" s="72"/>
      <c r="U823" s="97" t="s">
        <v>54</v>
      </c>
      <c r="V823" s="97"/>
      <c r="W823" s="97" t="s">
        <v>54</v>
      </c>
      <c r="X823" s="97"/>
      <c r="Y823" s="97"/>
      <c r="Z823" s="87"/>
      <c r="AA823" s="79" t="s">
        <v>64</v>
      </c>
      <c r="AB823" s="79" t="s">
        <v>37</v>
      </c>
      <c r="AC823" s="79" t="s">
        <v>37</v>
      </c>
      <c r="AD823" s="79"/>
      <c r="AE823" s="79" t="s">
        <v>1326</v>
      </c>
      <c r="AF823" s="79" t="s">
        <v>1327</v>
      </c>
      <c r="AG823" s="79" t="s">
        <v>1328</v>
      </c>
      <c r="AH823" s="79"/>
      <c r="AI823" s="53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</row>
    <row r="824" spans="1:110" ht="13.8" x14ac:dyDescent="0.25">
      <c r="A824" s="24">
        <v>1503010</v>
      </c>
      <c r="B824" s="26" t="s">
        <v>1314</v>
      </c>
      <c r="C824" s="25" t="s">
        <v>1333</v>
      </c>
      <c r="D824" s="26" t="s">
        <v>1334</v>
      </c>
      <c r="E824" s="10" t="s">
        <v>1325</v>
      </c>
      <c r="F824" s="10" t="s">
        <v>557</v>
      </c>
      <c r="G824" s="55" t="str">
        <f t="shared" si="19"/>
        <v>Obsolete</v>
      </c>
      <c r="H824" s="10"/>
      <c r="I824" s="13"/>
      <c r="J824" s="56"/>
      <c r="K824" s="57"/>
      <c r="M824" s="10"/>
      <c r="N824" s="10"/>
      <c r="O824" s="29"/>
      <c r="P824" s="29"/>
      <c r="Q824" s="29"/>
      <c r="R824" s="29"/>
      <c r="S824" s="29"/>
      <c r="T824" s="72"/>
      <c r="U824" s="97" t="s">
        <v>54</v>
      </c>
      <c r="V824" s="97"/>
      <c r="W824" s="97" t="s">
        <v>54</v>
      </c>
      <c r="X824" s="97"/>
      <c r="Y824" s="97"/>
      <c r="Z824" s="87"/>
      <c r="AA824" s="79" t="s">
        <v>64</v>
      </c>
      <c r="AB824" s="79" t="s">
        <v>37</v>
      </c>
      <c r="AC824" s="79" t="s">
        <v>37</v>
      </c>
      <c r="AD824" s="79"/>
      <c r="AE824" s="79" t="s">
        <v>1326</v>
      </c>
      <c r="AF824" s="79" t="s">
        <v>1327</v>
      </c>
      <c r="AG824" s="79" t="s">
        <v>1328</v>
      </c>
      <c r="AH824" s="79"/>
      <c r="AI824" s="53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</row>
    <row r="825" spans="1:110" ht="13.8" x14ac:dyDescent="0.25">
      <c r="A825" s="24">
        <v>1503011</v>
      </c>
      <c r="B825" s="26" t="s">
        <v>1314</v>
      </c>
      <c r="C825" s="25" t="s">
        <v>1335</v>
      </c>
      <c r="D825" s="26" t="s">
        <v>1336</v>
      </c>
      <c r="E825" s="10" t="s">
        <v>1325</v>
      </c>
      <c r="F825" s="10" t="s">
        <v>557</v>
      </c>
      <c r="G825" s="55" t="str">
        <f t="shared" si="19"/>
        <v>Obsolete</v>
      </c>
      <c r="H825" s="10"/>
      <c r="I825" s="13"/>
      <c r="J825" s="56"/>
      <c r="K825" s="57"/>
      <c r="M825" s="10">
        <v>11</v>
      </c>
      <c r="N825" s="10"/>
      <c r="O825" s="29"/>
      <c r="P825" s="29"/>
      <c r="Q825" s="29"/>
      <c r="R825" s="29"/>
      <c r="S825" s="29"/>
      <c r="T825" s="72"/>
      <c r="U825" s="97" t="s">
        <v>54</v>
      </c>
      <c r="V825" s="97"/>
      <c r="W825" s="97" t="s">
        <v>54</v>
      </c>
      <c r="X825" s="97"/>
      <c r="Y825" s="97"/>
      <c r="Z825" s="87"/>
      <c r="AA825" s="79" t="s">
        <v>64</v>
      </c>
      <c r="AB825" s="79" t="s">
        <v>37</v>
      </c>
      <c r="AC825" s="79" t="s">
        <v>37</v>
      </c>
      <c r="AD825" s="79"/>
      <c r="AE825" s="79"/>
      <c r="AF825" s="79"/>
      <c r="AG825" s="79"/>
      <c r="AH825" s="79"/>
      <c r="AI825" s="53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</row>
    <row r="826" spans="1:110" ht="13.8" x14ac:dyDescent="0.25">
      <c r="A826" s="10">
        <v>1503012</v>
      </c>
      <c r="B826" s="26" t="s">
        <v>1314</v>
      </c>
      <c r="C826" s="16" t="s">
        <v>1337</v>
      </c>
      <c r="D826" s="26"/>
      <c r="E826" s="10" t="s">
        <v>64</v>
      </c>
      <c r="F826" s="10" t="s">
        <v>557</v>
      </c>
      <c r="G826" s="55" t="str">
        <f t="shared" si="19"/>
        <v>Obsolete</v>
      </c>
      <c r="H826" s="10"/>
      <c r="I826" s="13"/>
      <c r="J826" s="56"/>
      <c r="K826" s="57"/>
      <c r="M826" s="10"/>
      <c r="N826" s="10"/>
      <c r="O826" s="29"/>
      <c r="P826" s="29"/>
      <c r="Q826" s="29"/>
      <c r="R826" s="29"/>
      <c r="S826" s="29"/>
      <c r="T826" s="72"/>
      <c r="U826" s="97" t="s">
        <v>54</v>
      </c>
      <c r="V826" s="97"/>
      <c r="W826" s="97" t="s">
        <v>54</v>
      </c>
      <c r="X826" s="97"/>
      <c r="Y826" s="97"/>
      <c r="Z826" s="87"/>
      <c r="AA826" s="79" t="s">
        <v>64</v>
      </c>
      <c r="AB826" s="79" t="s">
        <v>37</v>
      </c>
      <c r="AC826" s="79" t="s">
        <v>37</v>
      </c>
      <c r="AD826" s="79"/>
      <c r="AE826" s="79"/>
      <c r="AF826" s="79"/>
      <c r="AG826" s="79"/>
      <c r="AH826" s="79"/>
      <c r="AI826" s="53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</row>
    <row r="827" spans="1:110" ht="20.399999999999999" x14ac:dyDescent="0.25">
      <c r="A827" s="10">
        <v>1503013</v>
      </c>
      <c r="B827" s="11" t="s">
        <v>1211</v>
      </c>
      <c r="C827" s="25" t="s">
        <v>1338</v>
      </c>
      <c r="D827" s="26"/>
      <c r="E827" s="10" t="s">
        <v>1339</v>
      </c>
      <c r="F827" s="10" t="s">
        <v>557</v>
      </c>
      <c r="G827" s="55">
        <f t="shared" si="19"/>
        <v>26.271874999999998</v>
      </c>
      <c r="H827" s="10">
        <v>2</v>
      </c>
      <c r="I827" s="13">
        <v>50</v>
      </c>
      <c r="J827" s="56"/>
      <c r="K827" s="57"/>
      <c r="M827" s="14"/>
      <c r="N827" s="14"/>
      <c r="O827" s="14"/>
      <c r="P827" s="14"/>
      <c r="Q827" s="14"/>
      <c r="R827" s="14"/>
      <c r="S827" s="14"/>
      <c r="T827" s="70"/>
      <c r="U827" s="76">
        <v>26.271874999999998</v>
      </c>
      <c r="V827" s="76">
        <v>0</v>
      </c>
      <c r="W827" s="76">
        <v>26.271874999999998</v>
      </c>
      <c r="X827" s="76">
        <v>0</v>
      </c>
      <c r="Y827" s="77" t="s">
        <v>37</v>
      </c>
      <c r="Z827" s="87"/>
      <c r="AA827" s="79" t="s">
        <v>517</v>
      </c>
      <c r="AB827" s="79" t="s">
        <v>35</v>
      </c>
      <c r="AC827" s="79" t="s">
        <v>35</v>
      </c>
      <c r="AD827" s="79" t="s">
        <v>38</v>
      </c>
      <c r="AE827" s="79" t="s">
        <v>1340</v>
      </c>
      <c r="AF827" s="79" t="s">
        <v>1341</v>
      </c>
      <c r="AG827" s="105" t="s">
        <v>1342</v>
      </c>
      <c r="AH827" s="79"/>
      <c r="AI827" s="53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</row>
    <row r="828" spans="1:110" ht="30.6" x14ac:dyDescent="0.25">
      <c r="A828" s="10">
        <v>1503014</v>
      </c>
      <c r="B828" s="26" t="s">
        <v>1229</v>
      </c>
      <c r="C828" s="25" t="s">
        <v>1343</v>
      </c>
      <c r="D828" s="26"/>
      <c r="E828" s="10" t="s">
        <v>1344</v>
      </c>
      <c r="F828" s="10" t="s">
        <v>557</v>
      </c>
      <c r="G828" s="55">
        <f t="shared" si="19"/>
        <v>0.11156648451730419</v>
      </c>
      <c r="H828" s="10"/>
      <c r="I828" s="13"/>
      <c r="J828" s="56"/>
      <c r="K828" s="57"/>
      <c r="M828" s="14"/>
      <c r="N828" s="14"/>
      <c r="O828" s="14"/>
      <c r="P828" s="14"/>
      <c r="Q828" s="14"/>
      <c r="R828" s="14"/>
      <c r="S828" s="14"/>
      <c r="T828" s="70"/>
      <c r="U828" s="76">
        <v>0.11156648451730419</v>
      </c>
      <c r="V828" s="76">
        <v>0</v>
      </c>
      <c r="W828" s="76">
        <v>0.11156648451730419</v>
      </c>
      <c r="X828" s="76">
        <v>0</v>
      </c>
      <c r="Y828" s="77" t="s">
        <v>37</v>
      </c>
      <c r="Z828" s="87"/>
      <c r="AA828" s="79" t="s">
        <v>517</v>
      </c>
      <c r="AB828" s="79" t="s">
        <v>35</v>
      </c>
      <c r="AC828" s="79" t="s">
        <v>35</v>
      </c>
      <c r="AD828" s="79" t="s">
        <v>38</v>
      </c>
      <c r="AE828" s="79"/>
      <c r="AF828" s="79"/>
      <c r="AG828" s="79"/>
      <c r="AH828" s="79"/>
      <c r="AI828" s="53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</row>
    <row r="829" spans="1:110" ht="30.6" x14ac:dyDescent="0.25">
      <c r="A829" s="10">
        <v>1503015</v>
      </c>
      <c r="B829" s="26" t="s">
        <v>1229</v>
      </c>
      <c r="C829" s="25" t="s">
        <v>1345</v>
      </c>
      <c r="D829" s="26"/>
      <c r="E829" s="10" t="s">
        <v>1344</v>
      </c>
      <c r="F829" s="10" t="s">
        <v>557</v>
      </c>
      <c r="G829" s="55">
        <f t="shared" si="19"/>
        <v>9.4869459623557986E-2</v>
      </c>
      <c r="H829" s="10"/>
      <c r="I829" s="13"/>
      <c r="J829" s="56"/>
      <c r="K829" s="57"/>
      <c r="M829" s="14"/>
      <c r="N829" s="14"/>
      <c r="O829" s="14"/>
      <c r="P829" s="14"/>
      <c r="Q829" s="14"/>
      <c r="R829" s="14"/>
      <c r="S829" s="14"/>
      <c r="T829" s="70"/>
      <c r="U829" s="76">
        <v>9.4869459623557986E-2</v>
      </c>
      <c r="V829" s="76">
        <v>0</v>
      </c>
      <c r="W829" s="76">
        <v>9.4869459623557986E-2</v>
      </c>
      <c r="X829" s="76">
        <v>0</v>
      </c>
      <c r="Y829" s="77" t="s">
        <v>37</v>
      </c>
      <c r="Z829" s="87"/>
      <c r="AA829" s="79" t="s">
        <v>517</v>
      </c>
      <c r="AB829" s="79" t="s">
        <v>35</v>
      </c>
      <c r="AC829" s="79" t="s">
        <v>35</v>
      </c>
      <c r="AD829" s="79" t="s">
        <v>38</v>
      </c>
      <c r="AE829" s="79"/>
      <c r="AF829" s="79"/>
      <c r="AG829" s="79"/>
      <c r="AH829" s="79"/>
      <c r="AI829" s="53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</row>
    <row r="830" spans="1:110" ht="13.8" x14ac:dyDescent="0.25">
      <c r="A830" s="10">
        <v>1503016</v>
      </c>
      <c r="B830" s="26" t="s">
        <v>1211</v>
      </c>
      <c r="C830" s="12" t="s">
        <v>1346</v>
      </c>
      <c r="D830" s="26"/>
      <c r="E830" s="10" t="s">
        <v>517</v>
      </c>
      <c r="F830" s="10" t="s">
        <v>557</v>
      </c>
      <c r="G830" s="55" t="s">
        <v>433</v>
      </c>
      <c r="H830" s="10">
        <v>1</v>
      </c>
      <c r="I830" s="13"/>
      <c r="J830" s="56"/>
      <c r="K830" s="57"/>
      <c r="M830" s="14"/>
      <c r="N830" s="14"/>
      <c r="O830" s="14"/>
      <c r="P830" s="14"/>
      <c r="Q830" s="14"/>
      <c r="R830" s="14"/>
      <c r="S830" s="14"/>
      <c r="T830" s="70"/>
      <c r="U830" s="76"/>
      <c r="V830" s="76"/>
      <c r="W830" s="76"/>
      <c r="X830" s="76"/>
      <c r="Y830" s="77" t="s">
        <v>37</v>
      </c>
      <c r="Z830" s="87"/>
      <c r="AA830" s="79" t="s">
        <v>517</v>
      </c>
      <c r="AB830" s="79" t="s">
        <v>35</v>
      </c>
      <c r="AC830" s="79" t="s">
        <v>35</v>
      </c>
      <c r="AD830" s="79" t="s">
        <v>38</v>
      </c>
      <c r="AE830" s="79"/>
      <c r="AF830" s="79"/>
      <c r="AG830" s="79"/>
      <c r="AH830" s="79"/>
      <c r="AI830" s="53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</row>
    <row r="831" spans="1:110" ht="20.399999999999999" x14ac:dyDescent="0.25">
      <c r="A831" s="10">
        <v>1503017</v>
      </c>
      <c r="B831" s="26" t="s">
        <v>1211</v>
      </c>
      <c r="C831" s="25" t="s">
        <v>1347</v>
      </c>
      <c r="D831" s="26"/>
      <c r="E831" s="10" t="s">
        <v>517</v>
      </c>
      <c r="F831" s="10" t="s">
        <v>557</v>
      </c>
      <c r="G831" s="55" t="s">
        <v>433</v>
      </c>
      <c r="H831" s="10">
        <v>1</v>
      </c>
      <c r="I831" s="13"/>
      <c r="J831" s="56"/>
      <c r="K831" s="57"/>
      <c r="M831" s="14"/>
      <c r="N831" s="14"/>
      <c r="O831" s="14"/>
      <c r="P831" s="14"/>
      <c r="Q831" s="14"/>
      <c r="R831" s="14"/>
      <c r="S831" s="14"/>
      <c r="T831" s="70"/>
      <c r="U831" s="76"/>
      <c r="V831" s="76"/>
      <c r="W831" s="76"/>
      <c r="X831" s="76"/>
      <c r="Y831" s="77" t="s">
        <v>37</v>
      </c>
      <c r="Z831" s="87"/>
      <c r="AA831" s="79" t="s">
        <v>517</v>
      </c>
      <c r="AB831" s="79" t="s">
        <v>35</v>
      </c>
      <c r="AC831" s="79" t="s">
        <v>35</v>
      </c>
      <c r="AD831" s="79" t="s">
        <v>38</v>
      </c>
      <c r="AE831" s="79"/>
      <c r="AF831" s="79"/>
      <c r="AG831" s="79"/>
      <c r="AH831" s="79"/>
      <c r="AI831" s="53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</row>
    <row r="832" spans="1:110" ht="13.8" x14ac:dyDescent="0.25">
      <c r="A832" s="10">
        <v>1503018</v>
      </c>
      <c r="B832" s="26" t="s">
        <v>1211</v>
      </c>
      <c r="C832" s="12" t="s">
        <v>1348</v>
      </c>
      <c r="D832" s="26"/>
      <c r="E832" s="10" t="s">
        <v>517</v>
      </c>
      <c r="F832" s="10" t="s">
        <v>557</v>
      </c>
      <c r="G832" s="55" t="s">
        <v>433</v>
      </c>
      <c r="H832" s="10"/>
      <c r="I832" s="13"/>
      <c r="J832" s="56"/>
      <c r="K832" s="57"/>
      <c r="M832" s="14"/>
      <c r="N832" s="14"/>
      <c r="O832" s="14"/>
      <c r="P832" s="14"/>
      <c r="Q832" s="14"/>
      <c r="R832" s="14"/>
      <c r="S832" s="14"/>
      <c r="T832" s="70"/>
      <c r="U832" s="76"/>
      <c r="V832" s="76"/>
      <c r="W832" s="76"/>
      <c r="X832" s="76"/>
      <c r="Y832" s="77"/>
      <c r="Z832" s="87"/>
      <c r="AA832" s="79"/>
      <c r="AB832" s="79"/>
      <c r="AC832" s="79"/>
      <c r="AD832" s="79"/>
      <c r="AE832" s="79"/>
      <c r="AF832" s="79"/>
      <c r="AG832" s="79"/>
      <c r="AH832" s="79"/>
      <c r="AI832" s="53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</row>
    <row r="833" spans="1:110" ht="13.8" x14ac:dyDescent="0.25">
      <c r="A833" s="10">
        <v>1503019</v>
      </c>
      <c r="B833" s="26" t="s">
        <v>1211</v>
      </c>
      <c r="C833" s="12" t="s">
        <v>1349</v>
      </c>
      <c r="D833" s="26"/>
      <c r="E833" s="10" t="s">
        <v>517</v>
      </c>
      <c r="F833" s="10" t="s">
        <v>557</v>
      </c>
      <c r="G833" s="55" t="s">
        <v>433</v>
      </c>
      <c r="H833" s="10"/>
      <c r="I833" s="13"/>
      <c r="J833" s="56"/>
      <c r="K833" s="57"/>
      <c r="M833" s="14"/>
      <c r="N833" s="14"/>
      <c r="O833" s="14"/>
      <c r="P833" s="14"/>
      <c r="Q833" s="14"/>
      <c r="R833" s="14"/>
      <c r="S833" s="14"/>
      <c r="T833" s="70"/>
      <c r="U833" s="76"/>
      <c r="V833" s="76"/>
      <c r="W833" s="76"/>
      <c r="X833" s="76"/>
      <c r="Y833" s="77"/>
      <c r="Z833" s="87"/>
      <c r="AA833" s="79"/>
      <c r="AB833" s="79"/>
      <c r="AC833" s="79"/>
      <c r="AD833" s="79"/>
      <c r="AE833" s="79"/>
      <c r="AF833" s="79"/>
      <c r="AG833" s="79"/>
      <c r="AH833" s="79"/>
      <c r="AI833" s="53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</row>
    <row r="834" spans="1:110" ht="13.8" x14ac:dyDescent="0.25">
      <c r="A834" s="10">
        <v>1503020</v>
      </c>
      <c r="B834" s="26" t="s">
        <v>1211</v>
      </c>
      <c r="C834" s="12" t="s">
        <v>1647</v>
      </c>
      <c r="D834" s="26" t="s">
        <v>1211</v>
      </c>
      <c r="E834" s="10" t="s">
        <v>1649</v>
      </c>
      <c r="F834" s="10" t="s">
        <v>557</v>
      </c>
      <c r="G834" s="55">
        <f>IF(U834="Obsolete",U834,U834+V834)</f>
        <v>10.39</v>
      </c>
      <c r="H834" s="10">
        <v>2</v>
      </c>
      <c r="I834" s="13">
        <v>100</v>
      </c>
      <c r="J834" s="56"/>
      <c r="K834" s="57"/>
      <c r="M834" s="14"/>
      <c r="N834" s="14"/>
      <c r="O834" s="14"/>
      <c r="P834" s="14"/>
      <c r="Q834" s="14"/>
      <c r="R834" s="14"/>
      <c r="S834" s="14"/>
      <c r="T834" s="70"/>
      <c r="U834" s="76">
        <v>10.39</v>
      </c>
      <c r="V834" s="76">
        <v>0</v>
      </c>
      <c r="W834" s="76">
        <v>10.39</v>
      </c>
      <c r="X834" s="76">
        <v>0</v>
      </c>
      <c r="Y834" s="77" t="s">
        <v>37</v>
      </c>
      <c r="Z834" s="87">
        <v>100</v>
      </c>
      <c r="AA834" s="79" t="s">
        <v>1650</v>
      </c>
      <c r="AB834" s="79" t="s">
        <v>35</v>
      </c>
      <c r="AC834" s="79" t="s">
        <v>37</v>
      </c>
      <c r="AD834" s="79"/>
      <c r="AE834" s="79"/>
      <c r="AF834" s="79"/>
      <c r="AG834" s="79"/>
      <c r="AH834" s="79"/>
      <c r="AI834" s="53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</row>
    <row r="835" spans="1:110" ht="13.8" x14ac:dyDescent="0.25">
      <c r="A835" s="10">
        <v>1503021</v>
      </c>
      <c r="B835" s="26" t="s">
        <v>1211</v>
      </c>
      <c r="C835" s="12" t="s">
        <v>1648</v>
      </c>
      <c r="D835" s="26" t="s">
        <v>1211</v>
      </c>
      <c r="E835" s="10" t="s">
        <v>1649</v>
      </c>
      <c r="F835" s="10" t="s">
        <v>557</v>
      </c>
      <c r="G835" s="55">
        <f>IF(U835="Obsolete",U835,U835+V835)</f>
        <v>0.85</v>
      </c>
      <c r="H835" s="10">
        <v>2</v>
      </c>
      <c r="I835" s="13">
        <v>650</v>
      </c>
      <c r="J835" s="56"/>
      <c r="K835" s="57"/>
      <c r="M835" s="14"/>
      <c r="N835" s="14"/>
      <c r="O835" s="14"/>
      <c r="P835" s="14"/>
      <c r="Q835" s="14"/>
      <c r="R835" s="14"/>
      <c r="S835" s="14"/>
      <c r="T835" s="70"/>
      <c r="U835" s="76">
        <v>0.85</v>
      </c>
      <c r="V835" s="76">
        <v>0</v>
      </c>
      <c r="W835" s="76">
        <v>0.85</v>
      </c>
      <c r="X835" s="76">
        <v>0</v>
      </c>
      <c r="Y835" s="77" t="s">
        <v>37</v>
      </c>
      <c r="Z835" s="87">
        <v>650</v>
      </c>
      <c r="AA835" s="79" t="s">
        <v>1650</v>
      </c>
      <c r="AB835" s="79" t="s">
        <v>35</v>
      </c>
      <c r="AC835" s="79" t="s">
        <v>37</v>
      </c>
      <c r="AD835" s="79"/>
      <c r="AE835" s="79"/>
      <c r="AF835" s="79"/>
      <c r="AG835" s="79"/>
      <c r="AH835" s="79"/>
      <c r="AI835" s="53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</row>
    <row r="836" spans="1:110" ht="20.399999999999999" x14ac:dyDescent="0.25">
      <c r="A836" s="10">
        <v>1503100</v>
      </c>
      <c r="B836" s="26" t="s">
        <v>1314</v>
      </c>
      <c r="C836" s="25" t="s">
        <v>1350</v>
      </c>
      <c r="D836" s="26"/>
      <c r="E836" s="10" t="s">
        <v>58</v>
      </c>
      <c r="F836" s="10" t="s">
        <v>557</v>
      </c>
      <c r="G836" s="55">
        <f>IF(U836="Obsolete",U836,U836+V836)</f>
        <v>0</v>
      </c>
      <c r="H836" s="10"/>
      <c r="I836" s="13"/>
      <c r="J836" s="56"/>
      <c r="K836" s="57"/>
      <c r="M836" s="14"/>
      <c r="N836" s="14"/>
      <c r="O836" s="14"/>
      <c r="P836" s="14"/>
      <c r="Q836" s="14"/>
      <c r="R836" s="14"/>
      <c r="S836" s="14"/>
      <c r="T836" s="70"/>
      <c r="U836" s="76"/>
      <c r="V836" s="76">
        <v>0</v>
      </c>
      <c r="W836" s="76"/>
      <c r="X836" s="76">
        <v>0</v>
      </c>
      <c r="Y836" s="77" t="s">
        <v>37</v>
      </c>
      <c r="Z836" s="87"/>
      <c r="AA836" s="79" t="s">
        <v>58</v>
      </c>
      <c r="AB836" s="79" t="s">
        <v>35</v>
      </c>
      <c r="AC836" s="79" t="s">
        <v>35</v>
      </c>
      <c r="AD836" s="79" t="s">
        <v>38</v>
      </c>
      <c r="AE836" s="79" t="s">
        <v>1351</v>
      </c>
      <c r="AF836" s="79"/>
      <c r="AG836" s="105" t="s">
        <v>1352</v>
      </c>
      <c r="AH836" s="79"/>
      <c r="AI836" s="53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</row>
    <row r="837" spans="1:110" ht="30.6" x14ac:dyDescent="0.25">
      <c r="A837" s="10">
        <v>1503101</v>
      </c>
      <c r="B837" s="26" t="s">
        <v>1314</v>
      </c>
      <c r="C837" s="25" t="s">
        <v>1353</v>
      </c>
      <c r="D837" s="26"/>
      <c r="E837" s="10" t="s">
        <v>1325</v>
      </c>
      <c r="F837" s="10" t="s">
        <v>557</v>
      </c>
      <c r="G837" s="55">
        <f>IF(U837="Obsolete",U837,U837+V837)</f>
        <v>1.45</v>
      </c>
      <c r="H837" s="10">
        <v>2</v>
      </c>
      <c r="I837" s="13"/>
      <c r="J837" s="56"/>
      <c r="K837" s="57"/>
      <c r="M837" s="14"/>
      <c r="N837" s="14"/>
      <c r="O837" s="14"/>
      <c r="P837" s="14"/>
      <c r="Q837" s="14"/>
      <c r="R837" s="14"/>
      <c r="S837" s="14"/>
      <c r="T837" s="70"/>
      <c r="U837" s="76">
        <v>1.45</v>
      </c>
      <c r="V837" s="76">
        <v>0</v>
      </c>
      <c r="W837" s="76">
        <v>1.45</v>
      </c>
      <c r="X837" s="76">
        <v>0</v>
      </c>
      <c r="Y837" s="77" t="s">
        <v>35</v>
      </c>
      <c r="Z837" s="87"/>
      <c r="AA837" s="79" t="s">
        <v>189</v>
      </c>
      <c r="AB837" s="79" t="s">
        <v>35</v>
      </c>
      <c r="AC837" s="79" t="s">
        <v>37</v>
      </c>
      <c r="AD837" s="79" t="s">
        <v>38</v>
      </c>
      <c r="AE837" s="79" t="s">
        <v>1326</v>
      </c>
      <c r="AF837" s="79" t="s">
        <v>1327</v>
      </c>
      <c r="AG837" s="79" t="s">
        <v>1328</v>
      </c>
      <c r="AH837" s="79"/>
      <c r="AI837" s="53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</row>
    <row r="838" spans="1:110" ht="30.6" x14ac:dyDescent="0.25">
      <c r="A838" s="10">
        <v>1503102</v>
      </c>
      <c r="B838" s="26" t="s">
        <v>1314</v>
      </c>
      <c r="C838" s="25" t="s">
        <v>1525</v>
      </c>
      <c r="D838" s="26" t="s">
        <v>84</v>
      </c>
      <c r="E838" s="10" t="s">
        <v>102</v>
      </c>
      <c r="F838" s="10" t="s">
        <v>557</v>
      </c>
      <c r="G838" s="55">
        <v>0</v>
      </c>
      <c r="H838" s="10"/>
      <c r="I838" s="13"/>
      <c r="J838" s="56"/>
      <c r="K838" s="57"/>
      <c r="M838" s="14"/>
      <c r="N838" s="14"/>
      <c r="O838" s="14"/>
      <c r="P838" s="14"/>
      <c r="Q838" s="14"/>
      <c r="R838" s="14"/>
      <c r="S838" s="14"/>
      <c r="T838" s="70"/>
      <c r="U838" s="76"/>
      <c r="V838" s="76"/>
      <c r="W838" s="76"/>
      <c r="X838" s="76"/>
      <c r="Y838" s="77"/>
      <c r="Z838" s="87"/>
      <c r="AA838" s="79" t="s">
        <v>102</v>
      </c>
      <c r="AB838" s="79" t="s">
        <v>35</v>
      </c>
      <c r="AC838" s="79" t="s">
        <v>35</v>
      </c>
      <c r="AD838" s="79" t="s">
        <v>38</v>
      </c>
      <c r="AE838" s="79" t="s">
        <v>313</v>
      </c>
      <c r="AF838" s="79" t="s">
        <v>1510</v>
      </c>
      <c r="AG838" s="80" t="s">
        <v>473</v>
      </c>
      <c r="AH838" s="79"/>
      <c r="AI838" s="53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</row>
    <row r="839" spans="1:110" ht="20.399999999999999" x14ac:dyDescent="0.25">
      <c r="A839" s="10">
        <v>1503103</v>
      </c>
      <c r="B839" s="26" t="s">
        <v>1314</v>
      </c>
      <c r="C839" s="25" t="s">
        <v>1527</v>
      </c>
      <c r="D839" s="26" t="s">
        <v>1411</v>
      </c>
      <c r="E839" s="10" t="s">
        <v>370</v>
      </c>
      <c r="F839" s="10" t="s">
        <v>557</v>
      </c>
      <c r="G839" s="55">
        <v>0</v>
      </c>
      <c r="H839" s="10"/>
      <c r="I839" s="13"/>
      <c r="J839" s="56"/>
      <c r="K839" s="57"/>
      <c r="M839" s="14"/>
      <c r="N839" s="14"/>
      <c r="O839" s="14"/>
      <c r="P839" s="14"/>
      <c r="Q839" s="14"/>
      <c r="R839" s="14"/>
      <c r="S839" s="14"/>
      <c r="T839" s="70"/>
      <c r="U839" s="76"/>
      <c r="V839" s="76"/>
      <c r="W839" s="76"/>
      <c r="X839" s="76"/>
      <c r="Y839" s="77"/>
      <c r="Z839" s="87"/>
      <c r="AA839" s="79" t="s">
        <v>102</v>
      </c>
      <c r="AB839" s="79" t="s">
        <v>35</v>
      </c>
      <c r="AC839" s="79" t="s">
        <v>35</v>
      </c>
      <c r="AD839" s="79" t="s">
        <v>38</v>
      </c>
      <c r="AE839" s="79" t="s">
        <v>313</v>
      </c>
      <c r="AF839" s="79" t="s">
        <v>1510</v>
      </c>
      <c r="AG839" s="80" t="s">
        <v>473</v>
      </c>
      <c r="AH839" s="79"/>
      <c r="AI839" s="53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</row>
    <row r="840" spans="1:110" ht="20.399999999999999" x14ac:dyDescent="0.25">
      <c r="A840" s="10">
        <v>1503104</v>
      </c>
      <c r="B840" s="26" t="s">
        <v>1314</v>
      </c>
      <c r="C840" s="25" t="s">
        <v>1553</v>
      </c>
      <c r="D840" s="26" t="s">
        <v>84</v>
      </c>
      <c r="E840" s="10" t="s">
        <v>102</v>
      </c>
      <c r="F840" s="10" t="s">
        <v>557</v>
      </c>
      <c r="G840" s="55">
        <v>0</v>
      </c>
      <c r="H840" s="10"/>
      <c r="I840" s="13"/>
      <c r="J840" s="56"/>
      <c r="K840" s="57"/>
      <c r="M840" s="14"/>
      <c r="N840" s="14"/>
      <c r="O840" s="14"/>
      <c r="P840" s="14"/>
      <c r="Q840" s="14"/>
      <c r="R840" s="14"/>
      <c r="S840" s="14"/>
      <c r="T840" s="70"/>
      <c r="U840" s="76"/>
      <c r="V840" s="76"/>
      <c r="W840" s="76"/>
      <c r="X840" s="76"/>
      <c r="Y840" s="77"/>
      <c r="Z840" s="87"/>
      <c r="AA840" s="79" t="s">
        <v>102</v>
      </c>
      <c r="AB840" s="79"/>
      <c r="AC840" s="79"/>
      <c r="AD840" s="79"/>
      <c r="AE840" s="79"/>
      <c r="AF840" s="79"/>
      <c r="AG840" s="80"/>
      <c r="AH840" s="79"/>
      <c r="AI840" s="53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</row>
    <row r="841" spans="1:110" ht="20.399999999999999" x14ac:dyDescent="0.25">
      <c r="A841" s="10">
        <v>1503105</v>
      </c>
      <c r="B841" s="26" t="s">
        <v>1314</v>
      </c>
      <c r="C841" s="25" t="s">
        <v>1626</v>
      </c>
      <c r="D841" s="26" t="s">
        <v>1316</v>
      </c>
      <c r="E841" s="10" t="s">
        <v>1625</v>
      </c>
      <c r="F841" s="10" t="s">
        <v>557</v>
      </c>
      <c r="G841" s="55">
        <v>0</v>
      </c>
      <c r="H841" s="10"/>
      <c r="I841" s="13"/>
      <c r="J841" s="56"/>
      <c r="K841" s="57"/>
      <c r="M841" s="14"/>
      <c r="N841" s="14"/>
      <c r="O841" s="14"/>
      <c r="P841" s="14"/>
      <c r="Q841" s="14"/>
      <c r="R841" s="14"/>
      <c r="S841" s="14"/>
      <c r="T841" s="70"/>
      <c r="U841" s="76"/>
      <c r="V841" s="76"/>
      <c r="W841" s="76"/>
      <c r="X841" s="76"/>
      <c r="Y841" s="77"/>
      <c r="Z841" s="87"/>
      <c r="AA841" s="79"/>
      <c r="AB841" s="79"/>
      <c r="AC841" s="79"/>
      <c r="AD841" s="79"/>
      <c r="AE841" s="79"/>
      <c r="AF841" s="79"/>
      <c r="AG841" s="80"/>
      <c r="AH841" s="79"/>
      <c r="AI841" s="53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</row>
    <row r="842" spans="1:110" ht="13.8" x14ac:dyDescent="0.25">
      <c r="A842" s="24">
        <v>1504001</v>
      </c>
      <c r="B842" s="26" t="s">
        <v>1229</v>
      </c>
      <c r="C842" s="25" t="s">
        <v>1354</v>
      </c>
      <c r="D842" s="26"/>
      <c r="E842" s="17" t="s">
        <v>57</v>
      </c>
      <c r="F842" s="10" t="s">
        <v>557</v>
      </c>
      <c r="G842" s="55" t="str">
        <f t="shared" ref="G842:G885" si="20">IF(U842="Obsolete",U842,U842+V842)</f>
        <v>Obsolete</v>
      </c>
      <c r="H842" s="10"/>
      <c r="I842" s="13"/>
      <c r="J842" s="56"/>
      <c r="K842" s="57"/>
      <c r="M842" s="10"/>
      <c r="N842" s="10"/>
      <c r="O842" s="29"/>
      <c r="P842" s="29"/>
      <c r="Q842" s="29"/>
      <c r="R842" s="29"/>
      <c r="S842" s="29"/>
      <c r="T842" s="72"/>
      <c r="U842" s="97" t="s">
        <v>54</v>
      </c>
      <c r="V842" s="97"/>
      <c r="W842" s="97" t="s">
        <v>54</v>
      </c>
      <c r="X842" s="97"/>
      <c r="Y842" s="97"/>
      <c r="Z842" s="87"/>
      <c r="AA842" s="79"/>
      <c r="AB842" s="79" t="s">
        <v>37</v>
      </c>
      <c r="AC842" s="79" t="s">
        <v>37</v>
      </c>
      <c r="AD842" s="79"/>
      <c r="AE842" s="79"/>
      <c r="AF842" s="79"/>
      <c r="AG842" s="79"/>
      <c r="AH842" s="79"/>
      <c r="AI842" s="53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</row>
    <row r="843" spans="1:110" ht="13.8" x14ac:dyDescent="0.25">
      <c r="A843" s="10">
        <v>1504002</v>
      </c>
      <c r="B843" s="11" t="s">
        <v>956</v>
      </c>
      <c r="C843" s="12" t="s">
        <v>1355</v>
      </c>
      <c r="D843" s="11"/>
      <c r="E843" s="17" t="s">
        <v>57</v>
      </c>
      <c r="F843" s="10" t="s">
        <v>557</v>
      </c>
      <c r="G843" s="55" t="str">
        <f t="shared" si="20"/>
        <v>Obsolete</v>
      </c>
      <c r="H843" s="10"/>
      <c r="I843" s="13"/>
      <c r="J843" s="56"/>
      <c r="K843" s="57"/>
      <c r="M843" s="10"/>
      <c r="N843" s="10"/>
      <c r="O843" s="29"/>
      <c r="P843" s="29"/>
      <c r="Q843" s="29"/>
      <c r="R843" s="29"/>
      <c r="S843" s="29"/>
      <c r="T843" s="72"/>
      <c r="U843" s="97" t="s">
        <v>54</v>
      </c>
      <c r="V843" s="97"/>
      <c r="W843" s="97" t="s">
        <v>54</v>
      </c>
      <c r="X843" s="97"/>
      <c r="Y843" s="97"/>
      <c r="Z843" s="78"/>
      <c r="AA843" s="79" t="s">
        <v>55</v>
      </c>
      <c r="AB843" s="79" t="s">
        <v>37</v>
      </c>
      <c r="AC843" s="79" t="s">
        <v>37</v>
      </c>
      <c r="AD843" s="79"/>
      <c r="AE843" s="79"/>
      <c r="AF843" s="79"/>
      <c r="AG843" s="79"/>
      <c r="AH843" s="79"/>
      <c r="AI843" s="53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</row>
    <row r="844" spans="1:110" ht="13.8" x14ac:dyDescent="0.25">
      <c r="A844" s="10">
        <v>1504003</v>
      </c>
      <c r="B844" s="11" t="s">
        <v>956</v>
      </c>
      <c r="C844" s="12" t="s">
        <v>1356</v>
      </c>
      <c r="D844" s="11"/>
      <c r="E844" s="17" t="s">
        <v>57</v>
      </c>
      <c r="F844" s="10" t="s">
        <v>557</v>
      </c>
      <c r="G844" s="55" t="str">
        <f t="shared" si="20"/>
        <v>Obsolete</v>
      </c>
      <c r="H844" s="10"/>
      <c r="I844" s="13"/>
      <c r="J844" s="56"/>
      <c r="K844" s="57"/>
      <c r="M844" s="10"/>
      <c r="N844" s="10"/>
      <c r="O844" s="29"/>
      <c r="P844" s="29"/>
      <c r="Q844" s="29"/>
      <c r="R844" s="29"/>
      <c r="S844" s="29"/>
      <c r="T844" s="72"/>
      <c r="U844" s="97" t="s">
        <v>54</v>
      </c>
      <c r="V844" s="97"/>
      <c r="W844" s="97" t="s">
        <v>54</v>
      </c>
      <c r="X844" s="97"/>
      <c r="Y844" s="97"/>
      <c r="Z844" s="78"/>
      <c r="AA844" s="79" t="s">
        <v>55</v>
      </c>
      <c r="AB844" s="79" t="s">
        <v>37</v>
      </c>
      <c r="AC844" s="79" t="s">
        <v>37</v>
      </c>
      <c r="AD844" s="79"/>
      <c r="AE844" s="79"/>
      <c r="AF844" s="79"/>
      <c r="AG844" s="79"/>
      <c r="AH844" s="79"/>
      <c r="AI844" s="53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</row>
    <row r="845" spans="1:110" ht="20.399999999999999" x14ac:dyDescent="0.25">
      <c r="A845" s="24">
        <v>1504004</v>
      </c>
      <c r="B845" s="11" t="s">
        <v>956</v>
      </c>
      <c r="C845" s="25" t="s">
        <v>1357</v>
      </c>
      <c r="D845" s="26"/>
      <c r="E845" s="17" t="s">
        <v>57</v>
      </c>
      <c r="F845" s="10" t="s">
        <v>557</v>
      </c>
      <c r="G845" s="55" t="str">
        <f t="shared" si="20"/>
        <v>Obsolete</v>
      </c>
      <c r="H845" s="10"/>
      <c r="I845" s="13"/>
      <c r="J845" s="56"/>
      <c r="K845" s="57"/>
      <c r="M845" s="10"/>
      <c r="N845" s="10"/>
      <c r="O845" s="29"/>
      <c r="P845" s="29"/>
      <c r="Q845" s="29"/>
      <c r="R845" s="29"/>
      <c r="S845" s="29"/>
      <c r="T845" s="72"/>
      <c r="U845" s="97" t="s">
        <v>54</v>
      </c>
      <c r="V845" s="97"/>
      <c r="W845" s="97" t="s">
        <v>54</v>
      </c>
      <c r="X845" s="97"/>
      <c r="Y845" s="97"/>
      <c r="Z845" s="87"/>
      <c r="AA845" s="79"/>
      <c r="AB845" s="79" t="s">
        <v>37</v>
      </c>
      <c r="AC845" s="79" t="s">
        <v>37</v>
      </c>
      <c r="AD845" s="79"/>
      <c r="AE845" s="79"/>
      <c r="AF845" s="79"/>
      <c r="AG845" s="79"/>
      <c r="AH845" s="79"/>
      <c r="AI845" s="53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</row>
    <row r="846" spans="1:110" ht="13.8" x14ac:dyDescent="0.25">
      <c r="A846" s="10">
        <v>1504005</v>
      </c>
      <c r="B846" s="11" t="s">
        <v>956</v>
      </c>
      <c r="C846" s="12" t="s">
        <v>1358</v>
      </c>
      <c r="D846" s="11"/>
      <c r="E846" s="17" t="s">
        <v>57</v>
      </c>
      <c r="F846" s="10" t="s">
        <v>557</v>
      </c>
      <c r="G846" s="55" t="str">
        <f t="shared" si="20"/>
        <v>Obsolete</v>
      </c>
      <c r="H846" s="10"/>
      <c r="I846" s="13"/>
      <c r="J846" s="56"/>
      <c r="K846" s="57"/>
      <c r="M846" s="10"/>
      <c r="N846" s="10"/>
      <c r="O846" s="29"/>
      <c r="P846" s="29"/>
      <c r="Q846" s="29"/>
      <c r="R846" s="29"/>
      <c r="S846" s="29"/>
      <c r="T846" s="72"/>
      <c r="U846" s="97" t="s">
        <v>54</v>
      </c>
      <c r="V846" s="97"/>
      <c r="W846" s="97" t="s">
        <v>54</v>
      </c>
      <c r="X846" s="97"/>
      <c r="Y846" s="97"/>
      <c r="Z846" s="78"/>
      <c r="AA846" s="79" t="s">
        <v>55</v>
      </c>
      <c r="AB846" s="79" t="s">
        <v>37</v>
      </c>
      <c r="AC846" s="79" t="s">
        <v>37</v>
      </c>
      <c r="AD846" s="79"/>
      <c r="AE846" s="79"/>
      <c r="AF846" s="79"/>
      <c r="AG846" s="79"/>
      <c r="AH846" s="79"/>
      <c r="AI846" s="53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</row>
    <row r="847" spans="1:110" ht="20.399999999999999" x14ac:dyDescent="0.25">
      <c r="A847" s="24">
        <v>1504006</v>
      </c>
      <c r="B847" s="26" t="s">
        <v>1229</v>
      </c>
      <c r="C847" s="25" t="s">
        <v>1359</v>
      </c>
      <c r="D847" s="26"/>
      <c r="E847" s="10" t="s">
        <v>1360</v>
      </c>
      <c r="F847" s="10" t="s">
        <v>557</v>
      </c>
      <c r="G847" s="55" t="str">
        <f t="shared" si="20"/>
        <v>Obsolete</v>
      </c>
      <c r="H847" s="10">
        <v>1</v>
      </c>
      <c r="I847" s="13"/>
      <c r="J847" s="56"/>
      <c r="K847" s="57"/>
      <c r="M847" s="10"/>
      <c r="N847" s="10"/>
      <c r="O847" s="29"/>
      <c r="P847" s="29"/>
      <c r="Q847" s="29"/>
      <c r="R847" s="29"/>
      <c r="S847" s="29"/>
      <c r="T847" s="72"/>
      <c r="U847" s="97" t="s">
        <v>54</v>
      </c>
      <c r="V847" s="97"/>
      <c r="W847" s="97" t="s">
        <v>54</v>
      </c>
      <c r="X847" s="97"/>
      <c r="Y847" s="97"/>
      <c r="Z847" s="87"/>
      <c r="AA847" s="79"/>
      <c r="AB847" s="79" t="s">
        <v>37</v>
      </c>
      <c r="AC847" s="79" t="s">
        <v>37</v>
      </c>
      <c r="AD847" s="79"/>
      <c r="AE847" s="79"/>
      <c r="AF847" s="79"/>
      <c r="AG847" s="79"/>
      <c r="AH847" s="79"/>
      <c r="AI847" s="53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</row>
    <row r="848" spans="1:110" ht="20.399999999999999" x14ac:dyDescent="0.25">
      <c r="A848" s="24">
        <v>1504007</v>
      </c>
      <c r="B848" s="26" t="s">
        <v>1229</v>
      </c>
      <c r="C848" s="25" t="s">
        <v>1361</v>
      </c>
      <c r="D848" s="26"/>
      <c r="E848" s="10" t="s">
        <v>966</v>
      </c>
      <c r="F848" s="10" t="s">
        <v>557</v>
      </c>
      <c r="G848" s="55" t="str">
        <f t="shared" si="20"/>
        <v>Obsolete</v>
      </c>
      <c r="H848" s="10"/>
      <c r="I848" s="13"/>
      <c r="J848" s="56"/>
      <c r="K848" s="57"/>
      <c r="M848" s="10"/>
      <c r="N848" s="10"/>
      <c r="O848" s="29"/>
      <c r="P848" s="29"/>
      <c r="Q848" s="29"/>
      <c r="R848" s="29"/>
      <c r="S848" s="29"/>
      <c r="T848" s="72"/>
      <c r="U848" s="97" t="s">
        <v>54</v>
      </c>
      <c r="V848" s="97"/>
      <c r="W848" s="97" t="s">
        <v>54</v>
      </c>
      <c r="X848" s="97"/>
      <c r="Y848" s="97"/>
      <c r="Z848" s="87"/>
      <c r="AA848" s="79" t="s">
        <v>966</v>
      </c>
      <c r="AB848" s="79" t="s">
        <v>37</v>
      </c>
      <c r="AC848" s="79" t="s">
        <v>37</v>
      </c>
      <c r="AD848" s="79"/>
      <c r="AE848" s="79"/>
      <c r="AF848" s="79"/>
      <c r="AG848" s="79"/>
      <c r="AH848" s="79"/>
      <c r="AI848" s="53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</row>
    <row r="849" spans="1:110" ht="13.8" x14ac:dyDescent="0.25">
      <c r="A849" s="24">
        <v>1504008</v>
      </c>
      <c r="B849" s="26" t="s">
        <v>1229</v>
      </c>
      <c r="C849" s="25" t="s">
        <v>1362</v>
      </c>
      <c r="D849" s="26"/>
      <c r="E849" s="10" t="s">
        <v>966</v>
      </c>
      <c r="F849" s="10" t="s">
        <v>557</v>
      </c>
      <c r="G849" s="55" t="str">
        <f t="shared" si="20"/>
        <v>Obsolete</v>
      </c>
      <c r="H849" s="10"/>
      <c r="I849" s="13"/>
      <c r="J849" s="56"/>
      <c r="K849" s="57"/>
      <c r="M849" s="10"/>
      <c r="N849" s="10"/>
      <c r="O849" s="29"/>
      <c r="P849" s="29"/>
      <c r="Q849" s="29"/>
      <c r="R849" s="29"/>
      <c r="S849" s="29"/>
      <c r="T849" s="72"/>
      <c r="U849" s="97" t="s">
        <v>54</v>
      </c>
      <c r="V849" s="97"/>
      <c r="W849" s="97" t="s">
        <v>54</v>
      </c>
      <c r="X849" s="97"/>
      <c r="Y849" s="97"/>
      <c r="Z849" s="87"/>
      <c r="AA849" s="79" t="s">
        <v>966</v>
      </c>
      <c r="AB849" s="79" t="s">
        <v>37</v>
      </c>
      <c r="AC849" s="79" t="s">
        <v>37</v>
      </c>
      <c r="AD849" s="79"/>
      <c r="AE849" s="79"/>
      <c r="AF849" s="79"/>
      <c r="AG849" s="79"/>
      <c r="AH849" s="79"/>
      <c r="AI849" s="53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</row>
    <row r="850" spans="1:110" ht="13.8" x14ac:dyDescent="0.25">
      <c r="A850" s="10">
        <v>1504010</v>
      </c>
      <c r="B850" s="11" t="s">
        <v>956</v>
      </c>
      <c r="C850" s="12" t="s">
        <v>1363</v>
      </c>
      <c r="D850" s="11"/>
      <c r="E850" s="17" t="s">
        <v>57</v>
      </c>
      <c r="F850" s="10" t="s">
        <v>557</v>
      </c>
      <c r="G850" s="55" t="str">
        <f t="shared" si="20"/>
        <v>Obsolete</v>
      </c>
      <c r="H850" s="10"/>
      <c r="I850" s="13"/>
      <c r="J850" s="56"/>
      <c r="K850" s="57"/>
      <c r="M850" s="10"/>
      <c r="N850" s="10"/>
      <c r="O850" s="29"/>
      <c r="P850" s="29"/>
      <c r="Q850" s="29"/>
      <c r="R850" s="29"/>
      <c r="S850" s="29"/>
      <c r="T850" s="72"/>
      <c r="U850" s="97" t="s">
        <v>54</v>
      </c>
      <c r="V850" s="97"/>
      <c r="W850" s="97" t="s">
        <v>54</v>
      </c>
      <c r="X850" s="97"/>
      <c r="Y850" s="97"/>
      <c r="Z850" s="78"/>
      <c r="AA850" s="79" t="s">
        <v>55</v>
      </c>
      <c r="AB850" s="79" t="s">
        <v>37</v>
      </c>
      <c r="AC850" s="79" t="s">
        <v>37</v>
      </c>
      <c r="AD850" s="79"/>
      <c r="AE850" s="79"/>
      <c r="AF850" s="79"/>
      <c r="AG850" s="79"/>
      <c r="AH850" s="79"/>
      <c r="AI850" s="53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</row>
    <row r="851" spans="1:110" ht="13.8" x14ac:dyDescent="0.25">
      <c r="A851" s="10">
        <v>1504011</v>
      </c>
      <c r="B851" s="10" t="s">
        <v>1229</v>
      </c>
      <c r="C851" s="16" t="s">
        <v>1364</v>
      </c>
      <c r="D851" s="11"/>
      <c r="E851" s="10" t="s">
        <v>1231</v>
      </c>
      <c r="F851" s="10" t="s">
        <v>557</v>
      </c>
      <c r="G851" s="55">
        <f t="shared" si="20"/>
        <v>1.89E-2</v>
      </c>
      <c r="H851" s="10">
        <v>1</v>
      </c>
      <c r="I851" s="13">
        <v>1000</v>
      </c>
      <c r="J851" s="56"/>
      <c r="K851" s="57"/>
      <c r="M851" s="14"/>
      <c r="N851" s="14"/>
      <c r="O851" s="14"/>
      <c r="P851" s="14"/>
      <c r="Q851" s="14"/>
      <c r="R851" s="14"/>
      <c r="S851" s="14"/>
      <c r="T851" s="70"/>
      <c r="U851" s="76">
        <v>1.89E-2</v>
      </c>
      <c r="V851" s="76">
        <v>0</v>
      </c>
      <c r="W851" s="76">
        <v>1.89E-2</v>
      </c>
      <c r="X851" s="76">
        <v>0</v>
      </c>
      <c r="Y851" s="77" t="s">
        <v>37</v>
      </c>
      <c r="Z851" s="78">
        <v>1000</v>
      </c>
      <c r="AA851" s="79" t="s">
        <v>1365</v>
      </c>
      <c r="AB851" s="79" t="s">
        <v>35</v>
      </c>
      <c r="AC851" s="79" t="s">
        <v>37</v>
      </c>
      <c r="AD851" s="79" t="s">
        <v>38</v>
      </c>
      <c r="AE851" s="79" t="s">
        <v>1232</v>
      </c>
      <c r="AF851" s="79" t="s">
        <v>1233</v>
      </c>
      <c r="AG851" s="105" t="s">
        <v>1234</v>
      </c>
      <c r="AH851" s="79"/>
      <c r="AI851" s="53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</row>
    <row r="852" spans="1:110" ht="13.8" x14ac:dyDescent="0.25">
      <c r="A852" s="10">
        <v>1504012</v>
      </c>
      <c r="B852" s="11" t="s">
        <v>1229</v>
      </c>
      <c r="C852" s="12" t="s">
        <v>1366</v>
      </c>
      <c r="D852" s="11"/>
      <c r="E852" s="10" t="s">
        <v>1231</v>
      </c>
      <c r="F852" s="10" t="s">
        <v>557</v>
      </c>
      <c r="G852" s="55">
        <f t="shared" si="20"/>
        <v>6.6659999999999997E-2</v>
      </c>
      <c r="H852" s="10">
        <v>1</v>
      </c>
      <c r="I852" s="13">
        <v>1000</v>
      </c>
      <c r="J852" s="56"/>
      <c r="K852" s="57"/>
      <c r="M852" s="14"/>
      <c r="N852" s="14"/>
      <c r="O852" s="14"/>
      <c r="P852" s="14"/>
      <c r="Q852" s="14"/>
      <c r="R852" s="14"/>
      <c r="S852" s="14"/>
      <c r="T852" s="70"/>
      <c r="U852" s="117">
        <v>6.6659999999999997E-2</v>
      </c>
      <c r="V852" s="76">
        <v>0</v>
      </c>
      <c r="W852" s="117">
        <v>6.6659999999999997E-2</v>
      </c>
      <c r="X852" s="117">
        <v>0</v>
      </c>
      <c r="Y852" s="77" t="s">
        <v>37</v>
      </c>
      <c r="Z852" s="78">
        <v>1000</v>
      </c>
      <c r="AA852" s="79" t="s">
        <v>234</v>
      </c>
      <c r="AB852" s="79" t="s">
        <v>35</v>
      </c>
      <c r="AC852" s="79" t="s">
        <v>37</v>
      </c>
      <c r="AD852" s="79" t="s">
        <v>38</v>
      </c>
      <c r="AE852" s="79" t="s">
        <v>1232</v>
      </c>
      <c r="AF852" s="79" t="s">
        <v>1233</v>
      </c>
      <c r="AG852" s="105" t="s">
        <v>1234</v>
      </c>
      <c r="AH852" s="79"/>
      <c r="AI852" s="53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</row>
    <row r="853" spans="1:110" ht="13.8" x14ac:dyDescent="0.25">
      <c r="A853" s="10">
        <v>1504013</v>
      </c>
      <c r="B853" s="11" t="s">
        <v>1229</v>
      </c>
      <c r="C853" s="12" t="s">
        <v>1367</v>
      </c>
      <c r="D853" s="11"/>
      <c r="E853" s="10" t="s">
        <v>1360</v>
      </c>
      <c r="F853" s="10" t="s">
        <v>557</v>
      </c>
      <c r="G853" s="55" t="str">
        <f t="shared" si="20"/>
        <v>Obsolete</v>
      </c>
      <c r="H853" s="10"/>
      <c r="I853" s="13">
        <v>1000</v>
      </c>
      <c r="J853" s="56"/>
      <c r="K853" s="57"/>
      <c r="M853" s="10"/>
      <c r="N853" s="10"/>
      <c r="O853" s="29"/>
      <c r="P853" s="29"/>
      <c r="Q853" s="29"/>
      <c r="R853" s="29"/>
      <c r="S853" s="29"/>
      <c r="T853" s="72"/>
      <c r="U853" s="97" t="s">
        <v>54</v>
      </c>
      <c r="V853" s="97"/>
      <c r="W853" s="97" t="s">
        <v>54</v>
      </c>
      <c r="X853" s="97"/>
      <c r="Y853" s="97"/>
      <c r="Z853" s="78"/>
      <c r="AA853" s="79" t="s">
        <v>234</v>
      </c>
      <c r="AB853" s="79" t="s">
        <v>37</v>
      </c>
      <c r="AC853" s="79" t="s">
        <v>37</v>
      </c>
      <c r="AD853" s="79"/>
      <c r="AE853" s="79"/>
      <c r="AF853" s="79"/>
      <c r="AG853" s="79"/>
      <c r="AH853" s="79"/>
      <c r="AI853" s="53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</row>
    <row r="854" spans="1:110" ht="13.8" x14ac:dyDescent="0.25">
      <c r="A854" s="10">
        <v>1504014</v>
      </c>
      <c r="B854" s="11" t="s">
        <v>1229</v>
      </c>
      <c r="C854" s="12" t="s">
        <v>1368</v>
      </c>
      <c r="D854" s="11"/>
      <c r="E854" s="10" t="s">
        <v>1369</v>
      </c>
      <c r="F854" s="10" t="s">
        <v>557</v>
      </c>
      <c r="G854" s="55">
        <f t="shared" si="20"/>
        <v>2.3199999999999998E-2</v>
      </c>
      <c r="H854" s="10">
        <v>2</v>
      </c>
      <c r="I854" s="13">
        <v>3750</v>
      </c>
      <c r="J854" s="56"/>
      <c r="K854" s="57"/>
      <c r="M854" s="10"/>
      <c r="N854" s="10"/>
      <c r="O854" s="29"/>
      <c r="P854" s="29"/>
      <c r="Q854" s="29"/>
      <c r="R854" s="29"/>
      <c r="S854" s="29"/>
      <c r="T854" s="72"/>
      <c r="U854" s="103">
        <v>2.3199999999999998E-2</v>
      </c>
      <c r="V854" s="77">
        <v>0</v>
      </c>
      <c r="W854" s="103">
        <v>2.3199999999999998E-2</v>
      </c>
      <c r="X854" s="97">
        <v>0</v>
      </c>
      <c r="Y854" s="97" t="s">
        <v>37</v>
      </c>
      <c r="Z854" s="78">
        <v>150</v>
      </c>
      <c r="AA854" s="79" t="s">
        <v>44</v>
      </c>
      <c r="AB854" s="79" t="s">
        <v>35</v>
      </c>
      <c r="AC854" s="79" t="s">
        <v>37</v>
      </c>
      <c r="AD854" s="79" t="s">
        <v>38</v>
      </c>
      <c r="AE854" s="79" t="s">
        <v>1370</v>
      </c>
      <c r="AF854" s="79" t="s">
        <v>1371</v>
      </c>
      <c r="AG854" s="105" t="s">
        <v>1372</v>
      </c>
      <c r="AH854" s="79"/>
      <c r="AI854" s="53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</row>
    <row r="855" spans="1:110" ht="13.8" x14ac:dyDescent="0.25">
      <c r="A855" s="10">
        <v>1504015</v>
      </c>
      <c r="B855" s="11" t="s">
        <v>1229</v>
      </c>
      <c r="C855" s="12" t="s">
        <v>1373</v>
      </c>
      <c r="D855" s="11"/>
      <c r="E855" s="10" t="s">
        <v>1369</v>
      </c>
      <c r="F855" s="10" t="s">
        <v>557</v>
      </c>
      <c r="G855" s="55">
        <f t="shared" si="20"/>
        <v>2.3900000000000001E-2</v>
      </c>
      <c r="H855" s="10">
        <v>2</v>
      </c>
      <c r="I855" s="13">
        <v>1000</v>
      </c>
      <c r="J855" s="56"/>
      <c r="K855" s="57"/>
      <c r="M855" s="10"/>
      <c r="N855" s="10"/>
      <c r="O855" s="29"/>
      <c r="P855" s="29"/>
      <c r="Q855" s="29"/>
      <c r="R855" s="29"/>
      <c r="S855" s="29"/>
      <c r="T855" s="72"/>
      <c r="U855" s="103">
        <v>2.3900000000000001E-2</v>
      </c>
      <c r="V855" s="103">
        <v>0</v>
      </c>
      <c r="W855" s="103">
        <v>2.3900000000000001E-2</v>
      </c>
      <c r="X855" s="97">
        <v>0</v>
      </c>
      <c r="Y855" s="97" t="s">
        <v>37</v>
      </c>
      <c r="Z855" s="78">
        <v>1000</v>
      </c>
      <c r="AA855" s="79" t="s">
        <v>44</v>
      </c>
      <c r="AB855" s="79" t="s">
        <v>35</v>
      </c>
      <c r="AC855" s="79" t="s">
        <v>37</v>
      </c>
      <c r="AD855" s="79" t="s">
        <v>38</v>
      </c>
      <c r="AE855" s="79" t="s">
        <v>1370</v>
      </c>
      <c r="AF855" s="79" t="s">
        <v>1371</v>
      </c>
      <c r="AG855" s="105" t="s">
        <v>1372</v>
      </c>
      <c r="AH855" s="79"/>
      <c r="AI855" s="53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</row>
    <row r="856" spans="1:110" ht="13.8" x14ac:dyDescent="0.25">
      <c r="A856" s="10">
        <v>1504016</v>
      </c>
      <c r="B856" s="11" t="s">
        <v>1229</v>
      </c>
      <c r="C856" s="12" t="s">
        <v>1374</v>
      </c>
      <c r="D856" s="11"/>
      <c r="E856" s="10" t="s">
        <v>1369</v>
      </c>
      <c r="F856" s="10" t="s">
        <v>557</v>
      </c>
      <c r="G856" s="60">
        <f t="shared" si="20"/>
        <v>1.15E-2</v>
      </c>
      <c r="H856" s="10">
        <v>1</v>
      </c>
      <c r="I856" s="13">
        <v>1000</v>
      </c>
      <c r="J856" s="56">
        <v>44153</v>
      </c>
      <c r="K856" s="57">
        <v>8.9999999999999993E-3</v>
      </c>
      <c r="M856" s="10"/>
      <c r="N856" s="10"/>
      <c r="O856" s="29"/>
      <c r="P856" s="29"/>
      <c r="Q856" s="29"/>
      <c r="R856" s="29"/>
      <c r="S856" s="29"/>
      <c r="T856" s="72"/>
      <c r="U856" s="103">
        <v>1.15E-2</v>
      </c>
      <c r="V856" s="103">
        <v>0</v>
      </c>
      <c r="W856" s="103">
        <v>1.15E-2</v>
      </c>
      <c r="X856" s="103">
        <v>0</v>
      </c>
      <c r="Y856" s="97" t="s">
        <v>37</v>
      </c>
      <c r="Z856" s="78"/>
      <c r="AA856" s="79" t="s">
        <v>44</v>
      </c>
      <c r="AB856" s="79" t="s">
        <v>35</v>
      </c>
      <c r="AC856" s="79" t="s">
        <v>37</v>
      </c>
      <c r="AD856" s="79" t="s">
        <v>38</v>
      </c>
      <c r="AE856" s="79" t="s">
        <v>1370</v>
      </c>
      <c r="AF856" s="79" t="s">
        <v>1371</v>
      </c>
      <c r="AG856" s="105" t="s">
        <v>1372</v>
      </c>
      <c r="AH856" s="79"/>
      <c r="AI856" s="53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</row>
    <row r="857" spans="1:110" ht="13.8" x14ac:dyDescent="0.25">
      <c r="A857" s="10">
        <v>1504017</v>
      </c>
      <c r="B857" s="11" t="s">
        <v>1229</v>
      </c>
      <c r="C857" s="12" t="s">
        <v>1375</v>
      </c>
      <c r="D857" s="11"/>
      <c r="E857" s="10" t="s">
        <v>1376</v>
      </c>
      <c r="F857" s="10" t="s">
        <v>557</v>
      </c>
      <c r="G857" s="60">
        <f t="shared" si="20"/>
        <v>4.2000000000000003E-2</v>
      </c>
      <c r="H857" s="10"/>
      <c r="I857" s="13"/>
      <c r="J857" s="56"/>
      <c r="K857" s="57"/>
      <c r="M857" s="10"/>
      <c r="N857" s="10"/>
      <c r="O857" s="29"/>
      <c r="P857" s="29"/>
      <c r="Q857" s="29"/>
      <c r="R857" s="29"/>
      <c r="S857" s="29"/>
      <c r="T857" s="72"/>
      <c r="U857" s="103">
        <v>4.2000000000000003E-2</v>
      </c>
      <c r="V857" s="103">
        <v>0</v>
      </c>
      <c r="W857" s="103">
        <v>4.2000000000000003E-2</v>
      </c>
      <c r="X857" s="103">
        <v>0</v>
      </c>
      <c r="Y857" s="97" t="s">
        <v>37</v>
      </c>
      <c r="Z857" s="78"/>
      <c r="AA857" s="79" t="s">
        <v>272</v>
      </c>
      <c r="AB857" s="79" t="s">
        <v>35</v>
      </c>
      <c r="AC857" s="79" t="s">
        <v>35</v>
      </c>
      <c r="AD857" s="79" t="s">
        <v>38</v>
      </c>
      <c r="AE857" s="79" t="s">
        <v>1377</v>
      </c>
      <c r="AF857" s="79" t="s">
        <v>1378</v>
      </c>
      <c r="AG857" s="105" t="s">
        <v>1379</v>
      </c>
      <c r="AH857" s="79"/>
      <c r="AI857" s="53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</row>
    <row r="858" spans="1:110" ht="13.8" x14ac:dyDescent="0.25">
      <c r="A858" s="10">
        <v>1504018</v>
      </c>
      <c r="B858" s="11" t="s">
        <v>1229</v>
      </c>
      <c r="C858" s="12" t="s">
        <v>1380</v>
      </c>
      <c r="D858" s="11"/>
      <c r="E858" s="10" t="s">
        <v>1376</v>
      </c>
      <c r="F858" s="10" t="s">
        <v>557</v>
      </c>
      <c r="G858" s="60">
        <f t="shared" si="20"/>
        <v>0.03</v>
      </c>
      <c r="H858" s="10"/>
      <c r="I858" s="13"/>
      <c r="J858" s="56"/>
      <c r="K858" s="57"/>
      <c r="M858" s="10"/>
      <c r="N858" s="10"/>
      <c r="O858" s="29"/>
      <c r="P858" s="29"/>
      <c r="Q858" s="29"/>
      <c r="R858" s="29"/>
      <c r="S858" s="29"/>
      <c r="T858" s="72"/>
      <c r="U858" s="103">
        <v>0.03</v>
      </c>
      <c r="V858" s="103">
        <v>0</v>
      </c>
      <c r="W858" s="103">
        <v>0.03</v>
      </c>
      <c r="X858" s="103">
        <v>0</v>
      </c>
      <c r="Y858" s="97" t="s">
        <v>37</v>
      </c>
      <c r="Z858" s="78"/>
      <c r="AA858" s="79" t="s">
        <v>272</v>
      </c>
      <c r="AB858" s="79" t="s">
        <v>35</v>
      </c>
      <c r="AC858" s="79" t="s">
        <v>35</v>
      </c>
      <c r="AD858" s="79" t="s">
        <v>38</v>
      </c>
      <c r="AE858" s="79" t="s">
        <v>1377</v>
      </c>
      <c r="AF858" s="79" t="s">
        <v>1378</v>
      </c>
      <c r="AG858" s="105" t="s">
        <v>1379</v>
      </c>
      <c r="AH858" s="79"/>
      <c r="AI858" s="53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</row>
    <row r="859" spans="1:110" ht="13.8" x14ac:dyDescent="0.25">
      <c r="A859" s="10">
        <v>1504019</v>
      </c>
      <c r="B859" s="11" t="s">
        <v>1229</v>
      </c>
      <c r="C859" s="12" t="s">
        <v>1572</v>
      </c>
      <c r="D859" s="11"/>
      <c r="E859" s="10" t="s">
        <v>1369</v>
      </c>
      <c r="F859" s="10" t="s">
        <v>557</v>
      </c>
      <c r="G859" s="60">
        <f t="shared" si="20"/>
        <v>2.5000000000000001E-2</v>
      </c>
      <c r="H859" s="10">
        <v>1</v>
      </c>
      <c r="I859" s="13"/>
      <c r="J859" s="56"/>
      <c r="K859" s="57"/>
      <c r="M859" s="10"/>
      <c r="N859" s="10"/>
      <c r="O859" s="29"/>
      <c r="P859" s="29"/>
      <c r="Q859" s="29"/>
      <c r="R859" s="29"/>
      <c r="S859" s="29"/>
      <c r="T859" s="72"/>
      <c r="U859" s="103">
        <f>0.5/20</f>
        <v>2.5000000000000001E-2</v>
      </c>
      <c r="V859" s="103">
        <v>0</v>
      </c>
      <c r="W859" s="103">
        <f>0.5/20</f>
        <v>2.5000000000000001E-2</v>
      </c>
      <c r="X859" s="103">
        <v>0</v>
      </c>
      <c r="Y859" s="97" t="s">
        <v>37</v>
      </c>
      <c r="Z859" s="78"/>
      <c r="AA859" s="79" t="s">
        <v>468</v>
      </c>
      <c r="AB859" s="79" t="s">
        <v>35</v>
      </c>
      <c r="AC859" s="79" t="s">
        <v>37</v>
      </c>
      <c r="AD859" s="79" t="s">
        <v>38</v>
      </c>
      <c r="AE859" s="79" t="s">
        <v>1370</v>
      </c>
      <c r="AF859" s="79" t="s">
        <v>1371</v>
      </c>
      <c r="AG859" s="105" t="s">
        <v>1372</v>
      </c>
      <c r="AH859" s="79"/>
      <c r="AI859" s="53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</row>
    <row r="860" spans="1:110" ht="13.8" x14ac:dyDescent="0.25">
      <c r="A860" s="10">
        <v>1504020</v>
      </c>
      <c r="B860" s="11" t="s">
        <v>1229</v>
      </c>
      <c r="C860" s="12" t="s">
        <v>1627</v>
      </c>
      <c r="D860" s="11"/>
      <c r="E860" s="10" t="s">
        <v>1625</v>
      </c>
      <c r="F860" s="10" t="s">
        <v>557</v>
      </c>
      <c r="G860" s="55">
        <v>0</v>
      </c>
      <c r="H860" s="10"/>
      <c r="I860" s="13"/>
      <c r="J860" s="56"/>
      <c r="K860" s="57"/>
      <c r="M860" s="10"/>
      <c r="N860" s="10"/>
      <c r="O860" s="29"/>
      <c r="P860" s="29"/>
      <c r="Q860" s="29"/>
      <c r="R860" s="29"/>
      <c r="S860" s="29"/>
      <c r="T860" s="72"/>
      <c r="U860" s="103"/>
      <c r="V860" s="103"/>
      <c r="W860" s="103"/>
      <c r="X860" s="103"/>
      <c r="Y860" s="97"/>
      <c r="Z860" s="78"/>
      <c r="AA860" s="79"/>
      <c r="AB860" s="79"/>
      <c r="AC860" s="79"/>
      <c r="AD860" s="79"/>
      <c r="AE860" s="79"/>
      <c r="AF860" s="79"/>
      <c r="AG860" s="105"/>
      <c r="AH860" s="79"/>
      <c r="AI860" s="53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</row>
    <row r="861" spans="1:110" ht="13.8" x14ac:dyDescent="0.25">
      <c r="A861" s="10">
        <v>1505001</v>
      </c>
      <c r="B861" s="11" t="s">
        <v>1229</v>
      </c>
      <c r="C861" s="12" t="s">
        <v>1381</v>
      </c>
      <c r="D861" s="11"/>
      <c r="E861" s="10" t="s">
        <v>966</v>
      </c>
      <c r="F861" s="10" t="s">
        <v>557</v>
      </c>
      <c r="G861" s="55" t="str">
        <f t="shared" si="20"/>
        <v>Obsolete</v>
      </c>
      <c r="H861" s="10"/>
      <c r="I861" s="13"/>
      <c r="J861" s="56"/>
      <c r="K861" s="57"/>
      <c r="M861" s="10"/>
      <c r="N861" s="10"/>
      <c r="O861" s="29"/>
      <c r="P861" s="29"/>
      <c r="Q861" s="29"/>
      <c r="R861" s="29"/>
      <c r="S861" s="29"/>
      <c r="T861" s="72"/>
      <c r="U861" s="97" t="s">
        <v>54</v>
      </c>
      <c r="V861" s="97"/>
      <c r="W861" s="97" t="s">
        <v>54</v>
      </c>
      <c r="X861" s="97"/>
      <c r="Y861" s="97"/>
      <c r="Z861" s="78"/>
      <c r="AA861" s="79" t="s">
        <v>966</v>
      </c>
      <c r="AB861" s="79" t="s">
        <v>37</v>
      </c>
      <c r="AC861" s="79" t="s">
        <v>37</v>
      </c>
      <c r="AD861" s="79"/>
      <c r="AE861" s="79"/>
      <c r="AF861" s="79"/>
      <c r="AG861" s="79"/>
      <c r="AH861" s="79"/>
      <c r="AI861" s="53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</row>
    <row r="862" spans="1:110" ht="13.8" x14ac:dyDescent="0.25">
      <c r="A862" s="10">
        <v>1505002</v>
      </c>
      <c r="B862" s="11" t="s">
        <v>956</v>
      </c>
      <c r="C862" s="12" t="s">
        <v>1382</v>
      </c>
      <c r="D862" s="11"/>
      <c r="E862" s="10" t="s">
        <v>966</v>
      </c>
      <c r="F862" s="10" t="s">
        <v>557</v>
      </c>
      <c r="G862" s="55" t="str">
        <f t="shared" si="20"/>
        <v>Obsolete</v>
      </c>
      <c r="H862" s="10"/>
      <c r="I862" s="13"/>
      <c r="J862" s="56"/>
      <c r="K862" s="57"/>
      <c r="M862" s="10"/>
      <c r="N862" s="10"/>
      <c r="O862" s="29"/>
      <c r="P862" s="29"/>
      <c r="Q862" s="29"/>
      <c r="R862" s="29"/>
      <c r="S862" s="29"/>
      <c r="T862" s="72"/>
      <c r="U862" s="97" t="s">
        <v>54</v>
      </c>
      <c r="V862" s="97"/>
      <c r="W862" s="97" t="s">
        <v>54</v>
      </c>
      <c r="X862" s="97"/>
      <c r="Y862" s="97"/>
      <c r="Z862" s="78"/>
      <c r="AA862" s="79" t="s">
        <v>966</v>
      </c>
      <c r="AB862" s="79" t="s">
        <v>37</v>
      </c>
      <c r="AC862" s="79" t="s">
        <v>37</v>
      </c>
      <c r="AD862" s="79"/>
      <c r="AE862" s="79"/>
      <c r="AF862" s="79"/>
      <c r="AG862" s="79"/>
      <c r="AH862" s="79"/>
      <c r="AI862" s="53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</row>
    <row r="863" spans="1:110" ht="30.6" x14ac:dyDescent="0.25">
      <c r="A863" s="10">
        <v>1505003</v>
      </c>
      <c r="B863" s="26" t="s">
        <v>956</v>
      </c>
      <c r="C863" s="25" t="s">
        <v>1383</v>
      </c>
      <c r="D863" s="11"/>
      <c r="E863" s="17" t="s">
        <v>57</v>
      </c>
      <c r="F863" s="10" t="s">
        <v>557</v>
      </c>
      <c r="G863" s="55" t="str">
        <f t="shared" si="20"/>
        <v>Obsolete</v>
      </c>
      <c r="H863" s="10"/>
      <c r="I863" s="13"/>
      <c r="J863" s="56"/>
      <c r="K863" s="57"/>
      <c r="M863" s="10"/>
      <c r="N863" s="10"/>
      <c r="O863" s="29"/>
      <c r="P863" s="29"/>
      <c r="Q863" s="29"/>
      <c r="R863" s="29"/>
      <c r="S863" s="29"/>
      <c r="T863" s="72"/>
      <c r="U863" s="97" t="s">
        <v>54</v>
      </c>
      <c r="V863" s="97"/>
      <c r="W863" s="97" t="s">
        <v>54</v>
      </c>
      <c r="X863" s="97"/>
      <c r="Y863" s="97"/>
      <c r="Z863" s="78"/>
      <c r="AA863" s="79"/>
      <c r="AB863" s="79" t="s">
        <v>37</v>
      </c>
      <c r="AC863" s="79" t="s">
        <v>37</v>
      </c>
      <c r="AD863" s="79"/>
      <c r="AE863" s="79"/>
      <c r="AF863" s="79"/>
      <c r="AG863" s="79"/>
      <c r="AH863" s="79"/>
      <c r="AI863" s="53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</row>
    <row r="864" spans="1:110" ht="30.6" x14ac:dyDescent="0.25">
      <c r="A864" s="10">
        <v>1505004</v>
      </c>
      <c r="B864" s="26" t="s">
        <v>956</v>
      </c>
      <c r="C864" s="25" t="s">
        <v>1384</v>
      </c>
      <c r="D864" s="11"/>
      <c r="E864" s="17" t="s">
        <v>57</v>
      </c>
      <c r="F864" s="10" t="s">
        <v>557</v>
      </c>
      <c r="G864" s="55" t="str">
        <f t="shared" si="20"/>
        <v>Obsolete</v>
      </c>
      <c r="H864" s="10"/>
      <c r="I864" s="13"/>
      <c r="J864" s="56"/>
      <c r="K864" s="57"/>
      <c r="M864" s="10"/>
      <c r="N864" s="10"/>
      <c r="O864" s="29"/>
      <c r="P864" s="29"/>
      <c r="Q864" s="29"/>
      <c r="R864" s="29"/>
      <c r="S864" s="29"/>
      <c r="T864" s="72"/>
      <c r="U864" s="97" t="s">
        <v>54</v>
      </c>
      <c r="V864" s="97"/>
      <c r="W864" s="97" t="s">
        <v>54</v>
      </c>
      <c r="X864" s="97"/>
      <c r="Y864" s="97"/>
      <c r="Z864" s="78"/>
      <c r="AA864" s="79"/>
      <c r="AB864" s="79" t="s">
        <v>37</v>
      </c>
      <c r="AC864" s="79" t="s">
        <v>37</v>
      </c>
      <c r="AD864" s="79"/>
      <c r="AE864" s="79"/>
      <c r="AF864" s="79"/>
      <c r="AG864" s="79"/>
      <c r="AH864" s="79"/>
      <c r="AI864" s="53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</row>
    <row r="865" spans="1:110" ht="13.8" x14ac:dyDescent="0.25">
      <c r="A865" s="10">
        <v>1505005</v>
      </c>
      <c r="B865" s="26" t="s">
        <v>940</v>
      </c>
      <c r="C865" s="25" t="s">
        <v>1385</v>
      </c>
      <c r="D865" s="11"/>
      <c r="E865" s="10" t="s">
        <v>1386</v>
      </c>
      <c r="F865" s="10" t="s">
        <v>557</v>
      </c>
      <c r="G865" s="55">
        <f t="shared" si="20"/>
        <v>0.25128300000000003</v>
      </c>
      <c r="H865" s="10">
        <v>4</v>
      </c>
      <c r="I865" s="13">
        <v>10000</v>
      </c>
      <c r="J865" s="56"/>
      <c r="K865" s="57"/>
      <c r="M865" s="14"/>
      <c r="N865" s="14"/>
      <c r="O865" s="14"/>
      <c r="P865" s="14"/>
      <c r="Q865" s="14"/>
      <c r="R865" s="14"/>
      <c r="S865" s="14">
        <v>0.28299999999999997</v>
      </c>
      <c r="T865" s="70">
        <v>0.23</v>
      </c>
      <c r="U865" s="76">
        <v>0.23</v>
      </c>
      <c r="V865" s="76">
        <v>2.1283E-2</v>
      </c>
      <c r="W865" s="76">
        <v>0.23</v>
      </c>
      <c r="X865" s="76">
        <v>2.1283E-2</v>
      </c>
      <c r="Y865" s="77" t="s">
        <v>35</v>
      </c>
      <c r="Z865" s="78"/>
      <c r="AA865" s="79" t="s">
        <v>234</v>
      </c>
      <c r="AB865" s="79" t="s">
        <v>35</v>
      </c>
      <c r="AC865" s="79" t="s">
        <v>37</v>
      </c>
      <c r="AD865" s="79" t="s">
        <v>38</v>
      </c>
      <c r="AE865" s="79" t="s">
        <v>1387</v>
      </c>
      <c r="AF865" s="79" t="s">
        <v>1388</v>
      </c>
      <c r="AG865" s="105" t="s">
        <v>1389</v>
      </c>
      <c r="AH865" s="79"/>
      <c r="AI865" s="53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</row>
    <row r="866" spans="1:110" ht="20.399999999999999" x14ac:dyDescent="0.25">
      <c r="A866" s="10">
        <v>1505006</v>
      </c>
      <c r="B866" s="26" t="s">
        <v>940</v>
      </c>
      <c r="C866" s="25" t="s">
        <v>1390</v>
      </c>
      <c r="D866" s="11"/>
      <c r="E866" s="17" t="s">
        <v>57</v>
      </c>
      <c r="F866" s="10" t="s">
        <v>557</v>
      </c>
      <c r="G866" s="55" t="str">
        <f t="shared" si="20"/>
        <v>Obsolete</v>
      </c>
      <c r="H866" s="10"/>
      <c r="I866" s="13"/>
      <c r="J866" s="56"/>
      <c r="K866" s="57"/>
      <c r="M866" s="10"/>
      <c r="N866" s="10"/>
      <c r="O866" s="29"/>
      <c r="P866" s="29"/>
      <c r="Q866" s="29"/>
      <c r="R866" s="29"/>
      <c r="S866" s="29"/>
      <c r="T866" s="72"/>
      <c r="U866" s="97" t="s">
        <v>54</v>
      </c>
      <c r="V866" s="97"/>
      <c r="W866" s="97" t="s">
        <v>54</v>
      </c>
      <c r="X866" s="97"/>
      <c r="Y866" s="97"/>
      <c r="Z866" s="78"/>
      <c r="AA866" s="79"/>
      <c r="AB866" s="79" t="s">
        <v>37</v>
      </c>
      <c r="AC866" s="79" t="s">
        <v>37</v>
      </c>
      <c r="AD866" s="79"/>
      <c r="AE866" s="79"/>
      <c r="AF866" s="79"/>
      <c r="AG866" s="79"/>
      <c r="AH866" s="79"/>
      <c r="AI866" s="53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</row>
    <row r="867" spans="1:110" ht="20.399999999999999" x14ac:dyDescent="0.25">
      <c r="A867" s="10">
        <v>1505007</v>
      </c>
      <c r="B867" s="26" t="s">
        <v>940</v>
      </c>
      <c r="C867" s="25" t="s">
        <v>1391</v>
      </c>
      <c r="D867" s="11"/>
      <c r="E867" s="17" t="s">
        <v>57</v>
      </c>
      <c r="F867" s="10" t="s">
        <v>557</v>
      </c>
      <c r="G867" s="55" t="str">
        <f t="shared" si="20"/>
        <v>Obsolete</v>
      </c>
      <c r="H867" s="10"/>
      <c r="I867" s="13"/>
      <c r="J867" s="56"/>
      <c r="K867" s="57"/>
      <c r="M867" s="10"/>
      <c r="N867" s="10"/>
      <c r="O867" s="29"/>
      <c r="P867" s="29"/>
      <c r="Q867" s="29"/>
      <c r="R867" s="29"/>
      <c r="S867" s="29"/>
      <c r="T867" s="72"/>
      <c r="U867" s="97" t="s">
        <v>54</v>
      </c>
      <c r="V867" s="97"/>
      <c r="W867" s="97" t="s">
        <v>54</v>
      </c>
      <c r="X867" s="97"/>
      <c r="Y867" s="97"/>
      <c r="Z867" s="78"/>
      <c r="AA867" s="79"/>
      <c r="AB867" s="79" t="s">
        <v>37</v>
      </c>
      <c r="AC867" s="79" t="s">
        <v>37</v>
      </c>
      <c r="AD867" s="79"/>
      <c r="AE867" s="79"/>
      <c r="AF867" s="79"/>
      <c r="AG867" s="79"/>
      <c r="AH867" s="79"/>
      <c r="AI867" s="53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</row>
    <row r="868" spans="1:110" ht="13.8" x14ac:dyDescent="0.25">
      <c r="A868" s="10">
        <v>1505008</v>
      </c>
      <c r="B868" s="26" t="s">
        <v>940</v>
      </c>
      <c r="C868" s="25" t="s">
        <v>1392</v>
      </c>
      <c r="D868" s="11"/>
      <c r="E868" s="17" t="s">
        <v>57</v>
      </c>
      <c r="F868" s="10" t="s">
        <v>557</v>
      </c>
      <c r="G868" s="55" t="str">
        <f t="shared" si="20"/>
        <v>Obsolete</v>
      </c>
      <c r="H868" s="10"/>
      <c r="I868" s="13"/>
      <c r="J868" s="56"/>
      <c r="K868" s="57"/>
      <c r="M868" s="10"/>
      <c r="N868" s="10"/>
      <c r="O868" s="29"/>
      <c r="P868" s="29"/>
      <c r="Q868" s="29"/>
      <c r="R868" s="29"/>
      <c r="S868" s="29"/>
      <c r="T868" s="72"/>
      <c r="U868" s="97" t="s">
        <v>54</v>
      </c>
      <c r="V868" s="97"/>
      <c r="W868" s="97" t="s">
        <v>54</v>
      </c>
      <c r="X868" s="97"/>
      <c r="Y868" s="97"/>
      <c r="Z868" s="78"/>
      <c r="AA868" s="79"/>
      <c r="AB868" s="79" t="s">
        <v>37</v>
      </c>
      <c r="AC868" s="79" t="s">
        <v>37</v>
      </c>
      <c r="AD868" s="79"/>
      <c r="AE868" s="79"/>
      <c r="AF868" s="79"/>
      <c r="AG868" s="79"/>
      <c r="AH868" s="79"/>
      <c r="AI868" s="53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</row>
    <row r="869" spans="1:110" ht="13.8" x14ac:dyDescent="0.25">
      <c r="A869" s="10">
        <v>1505009</v>
      </c>
      <c r="B869" s="26" t="s">
        <v>940</v>
      </c>
      <c r="C869" s="25" t="s">
        <v>1393</v>
      </c>
      <c r="D869" s="11" t="s">
        <v>1087</v>
      </c>
      <c r="E869" s="17" t="s">
        <v>57</v>
      </c>
      <c r="F869" s="10" t="s">
        <v>557</v>
      </c>
      <c r="G869" s="55" t="str">
        <f t="shared" si="20"/>
        <v>Obsolete</v>
      </c>
      <c r="H869" s="10"/>
      <c r="I869" s="13"/>
      <c r="J869" s="56"/>
      <c r="K869" s="57"/>
      <c r="M869" s="10"/>
      <c r="N869" s="10"/>
      <c r="O869" s="29"/>
      <c r="P869" s="29"/>
      <c r="Q869" s="29"/>
      <c r="R869" s="29"/>
      <c r="S869" s="29"/>
      <c r="T869" s="72"/>
      <c r="U869" s="97" t="s">
        <v>54</v>
      </c>
      <c r="V869" s="97"/>
      <c r="W869" s="97" t="s">
        <v>54</v>
      </c>
      <c r="X869" s="97"/>
      <c r="Y869" s="97"/>
      <c r="Z869" s="78"/>
      <c r="AA869" s="79"/>
      <c r="AB869" s="79" t="s">
        <v>37</v>
      </c>
      <c r="AC869" s="79" t="s">
        <v>37</v>
      </c>
      <c r="AD869" s="79"/>
      <c r="AE869" s="79"/>
      <c r="AF869" s="79"/>
      <c r="AG869" s="79"/>
      <c r="AH869" s="79"/>
      <c r="AI869" s="53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</row>
    <row r="870" spans="1:110" ht="13.8" x14ac:dyDescent="0.25">
      <c r="A870" s="10">
        <v>1505010</v>
      </c>
      <c r="B870" s="26" t="s">
        <v>940</v>
      </c>
      <c r="C870" s="25" t="s">
        <v>1394</v>
      </c>
      <c r="D870" s="11" t="s">
        <v>1087</v>
      </c>
      <c r="E870" s="17" t="s">
        <v>57</v>
      </c>
      <c r="F870" s="10" t="s">
        <v>557</v>
      </c>
      <c r="G870" s="55" t="str">
        <f t="shared" si="20"/>
        <v>Obsolete</v>
      </c>
      <c r="H870" s="10"/>
      <c r="I870" s="13"/>
      <c r="J870" s="56"/>
      <c r="K870" s="57"/>
      <c r="M870" s="10"/>
      <c r="N870" s="10"/>
      <c r="O870" s="29"/>
      <c r="P870" s="29"/>
      <c r="Q870" s="29"/>
      <c r="R870" s="29"/>
      <c r="S870" s="29"/>
      <c r="T870" s="72"/>
      <c r="U870" s="97" t="s">
        <v>54</v>
      </c>
      <c r="V870" s="97"/>
      <c r="W870" s="97" t="s">
        <v>54</v>
      </c>
      <c r="X870" s="97"/>
      <c r="Y870" s="97"/>
      <c r="Z870" s="78"/>
      <c r="AA870" s="79"/>
      <c r="AB870" s="79" t="s">
        <v>37</v>
      </c>
      <c r="AC870" s="79" t="s">
        <v>37</v>
      </c>
      <c r="AD870" s="79"/>
      <c r="AE870" s="79"/>
      <c r="AF870" s="79"/>
      <c r="AG870" s="79"/>
      <c r="AH870" s="79"/>
      <c r="AI870" s="53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</row>
    <row r="871" spans="1:110" ht="20.399999999999999" x14ac:dyDescent="0.25">
      <c r="A871" s="10">
        <v>1505011</v>
      </c>
      <c r="B871" s="26" t="s">
        <v>940</v>
      </c>
      <c r="C871" s="25" t="s">
        <v>1395</v>
      </c>
      <c r="D871" s="11"/>
      <c r="E871" s="10" t="s">
        <v>1396</v>
      </c>
      <c r="F871" s="10" t="s">
        <v>557</v>
      </c>
      <c r="G871" s="55" t="str">
        <f t="shared" si="20"/>
        <v>Obsolete</v>
      </c>
      <c r="H871" s="10" t="s">
        <v>1397</v>
      </c>
      <c r="I871" s="13"/>
      <c r="J871" s="56"/>
      <c r="K871" s="57"/>
      <c r="M871" s="10"/>
      <c r="N871" s="10"/>
      <c r="O871" s="29"/>
      <c r="P871" s="29"/>
      <c r="Q871" s="29"/>
      <c r="R871" s="29"/>
      <c r="S871" s="29"/>
      <c r="T871" s="72"/>
      <c r="U871" s="97" t="s">
        <v>54</v>
      </c>
      <c r="V871" s="97"/>
      <c r="W871" s="97" t="s">
        <v>54</v>
      </c>
      <c r="X871" s="97"/>
      <c r="Y871" s="97"/>
      <c r="Z871" s="78"/>
      <c r="AA871" s="79" t="s">
        <v>517</v>
      </c>
      <c r="AB871" s="79" t="s">
        <v>37</v>
      </c>
      <c r="AC871" s="79" t="s">
        <v>35</v>
      </c>
      <c r="AD871" s="79" t="s">
        <v>1398</v>
      </c>
      <c r="AE871" s="79" t="s">
        <v>1399</v>
      </c>
      <c r="AF871" s="79" t="s">
        <v>1400</v>
      </c>
      <c r="AG871" s="79"/>
      <c r="AH871" s="79"/>
      <c r="AI871" s="53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</row>
    <row r="872" spans="1:110" ht="20.399999999999999" x14ac:dyDescent="0.25">
      <c r="A872" s="10">
        <v>1505012</v>
      </c>
      <c r="B872" s="26" t="s">
        <v>940</v>
      </c>
      <c r="C872" s="25" t="s">
        <v>1401</v>
      </c>
      <c r="D872" s="11"/>
      <c r="E872" s="10" t="s">
        <v>1396</v>
      </c>
      <c r="F872" s="10" t="s">
        <v>557</v>
      </c>
      <c r="G872" s="55" t="str">
        <f t="shared" si="20"/>
        <v>Obsolete</v>
      </c>
      <c r="H872" s="10">
        <v>2</v>
      </c>
      <c r="I872" s="13">
        <v>400000</v>
      </c>
      <c r="J872" s="56"/>
      <c r="K872" s="57"/>
      <c r="M872" s="14"/>
      <c r="N872" s="14"/>
      <c r="O872" s="14"/>
      <c r="P872" s="14"/>
      <c r="Q872" s="14"/>
      <c r="R872" s="14"/>
      <c r="S872" s="14"/>
      <c r="T872" s="70"/>
      <c r="U872" s="76" t="s">
        <v>54</v>
      </c>
      <c r="V872" s="76"/>
      <c r="W872" s="76" t="s">
        <v>54</v>
      </c>
      <c r="X872" s="76"/>
      <c r="Y872" s="77" t="s">
        <v>37</v>
      </c>
      <c r="Z872" s="78"/>
      <c r="AA872" s="79" t="s">
        <v>517</v>
      </c>
      <c r="AB872" s="79" t="s">
        <v>37</v>
      </c>
      <c r="AC872" s="79" t="s">
        <v>35</v>
      </c>
      <c r="AD872" s="79" t="s">
        <v>38</v>
      </c>
      <c r="AE872" s="79" t="s">
        <v>1402</v>
      </c>
      <c r="AF872" s="79" t="s">
        <v>1403</v>
      </c>
      <c r="AG872" s="105" t="s">
        <v>1404</v>
      </c>
      <c r="AH872" s="79"/>
      <c r="AI872" s="53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</row>
    <row r="873" spans="1:110" ht="13.8" x14ac:dyDescent="0.25">
      <c r="A873" s="10">
        <v>1506001</v>
      </c>
      <c r="B873" s="26" t="s">
        <v>1405</v>
      </c>
      <c r="C873" s="25" t="s">
        <v>1406</v>
      </c>
      <c r="D873" s="11"/>
      <c r="E873" s="10" t="s">
        <v>1231</v>
      </c>
      <c r="F873" s="10" t="s">
        <v>557</v>
      </c>
      <c r="G873" s="55">
        <f t="shared" si="20"/>
        <v>9.1999999999999998E-2</v>
      </c>
      <c r="H873" s="10">
        <v>2</v>
      </c>
      <c r="I873" s="13">
        <v>201</v>
      </c>
      <c r="J873" s="56"/>
      <c r="K873" s="57"/>
      <c r="M873" s="14"/>
      <c r="N873" s="14"/>
      <c r="O873" s="14"/>
      <c r="P873" s="14"/>
      <c r="Q873" s="14"/>
      <c r="R873" s="14"/>
      <c r="S873" s="14"/>
      <c r="T873" s="70"/>
      <c r="U873" s="76">
        <v>9.1999999999999998E-2</v>
      </c>
      <c r="V873" s="76">
        <v>0</v>
      </c>
      <c r="W873" s="76">
        <v>9.1999999999999998E-2</v>
      </c>
      <c r="X873" s="76">
        <v>0</v>
      </c>
      <c r="Y873" s="77" t="s">
        <v>37</v>
      </c>
      <c r="Z873" s="78"/>
      <c r="AA873" s="79" t="s">
        <v>263</v>
      </c>
      <c r="AB873" s="79" t="s">
        <v>35</v>
      </c>
      <c r="AC873" s="79" t="s">
        <v>37</v>
      </c>
      <c r="AD873" s="79" t="s">
        <v>38</v>
      </c>
      <c r="AE873" s="79" t="s">
        <v>1232</v>
      </c>
      <c r="AF873" s="79" t="s">
        <v>1233</v>
      </c>
      <c r="AG873" s="105" t="s">
        <v>1234</v>
      </c>
      <c r="AH873" s="79"/>
      <c r="AI873" s="53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</row>
    <row r="874" spans="1:110" ht="13.8" x14ac:dyDescent="0.25">
      <c r="A874" s="10">
        <v>1506002</v>
      </c>
      <c r="B874" s="26" t="s">
        <v>1405</v>
      </c>
      <c r="C874" s="25" t="s">
        <v>1407</v>
      </c>
      <c r="D874" s="11"/>
      <c r="E874" s="10" t="s">
        <v>1231</v>
      </c>
      <c r="F874" s="10" t="s">
        <v>557</v>
      </c>
      <c r="G874" s="55">
        <f t="shared" si="20"/>
        <v>6.2E-2</v>
      </c>
      <c r="H874" s="10">
        <v>2</v>
      </c>
      <c r="I874" s="13">
        <v>403</v>
      </c>
      <c r="J874" s="56"/>
      <c r="K874" s="57"/>
      <c r="M874" s="14"/>
      <c r="N874" s="14"/>
      <c r="O874" s="14"/>
      <c r="P874" s="14"/>
      <c r="Q874" s="14"/>
      <c r="R874" s="14"/>
      <c r="S874" s="14"/>
      <c r="T874" s="70"/>
      <c r="U874" s="76">
        <v>6.2E-2</v>
      </c>
      <c r="V874" s="76">
        <v>0</v>
      </c>
      <c r="W874" s="76">
        <v>6.2E-2</v>
      </c>
      <c r="X874" s="76">
        <v>0</v>
      </c>
      <c r="Y874" s="77" t="s">
        <v>37</v>
      </c>
      <c r="Z874" s="78"/>
      <c r="AA874" s="79" t="s">
        <v>263</v>
      </c>
      <c r="AB874" s="79" t="s">
        <v>35</v>
      </c>
      <c r="AC874" s="79" t="s">
        <v>37</v>
      </c>
      <c r="AD874" s="79" t="s">
        <v>38</v>
      </c>
      <c r="AE874" s="79" t="s">
        <v>1232</v>
      </c>
      <c r="AF874" s="79" t="s">
        <v>1233</v>
      </c>
      <c r="AG874" s="105" t="s">
        <v>1234</v>
      </c>
      <c r="AH874" s="79"/>
      <c r="AI874" s="53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</row>
    <row r="875" spans="1:110" ht="20.399999999999999" x14ac:dyDescent="0.25">
      <c r="A875" s="10">
        <v>1506003</v>
      </c>
      <c r="B875" s="26" t="s">
        <v>1405</v>
      </c>
      <c r="C875" s="25" t="s">
        <v>1408</v>
      </c>
      <c r="D875" s="10" t="s">
        <v>1211</v>
      </c>
      <c r="E875" s="10" t="s">
        <v>1275</v>
      </c>
      <c r="F875" s="10" t="s">
        <v>557</v>
      </c>
      <c r="G875" s="55">
        <f t="shared" si="20"/>
        <v>0.01</v>
      </c>
      <c r="H875" s="10">
        <v>1</v>
      </c>
      <c r="I875" s="13">
        <v>1000</v>
      </c>
      <c r="J875" s="56"/>
      <c r="K875" s="57"/>
      <c r="M875" s="14"/>
      <c r="N875" s="14"/>
      <c r="O875" s="14"/>
      <c r="P875" s="14"/>
      <c r="Q875" s="14"/>
      <c r="R875" s="14"/>
      <c r="S875" s="14"/>
      <c r="T875" s="70"/>
      <c r="U875" s="76">
        <v>0.01</v>
      </c>
      <c r="V875" s="76">
        <v>0</v>
      </c>
      <c r="W875" s="76">
        <v>0.01</v>
      </c>
      <c r="X875" s="76">
        <v>0</v>
      </c>
      <c r="Y875" s="77" t="s">
        <v>37</v>
      </c>
      <c r="Z875" s="78">
        <v>1000</v>
      </c>
      <c r="AA875" s="79" t="s">
        <v>36</v>
      </c>
      <c r="AB875" s="79" t="s">
        <v>35</v>
      </c>
      <c r="AC875" s="79" t="s">
        <v>37</v>
      </c>
      <c r="AD875" s="79" t="s">
        <v>38</v>
      </c>
      <c r="AE875" s="79" t="s">
        <v>1276</v>
      </c>
      <c r="AF875" s="79" t="s">
        <v>1277</v>
      </c>
      <c r="AG875" s="105" t="s">
        <v>1278</v>
      </c>
      <c r="AH875" s="79"/>
      <c r="AI875" s="53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</row>
    <row r="876" spans="1:110" ht="13.8" x14ac:dyDescent="0.25">
      <c r="A876" s="10">
        <v>1506004</v>
      </c>
      <c r="B876" s="11" t="s">
        <v>956</v>
      </c>
      <c r="C876" s="25" t="s">
        <v>1409</v>
      </c>
      <c r="D876" s="11"/>
      <c r="E876" s="10" t="s">
        <v>1013</v>
      </c>
      <c r="F876" s="10" t="s">
        <v>557</v>
      </c>
      <c r="G876" s="55">
        <f t="shared" si="20"/>
        <v>0</v>
      </c>
      <c r="H876" s="10"/>
      <c r="I876" s="13"/>
      <c r="J876" s="56"/>
      <c r="K876" s="57"/>
      <c r="M876" s="14"/>
      <c r="N876" s="14"/>
      <c r="O876" s="14"/>
      <c r="P876" s="14"/>
      <c r="Q876" s="14"/>
      <c r="R876" s="14"/>
      <c r="S876" s="14"/>
      <c r="T876" s="70"/>
      <c r="U876" s="76">
        <v>0</v>
      </c>
      <c r="V876" s="76">
        <v>0</v>
      </c>
      <c r="W876" s="76">
        <v>0</v>
      </c>
      <c r="X876" s="76">
        <v>0</v>
      </c>
      <c r="Y876" s="77" t="s">
        <v>37</v>
      </c>
      <c r="Z876" s="78"/>
      <c r="AA876" s="79" t="s">
        <v>36</v>
      </c>
      <c r="AB876" s="79" t="s">
        <v>35</v>
      </c>
      <c r="AC876" s="79" t="s">
        <v>37</v>
      </c>
      <c r="AD876" s="79" t="s">
        <v>38</v>
      </c>
      <c r="AE876" s="79"/>
      <c r="AF876" s="79"/>
      <c r="AG876" s="79"/>
      <c r="AH876" s="79"/>
      <c r="AI876" s="53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</row>
    <row r="877" spans="1:110" ht="13.8" x14ac:dyDescent="0.25">
      <c r="A877" s="10">
        <v>1506005</v>
      </c>
      <c r="B877" s="11" t="s">
        <v>956</v>
      </c>
      <c r="C877" s="25" t="s">
        <v>1410</v>
      </c>
      <c r="D877" s="11"/>
      <c r="E877" s="10" t="s">
        <v>1013</v>
      </c>
      <c r="F877" s="10" t="s">
        <v>557</v>
      </c>
      <c r="G877" s="55">
        <f t="shared" si="20"/>
        <v>0</v>
      </c>
      <c r="H877" s="10"/>
      <c r="I877" s="13"/>
      <c r="J877" s="56"/>
      <c r="K877" s="57"/>
      <c r="M877" s="14"/>
      <c r="N877" s="14"/>
      <c r="O877" s="14"/>
      <c r="P877" s="14"/>
      <c r="Q877" s="14"/>
      <c r="R877" s="14"/>
      <c r="S877" s="14"/>
      <c r="T877" s="70"/>
      <c r="U877" s="76">
        <v>0</v>
      </c>
      <c r="V877" s="76">
        <v>0</v>
      </c>
      <c r="W877" s="76">
        <v>0</v>
      </c>
      <c r="X877" s="76">
        <v>0</v>
      </c>
      <c r="Y877" s="77" t="s">
        <v>37</v>
      </c>
      <c r="Z877" s="78"/>
      <c r="AA877" s="79" t="s">
        <v>36</v>
      </c>
      <c r="AB877" s="79" t="s">
        <v>35</v>
      </c>
      <c r="AC877" s="79" t="s">
        <v>37</v>
      </c>
      <c r="AD877" s="79" t="s">
        <v>38</v>
      </c>
      <c r="AE877" s="79"/>
      <c r="AF877" s="79"/>
      <c r="AG877" s="79"/>
      <c r="AH877" s="79"/>
      <c r="AI877" s="53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</row>
    <row r="878" spans="1:110" ht="30.6" x14ac:dyDescent="0.25">
      <c r="A878" s="10">
        <v>1506006</v>
      </c>
      <c r="B878" s="11" t="s">
        <v>1562</v>
      </c>
      <c r="C878" s="25" t="s">
        <v>1564</v>
      </c>
      <c r="D878" s="11"/>
      <c r="E878" s="10" t="s">
        <v>1563</v>
      </c>
      <c r="F878" s="10" t="s">
        <v>557</v>
      </c>
      <c r="G878" s="55">
        <f t="shared" si="20"/>
        <v>7.0000000000000007E-2</v>
      </c>
      <c r="H878" s="10">
        <v>10</v>
      </c>
      <c r="I878" s="13">
        <v>12000</v>
      </c>
      <c r="J878" s="56"/>
      <c r="K878" s="57"/>
      <c r="M878" s="14"/>
      <c r="N878" s="14"/>
      <c r="O878" s="14"/>
      <c r="P878" s="14"/>
      <c r="Q878" s="14"/>
      <c r="R878" s="14"/>
      <c r="S878" s="14"/>
      <c r="T878" s="70"/>
      <c r="U878" s="76">
        <v>7.0000000000000007E-2</v>
      </c>
      <c r="V878" s="76">
        <v>0</v>
      </c>
      <c r="W878" s="76">
        <v>7.0000000000000007E-2</v>
      </c>
      <c r="X878" s="76">
        <v>0</v>
      </c>
      <c r="Y878" s="77" t="s">
        <v>37</v>
      </c>
      <c r="Z878" s="78"/>
      <c r="AA878" s="79" t="s">
        <v>284</v>
      </c>
      <c r="AB878" s="79" t="s">
        <v>35</v>
      </c>
      <c r="AC878" s="79" t="s">
        <v>37</v>
      </c>
      <c r="AD878" s="79" t="s">
        <v>38</v>
      </c>
      <c r="AE878" s="79" t="s">
        <v>1565</v>
      </c>
      <c r="AF878" s="79" t="s">
        <v>1566</v>
      </c>
      <c r="AG878" s="105" t="s">
        <v>1567</v>
      </c>
      <c r="AH878" s="79"/>
      <c r="AI878" s="53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</row>
    <row r="879" spans="1:110" ht="13.8" x14ac:dyDescent="0.25">
      <c r="A879" s="10">
        <v>1506007</v>
      </c>
      <c r="B879" s="11" t="s">
        <v>956</v>
      </c>
      <c r="C879" s="25" t="s">
        <v>1617</v>
      </c>
      <c r="D879" s="11" t="s">
        <v>1618</v>
      </c>
      <c r="E879" s="10" t="s">
        <v>1013</v>
      </c>
      <c r="F879" s="10" t="s">
        <v>557</v>
      </c>
      <c r="G879" s="55">
        <f t="shared" si="20"/>
        <v>0</v>
      </c>
      <c r="H879" s="10"/>
      <c r="I879" s="13"/>
      <c r="J879" s="56"/>
      <c r="K879" s="57"/>
      <c r="M879" s="14"/>
      <c r="N879" s="14"/>
      <c r="O879" s="14"/>
      <c r="P879" s="14"/>
      <c r="Q879" s="14"/>
      <c r="R879" s="14"/>
      <c r="S879" s="14"/>
      <c r="T879" s="70"/>
      <c r="U879" s="76"/>
      <c r="V879" s="76"/>
      <c r="W879" s="76"/>
      <c r="X879" s="76"/>
      <c r="Y879" s="77"/>
      <c r="Z879" s="78"/>
      <c r="AA879" s="79"/>
      <c r="AB879" s="79"/>
      <c r="AC879" s="79"/>
      <c r="AD879" s="79"/>
      <c r="AE879" s="79"/>
      <c r="AF879" s="79"/>
      <c r="AG879" s="105"/>
      <c r="AH879" s="79"/>
      <c r="AI879" s="53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</row>
    <row r="880" spans="1:110" ht="20.399999999999999" x14ac:dyDescent="0.25">
      <c r="A880" s="10">
        <v>1507001</v>
      </c>
      <c r="B880" s="26" t="s">
        <v>1411</v>
      </c>
      <c r="C880" s="25" t="s">
        <v>1412</v>
      </c>
      <c r="D880" s="11"/>
      <c r="E880" s="10" t="s">
        <v>1231</v>
      </c>
      <c r="F880" s="10" t="s">
        <v>557</v>
      </c>
      <c r="G880" s="55">
        <f t="shared" si="20"/>
        <v>9.9</v>
      </c>
      <c r="H880" s="10">
        <v>2</v>
      </c>
      <c r="I880" s="13"/>
      <c r="J880" s="56"/>
      <c r="K880" s="57"/>
      <c r="M880" s="14"/>
      <c r="N880" s="14"/>
      <c r="O880" s="14"/>
      <c r="P880" s="14"/>
      <c r="Q880" s="14"/>
      <c r="R880" s="14"/>
      <c r="S880" s="14"/>
      <c r="T880" s="70"/>
      <c r="U880" s="76">
        <v>9.9</v>
      </c>
      <c r="V880" s="76">
        <v>0</v>
      </c>
      <c r="W880" s="76">
        <v>9.9</v>
      </c>
      <c r="X880" s="76">
        <v>0</v>
      </c>
      <c r="Y880" s="77" t="s">
        <v>37</v>
      </c>
      <c r="Z880" s="78"/>
      <c r="AA880" s="79" t="s">
        <v>263</v>
      </c>
      <c r="AB880" s="79" t="s">
        <v>35</v>
      </c>
      <c r="AC880" s="79" t="s">
        <v>37</v>
      </c>
      <c r="AD880" s="79" t="s">
        <v>38</v>
      </c>
      <c r="AE880" s="79" t="s">
        <v>1232</v>
      </c>
      <c r="AF880" s="79" t="s">
        <v>1233</v>
      </c>
      <c r="AG880" s="105" t="s">
        <v>1234</v>
      </c>
      <c r="AH880" s="79"/>
      <c r="AI880" s="53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</row>
    <row r="881" spans="1:110" ht="20.399999999999999" x14ac:dyDescent="0.25">
      <c r="A881" s="10">
        <v>1507002</v>
      </c>
      <c r="B881" s="26" t="s">
        <v>1411</v>
      </c>
      <c r="C881" s="25" t="s">
        <v>1413</v>
      </c>
      <c r="D881" s="11"/>
      <c r="E881" s="10" t="s">
        <v>1231</v>
      </c>
      <c r="F881" s="10" t="s">
        <v>557</v>
      </c>
      <c r="G881" s="55">
        <f t="shared" si="20"/>
        <v>5.95</v>
      </c>
      <c r="H881" s="10">
        <v>2</v>
      </c>
      <c r="I881" s="13"/>
      <c r="J881" s="56"/>
      <c r="K881" s="57"/>
      <c r="M881" s="14"/>
      <c r="N881" s="14"/>
      <c r="O881" s="14"/>
      <c r="P881" s="14"/>
      <c r="Q881" s="14"/>
      <c r="R881" s="14"/>
      <c r="S881" s="14"/>
      <c r="T881" s="70"/>
      <c r="U881" s="76">
        <v>5.95</v>
      </c>
      <c r="V881" s="76">
        <v>0</v>
      </c>
      <c r="W881" s="76">
        <v>5.95</v>
      </c>
      <c r="X881" s="76">
        <v>0</v>
      </c>
      <c r="Y881" s="77" t="s">
        <v>37</v>
      </c>
      <c r="Z881" s="78"/>
      <c r="AA881" s="79" t="s">
        <v>263</v>
      </c>
      <c r="AB881" s="79" t="s">
        <v>35</v>
      </c>
      <c r="AC881" s="79" t="s">
        <v>37</v>
      </c>
      <c r="AD881" s="79" t="s">
        <v>38</v>
      </c>
      <c r="AE881" s="79" t="s">
        <v>1232</v>
      </c>
      <c r="AF881" s="79" t="s">
        <v>1233</v>
      </c>
      <c r="AG881" s="105" t="s">
        <v>1234</v>
      </c>
      <c r="AH881" s="79"/>
      <c r="AI881" s="53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</row>
    <row r="882" spans="1:110" ht="13.8" x14ac:dyDescent="0.25">
      <c r="A882" s="10">
        <v>1508001</v>
      </c>
      <c r="B882" s="11" t="s">
        <v>1411</v>
      </c>
      <c r="C882" s="12" t="s">
        <v>1414</v>
      </c>
      <c r="D882" s="11"/>
      <c r="E882" s="17" t="s">
        <v>57</v>
      </c>
      <c r="F882" s="10" t="s">
        <v>557</v>
      </c>
      <c r="G882" s="55" t="str">
        <f t="shared" si="20"/>
        <v>Obsolete</v>
      </c>
      <c r="H882" s="10"/>
      <c r="I882" s="13"/>
      <c r="J882" s="56"/>
      <c r="K882" s="57"/>
      <c r="M882" s="10"/>
      <c r="N882" s="10"/>
      <c r="O882" s="29"/>
      <c r="P882" s="29"/>
      <c r="Q882" s="29"/>
      <c r="R882" s="29"/>
      <c r="S882" s="29"/>
      <c r="T882" s="72"/>
      <c r="U882" s="97" t="s">
        <v>54</v>
      </c>
      <c r="V882" s="97"/>
      <c r="W882" s="97" t="s">
        <v>54</v>
      </c>
      <c r="X882" s="97"/>
      <c r="Y882" s="97"/>
      <c r="Z882" s="78"/>
      <c r="AA882" s="79" t="s">
        <v>1415</v>
      </c>
      <c r="AB882" s="79" t="s">
        <v>37</v>
      </c>
      <c r="AC882" s="79" t="s">
        <v>37</v>
      </c>
      <c r="AD882" s="79"/>
      <c r="AE882" s="79"/>
      <c r="AF882" s="79"/>
      <c r="AG882" s="79"/>
      <c r="AH882" s="79"/>
      <c r="AI882" s="53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</row>
    <row r="883" spans="1:110" ht="13.8" x14ac:dyDescent="0.25">
      <c r="A883" s="10">
        <v>1509001</v>
      </c>
      <c r="B883" s="11" t="s">
        <v>956</v>
      </c>
      <c r="C883" s="12" t="s">
        <v>1416</v>
      </c>
      <c r="D883" s="11"/>
      <c r="E883" s="10" t="s">
        <v>55</v>
      </c>
      <c r="F883" s="10" t="s">
        <v>557</v>
      </c>
      <c r="G883" s="55" t="str">
        <f t="shared" si="20"/>
        <v>Obsolete</v>
      </c>
      <c r="H883" s="10">
        <v>1</v>
      </c>
      <c r="I883" s="13"/>
      <c r="J883" s="56"/>
      <c r="K883" s="57"/>
      <c r="M883" s="10"/>
      <c r="N883" s="10"/>
      <c r="O883" s="29"/>
      <c r="P883" s="29"/>
      <c r="Q883" s="29"/>
      <c r="R883" s="29"/>
      <c r="S883" s="29"/>
      <c r="T883" s="72"/>
      <c r="U883" s="97" t="s">
        <v>54</v>
      </c>
      <c r="V883" s="97"/>
      <c r="W883" s="97" t="s">
        <v>54</v>
      </c>
      <c r="X883" s="97"/>
      <c r="Y883" s="97"/>
      <c r="Z883" s="78"/>
      <c r="AA883" s="79" t="s">
        <v>55</v>
      </c>
      <c r="AB883" s="79" t="s">
        <v>37</v>
      </c>
      <c r="AC883" s="79" t="s">
        <v>37</v>
      </c>
      <c r="AD883" s="79"/>
      <c r="AE883" s="79"/>
      <c r="AF883" s="79"/>
      <c r="AG883" s="79"/>
      <c r="AH883" s="79"/>
      <c r="AI883" s="53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</row>
    <row r="884" spans="1:110" ht="13.8" x14ac:dyDescent="0.25">
      <c r="A884" s="10">
        <v>1509005</v>
      </c>
      <c r="B884" s="11" t="s">
        <v>1229</v>
      </c>
      <c r="C884" s="12" t="s">
        <v>1417</v>
      </c>
      <c r="D884" s="11"/>
      <c r="E884" s="10" t="s">
        <v>1231</v>
      </c>
      <c r="F884" s="10" t="s">
        <v>557</v>
      </c>
      <c r="G884" s="55">
        <f t="shared" si="20"/>
        <v>8.7599999999999997E-2</v>
      </c>
      <c r="H884" s="10">
        <v>1</v>
      </c>
      <c r="I884" s="13">
        <v>250</v>
      </c>
      <c r="J884" s="56"/>
      <c r="K884" s="57"/>
      <c r="M884" s="14"/>
      <c r="N884" s="14"/>
      <c r="O884" s="14"/>
      <c r="P884" s="14"/>
      <c r="Q884" s="14"/>
      <c r="R884" s="14"/>
      <c r="S884" s="14"/>
      <c r="T884" s="70"/>
      <c r="U884" s="76">
        <v>8.7599999999999997E-2</v>
      </c>
      <c r="V884" s="76">
        <v>0</v>
      </c>
      <c r="W884" s="76">
        <v>8.7599999999999997E-2</v>
      </c>
      <c r="X884" s="76">
        <v>0</v>
      </c>
      <c r="Y884" s="77" t="s">
        <v>37</v>
      </c>
      <c r="Z884" s="78">
        <v>250</v>
      </c>
      <c r="AA884" s="79" t="s">
        <v>1418</v>
      </c>
      <c r="AB884" s="79" t="s">
        <v>35</v>
      </c>
      <c r="AC884" s="79" t="s">
        <v>37</v>
      </c>
      <c r="AD884" s="79" t="s">
        <v>38</v>
      </c>
      <c r="AE884" s="79" t="s">
        <v>1232</v>
      </c>
      <c r="AF884" s="79" t="s">
        <v>1233</v>
      </c>
      <c r="AG884" s="105" t="s">
        <v>1234</v>
      </c>
      <c r="AH884" s="79"/>
      <c r="AI884" s="53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</row>
    <row r="885" spans="1:110" ht="13.8" x14ac:dyDescent="0.25">
      <c r="A885" s="10">
        <v>1509006</v>
      </c>
      <c r="B885" s="11" t="s">
        <v>1229</v>
      </c>
      <c r="C885" s="12" t="s">
        <v>1419</v>
      </c>
      <c r="D885" s="11"/>
      <c r="E885" s="10" t="s">
        <v>1231</v>
      </c>
      <c r="F885" s="10" t="s">
        <v>557</v>
      </c>
      <c r="G885" s="55">
        <f t="shared" si="20"/>
        <v>7.7999999999999996E-3</v>
      </c>
      <c r="H885" s="10">
        <v>1</v>
      </c>
      <c r="I885" s="13">
        <v>25</v>
      </c>
      <c r="J885" s="56"/>
      <c r="K885" s="57"/>
      <c r="M885" s="14"/>
      <c r="N885" s="14"/>
      <c r="O885" s="14"/>
      <c r="P885" s="14"/>
      <c r="Q885" s="14"/>
      <c r="R885" s="14"/>
      <c r="S885" s="14"/>
      <c r="T885" s="70"/>
      <c r="U885" s="76">
        <v>7.7999999999999996E-3</v>
      </c>
      <c r="V885" s="76">
        <v>0</v>
      </c>
      <c r="W885" s="76">
        <v>7.7999999999999996E-3</v>
      </c>
      <c r="X885" s="76">
        <v>0</v>
      </c>
      <c r="Y885" s="77" t="s">
        <v>37</v>
      </c>
      <c r="Z885" s="78" t="s">
        <v>1420</v>
      </c>
      <c r="AA885" s="79" t="s">
        <v>36</v>
      </c>
      <c r="AB885" s="79" t="s">
        <v>35</v>
      </c>
      <c r="AC885" s="79" t="s">
        <v>37</v>
      </c>
      <c r="AD885" s="79" t="s">
        <v>38</v>
      </c>
      <c r="AE885" s="79" t="s">
        <v>1232</v>
      </c>
      <c r="AF885" s="79" t="s">
        <v>1233</v>
      </c>
      <c r="AG885" s="105" t="s">
        <v>1234</v>
      </c>
      <c r="AH885" s="79"/>
      <c r="AI885" s="53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</row>
    <row r="886" spans="1:110" ht="13.8" x14ac:dyDescent="0.25">
      <c r="A886" s="10">
        <v>1509007</v>
      </c>
      <c r="B886" s="11" t="s">
        <v>940</v>
      </c>
      <c r="C886" s="12" t="s">
        <v>1421</v>
      </c>
      <c r="D886" s="11"/>
      <c r="E886" s="10" t="s">
        <v>1422</v>
      </c>
      <c r="F886" s="10" t="s">
        <v>557</v>
      </c>
      <c r="G886" s="55">
        <f>U886+V886</f>
        <v>0.02</v>
      </c>
      <c r="H886" s="10"/>
      <c r="I886" s="13">
        <v>8000</v>
      </c>
      <c r="J886" s="56"/>
      <c r="K886" s="57"/>
      <c r="M886" s="10"/>
      <c r="N886" s="10"/>
      <c r="O886" s="29"/>
      <c r="P886" s="29"/>
      <c r="Q886" s="29"/>
      <c r="R886" s="29"/>
      <c r="S886" s="29"/>
      <c r="T886" s="72"/>
      <c r="U886" s="77">
        <v>0.02</v>
      </c>
      <c r="V886" s="97"/>
      <c r="W886" s="77">
        <v>0.02</v>
      </c>
      <c r="X886" s="77"/>
      <c r="Y886" s="97"/>
      <c r="Z886" s="78"/>
      <c r="AA886" s="79" t="s">
        <v>1423</v>
      </c>
      <c r="AB886" s="79" t="s">
        <v>35</v>
      </c>
      <c r="AC886" s="79" t="s">
        <v>37</v>
      </c>
      <c r="AD886" s="79"/>
      <c r="AE886" s="79" t="s">
        <v>1424</v>
      </c>
      <c r="AF886" s="79" t="s">
        <v>1425</v>
      </c>
      <c r="AG886" s="118" t="s">
        <v>1426</v>
      </c>
      <c r="AH886" s="79"/>
      <c r="AI886" s="53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</row>
    <row r="887" spans="1:110" ht="13.8" x14ac:dyDescent="0.25">
      <c r="A887" s="10">
        <v>1509008</v>
      </c>
      <c r="B887" s="11" t="s">
        <v>934</v>
      </c>
      <c r="C887" s="12" t="s">
        <v>1427</v>
      </c>
      <c r="D887" s="26" t="s">
        <v>971</v>
      </c>
      <c r="E887" s="10" t="s">
        <v>972</v>
      </c>
      <c r="F887" s="10" t="s">
        <v>557</v>
      </c>
      <c r="G887" s="55">
        <f t="shared" ref="G887:G934" si="21">IF(U887="Obsolete",U887,U887+V887)</f>
        <v>0.31225000000000003</v>
      </c>
      <c r="H887" s="10">
        <v>4</v>
      </c>
      <c r="I887" s="13">
        <v>4000</v>
      </c>
      <c r="J887" s="56"/>
      <c r="K887" s="57"/>
      <c r="M887" s="14"/>
      <c r="N887" s="14"/>
      <c r="O887" s="14"/>
      <c r="P887" s="14"/>
      <c r="Q887" s="14"/>
      <c r="R887" s="14"/>
      <c r="S887" s="14"/>
      <c r="T887" s="70"/>
      <c r="U887" s="76">
        <v>0.27560000000000001</v>
      </c>
      <c r="V887" s="76">
        <v>3.6650000000000002E-2</v>
      </c>
      <c r="W887" s="76">
        <v>0.27560000000000001</v>
      </c>
      <c r="X887" s="76">
        <v>3.6650000000000002E-2</v>
      </c>
      <c r="Y887" s="77" t="s">
        <v>35</v>
      </c>
      <c r="Z887" s="98">
        <v>4000</v>
      </c>
      <c r="AA887" s="79" t="s">
        <v>36</v>
      </c>
      <c r="AB887" s="79" t="s">
        <v>35</v>
      </c>
      <c r="AC887" s="79" t="s">
        <v>37</v>
      </c>
      <c r="AD887" s="79" t="s">
        <v>38</v>
      </c>
      <c r="AE887" s="79" t="s">
        <v>973</v>
      </c>
      <c r="AF887" s="79" t="s">
        <v>974</v>
      </c>
      <c r="AG887" s="79" t="s">
        <v>975</v>
      </c>
      <c r="AH887" s="79"/>
      <c r="AI887" s="53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</row>
    <row r="888" spans="1:110" ht="30.6" x14ac:dyDescent="0.25">
      <c r="A888" s="24">
        <v>1509009</v>
      </c>
      <c r="B888" s="26" t="s">
        <v>934</v>
      </c>
      <c r="C888" s="25" t="s">
        <v>1428</v>
      </c>
      <c r="D888" s="26"/>
      <c r="E888" s="10" t="s">
        <v>1429</v>
      </c>
      <c r="F888" s="10" t="s">
        <v>557</v>
      </c>
      <c r="G888" s="55" t="str">
        <f t="shared" si="21"/>
        <v>Obsolete</v>
      </c>
      <c r="H888" s="10"/>
      <c r="I888" s="13"/>
      <c r="J888" s="56"/>
      <c r="K888" s="57"/>
      <c r="M888" s="10"/>
      <c r="N888" s="10"/>
      <c r="O888" s="29"/>
      <c r="P888" s="29"/>
      <c r="Q888" s="29"/>
      <c r="R888" s="29"/>
      <c r="S888" s="29"/>
      <c r="T888" s="72"/>
      <c r="U888" s="97" t="s">
        <v>54</v>
      </c>
      <c r="V888" s="97"/>
      <c r="W888" s="97" t="s">
        <v>54</v>
      </c>
      <c r="X888" s="97"/>
      <c r="Y888" s="97"/>
      <c r="Z888" s="87"/>
      <c r="AA888" s="79"/>
      <c r="AB888" s="79" t="s">
        <v>37</v>
      </c>
      <c r="AC888" s="79" t="s">
        <v>37</v>
      </c>
      <c r="AD888" s="79"/>
      <c r="AE888" s="79"/>
      <c r="AF888" s="79"/>
      <c r="AG888" s="79"/>
      <c r="AH888" s="79"/>
      <c r="AI888" s="53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</row>
    <row r="889" spans="1:110" ht="13.8" x14ac:dyDescent="0.25">
      <c r="A889" s="24">
        <v>1509010</v>
      </c>
      <c r="B889" s="26" t="s">
        <v>934</v>
      </c>
      <c r="C889" s="25" t="s">
        <v>1430</v>
      </c>
      <c r="D889" s="26"/>
      <c r="E889" s="10" t="s">
        <v>972</v>
      </c>
      <c r="F889" s="10" t="s">
        <v>557</v>
      </c>
      <c r="G889" s="55">
        <f t="shared" si="21"/>
        <v>0.42699999999999999</v>
      </c>
      <c r="H889" s="10">
        <v>10</v>
      </c>
      <c r="I889" s="13">
        <v>9000</v>
      </c>
      <c r="J889" s="56"/>
      <c r="K889" s="57"/>
      <c r="M889" s="14"/>
      <c r="N889" s="14"/>
      <c r="O889" s="14"/>
      <c r="P889" s="14"/>
      <c r="Q889" s="14"/>
      <c r="R889" s="14"/>
      <c r="S889" s="14"/>
      <c r="T889" s="70"/>
      <c r="U889" s="76">
        <v>0.38200000000000001</v>
      </c>
      <c r="V889" s="76">
        <v>4.4999999999999998E-2</v>
      </c>
      <c r="W889" s="76">
        <v>0.38200000000000001</v>
      </c>
      <c r="X889" s="76">
        <v>4.4999999999999998E-2</v>
      </c>
      <c r="Y889" s="77" t="s">
        <v>35</v>
      </c>
      <c r="Z889" s="87"/>
      <c r="AA889" s="79" t="s">
        <v>36</v>
      </c>
      <c r="AB889" s="79" t="s">
        <v>35</v>
      </c>
      <c r="AC889" s="79" t="s">
        <v>37</v>
      </c>
      <c r="AD889" s="79" t="s">
        <v>38</v>
      </c>
      <c r="AE889" s="79" t="s">
        <v>1431</v>
      </c>
      <c r="AF889" s="79" t="s">
        <v>1432</v>
      </c>
      <c r="AG889" s="79" t="s">
        <v>1433</v>
      </c>
      <c r="AH889" s="79"/>
      <c r="AI889" s="53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</row>
    <row r="890" spans="1:110" ht="13.8" x14ac:dyDescent="0.25">
      <c r="A890" s="24">
        <v>1509011</v>
      </c>
      <c r="B890" s="26" t="s">
        <v>934</v>
      </c>
      <c r="C890" s="25" t="s">
        <v>1434</v>
      </c>
      <c r="D890" s="26"/>
      <c r="E890" s="10" t="s">
        <v>1435</v>
      </c>
      <c r="F890" s="10" t="s">
        <v>557</v>
      </c>
      <c r="G890" s="55">
        <f t="shared" si="21"/>
        <v>1.2476500000000001</v>
      </c>
      <c r="H890" s="10">
        <v>10</v>
      </c>
      <c r="I890" s="13">
        <v>3000</v>
      </c>
      <c r="J890" s="56"/>
      <c r="K890" s="57"/>
      <c r="M890" s="14">
        <v>1.2110000000000001</v>
      </c>
      <c r="N890" s="14"/>
      <c r="O890" s="14"/>
      <c r="P890" s="14"/>
      <c r="Q890" s="14"/>
      <c r="R890" s="14"/>
      <c r="S890" s="14"/>
      <c r="T890" s="70"/>
      <c r="U890" s="76">
        <v>1.2110000000000001</v>
      </c>
      <c r="V890" s="76">
        <v>3.6650000000000002E-2</v>
      </c>
      <c r="W890" s="76">
        <v>1.2110000000000001</v>
      </c>
      <c r="X890" s="76">
        <v>3.6650000000000002E-2</v>
      </c>
      <c r="Y890" s="77" t="s">
        <v>35</v>
      </c>
      <c r="Z890" s="87"/>
      <c r="AA890" s="79" t="s">
        <v>36</v>
      </c>
      <c r="AB890" s="79" t="s">
        <v>35</v>
      </c>
      <c r="AC890" s="79" t="s">
        <v>37</v>
      </c>
      <c r="AD890" s="79" t="s">
        <v>38</v>
      </c>
      <c r="AE890" s="79" t="s">
        <v>1431</v>
      </c>
      <c r="AF890" s="79" t="s">
        <v>1432</v>
      </c>
      <c r="AG890" s="79" t="s">
        <v>1433</v>
      </c>
      <c r="AH890" s="79"/>
      <c r="AI890" s="53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</row>
    <row r="891" spans="1:110" ht="13.8" x14ac:dyDescent="0.25">
      <c r="A891" s="24">
        <v>1509015</v>
      </c>
      <c r="B891" s="26" t="s">
        <v>934</v>
      </c>
      <c r="C891" s="25" t="s">
        <v>1436</v>
      </c>
      <c r="D891" s="26"/>
      <c r="E891" s="10" t="s">
        <v>1437</v>
      </c>
      <c r="F891" s="10" t="s">
        <v>557</v>
      </c>
      <c r="G891" s="55" t="str">
        <f t="shared" si="21"/>
        <v>Obsolete</v>
      </c>
      <c r="H891" s="10">
        <v>3</v>
      </c>
      <c r="I891" s="13">
        <v>650</v>
      </c>
      <c r="J891" s="56"/>
      <c r="K891" s="57"/>
      <c r="M891" s="14"/>
      <c r="N891" s="14"/>
      <c r="O891" s="14"/>
      <c r="P891" s="14"/>
      <c r="Q891" s="14"/>
      <c r="R891" s="14"/>
      <c r="S891" s="14"/>
      <c r="T891" s="70"/>
      <c r="U891" s="76" t="s">
        <v>54</v>
      </c>
      <c r="V891" s="76"/>
      <c r="W891" s="76" t="s">
        <v>54</v>
      </c>
      <c r="X891" s="76"/>
      <c r="Y891" s="97"/>
      <c r="Z891" s="87"/>
      <c r="AA891" s="79" t="s">
        <v>36</v>
      </c>
      <c r="AB891" s="79" t="s">
        <v>37</v>
      </c>
      <c r="AC891" s="79" t="s">
        <v>37</v>
      </c>
      <c r="AD891" s="79" t="s">
        <v>38</v>
      </c>
      <c r="AE891" s="79"/>
      <c r="AF891" s="79"/>
      <c r="AG891" s="79"/>
      <c r="AH891" s="79"/>
      <c r="AI891" s="53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</row>
    <row r="892" spans="1:110" ht="20.399999999999999" x14ac:dyDescent="0.25">
      <c r="A892" s="24">
        <v>1509020</v>
      </c>
      <c r="B892" s="26" t="s">
        <v>934</v>
      </c>
      <c r="C892" s="25" t="s">
        <v>1438</v>
      </c>
      <c r="D892" s="26"/>
      <c r="E892" s="10" t="s">
        <v>1439</v>
      </c>
      <c r="F892" s="10" t="s">
        <v>557</v>
      </c>
      <c r="G892" s="55">
        <f t="shared" si="21"/>
        <v>0.62</v>
      </c>
      <c r="H892" s="10">
        <v>4</v>
      </c>
      <c r="I892" s="13">
        <v>560</v>
      </c>
      <c r="J892" s="56"/>
      <c r="K892" s="57"/>
      <c r="M892" s="14"/>
      <c r="N892" s="14"/>
      <c r="O892" s="14"/>
      <c r="P892" s="14"/>
      <c r="Q892" s="14"/>
      <c r="R892" s="14"/>
      <c r="S892" s="14"/>
      <c r="T892" s="70"/>
      <c r="U892" s="76">
        <v>0.62</v>
      </c>
      <c r="V892" s="76">
        <v>0</v>
      </c>
      <c r="W892" s="76">
        <v>0.62</v>
      </c>
      <c r="X892" s="76">
        <v>0</v>
      </c>
      <c r="Y892" s="77" t="s">
        <v>35</v>
      </c>
      <c r="Z892" s="87">
        <v>560</v>
      </c>
      <c r="AA892" s="79" t="s">
        <v>36</v>
      </c>
      <c r="AB892" s="79" t="s">
        <v>35</v>
      </c>
      <c r="AC892" s="79" t="s">
        <v>37</v>
      </c>
      <c r="AD892" s="79" t="s">
        <v>38</v>
      </c>
      <c r="AE892" s="79" t="s">
        <v>1440</v>
      </c>
      <c r="AF892" s="79"/>
      <c r="AG892" s="79" t="s">
        <v>1441</v>
      </c>
      <c r="AH892" s="79"/>
      <c r="AI892" s="53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</row>
    <row r="893" spans="1:110" ht="13.8" x14ac:dyDescent="0.25">
      <c r="A893" s="10">
        <v>1510001</v>
      </c>
      <c r="B893" s="10" t="s">
        <v>1211</v>
      </c>
      <c r="C893" s="16" t="s">
        <v>1442</v>
      </c>
      <c r="D893" s="10" t="s">
        <v>1211</v>
      </c>
      <c r="E893" s="10" t="s">
        <v>1267</v>
      </c>
      <c r="F893" s="10" t="s">
        <v>557</v>
      </c>
      <c r="G893" s="55">
        <f t="shared" si="21"/>
        <v>0.23</v>
      </c>
      <c r="H893" s="10">
        <v>2</v>
      </c>
      <c r="I893" s="13"/>
      <c r="J893" s="56"/>
      <c r="K893" s="57"/>
      <c r="M893" s="15"/>
      <c r="N893" s="15"/>
      <c r="O893" s="15"/>
      <c r="P893" s="15"/>
      <c r="Q893" s="15"/>
      <c r="R893" s="15"/>
      <c r="S893" s="15"/>
      <c r="T893" s="71"/>
      <c r="U893" s="104">
        <v>0.23</v>
      </c>
      <c r="V893" s="119">
        <v>0</v>
      </c>
      <c r="W893" s="104">
        <v>0.23</v>
      </c>
      <c r="X893" s="104">
        <v>0</v>
      </c>
      <c r="Y893" s="77" t="s">
        <v>37</v>
      </c>
      <c r="Z893" s="87"/>
      <c r="AA893" s="79" t="s">
        <v>36</v>
      </c>
      <c r="AB893" s="79" t="s">
        <v>35</v>
      </c>
      <c r="AC893" s="79" t="s">
        <v>37</v>
      </c>
      <c r="AD893" s="79" t="s">
        <v>38</v>
      </c>
      <c r="AE893" s="79" t="s">
        <v>1268</v>
      </c>
      <c r="AF893" s="79" t="s">
        <v>1269</v>
      </c>
      <c r="AG893" s="88" t="s">
        <v>1270</v>
      </c>
      <c r="AH893" s="79"/>
      <c r="AI893" s="53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</row>
    <row r="894" spans="1:110" ht="13.8" x14ac:dyDescent="0.25">
      <c r="A894" s="10">
        <v>1510002</v>
      </c>
      <c r="B894" s="10" t="s">
        <v>1211</v>
      </c>
      <c r="C894" s="16" t="s">
        <v>1443</v>
      </c>
      <c r="D894" s="10" t="s">
        <v>1211</v>
      </c>
      <c r="E894" s="10" t="s">
        <v>1275</v>
      </c>
      <c r="F894" s="10" t="s">
        <v>557</v>
      </c>
      <c r="G894" s="55">
        <f t="shared" si="21"/>
        <v>0.5</v>
      </c>
      <c r="H894" s="10">
        <v>1</v>
      </c>
      <c r="I894" s="13"/>
      <c r="J894" s="56"/>
      <c r="K894" s="57"/>
      <c r="M894" s="15"/>
      <c r="N894" s="15"/>
      <c r="O894" s="15"/>
      <c r="P894" s="15"/>
      <c r="Q894" s="15"/>
      <c r="R894" s="15"/>
      <c r="S894" s="15"/>
      <c r="T894" s="71"/>
      <c r="U894" s="76">
        <v>0.5</v>
      </c>
      <c r="V894" s="76">
        <v>0</v>
      </c>
      <c r="W894" s="76">
        <v>0.5</v>
      </c>
      <c r="X894" s="76">
        <v>0</v>
      </c>
      <c r="Y894" s="77" t="s">
        <v>37</v>
      </c>
      <c r="Z894" s="87"/>
      <c r="AA894" s="79" t="s">
        <v>365</v>
      </c>
      <c r="AB894" s="79" t="s">
        <v>35</v>
      </c>
      <c r="AC894" s="79" t="s">
        <v>35</v>
      </c>
      <c r="AD894" s="79" t="s">
        <v>38</v>
      </c>
      <c r="AE894" s="79" t="s">
        <v>1276</v>
      </c>
      <c r="AF894" s="79" t="s">
        <v>1277</v>
      </c>
      <c r="AG894" s="105" t="s">
        <v>1278</v>
      </c>
      <c r="AH894" s="79"/>
      <c r="AI894" s="53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</row>
    <row r="895" spans="1:110" ht="13.8" x14ac:dyDescent="0.25">
      <c r="A895" s="10">
        <v>1510003</v>
      </c>
      <c r="B895" s="10" t="s">
        <v>1211</v>
      </c>
      <c r="C895" s="16" t="s">
        <v>1444</v>
      </c>
      <c r="D895" s="10" t="s">
        <v>1211</v>
      </c>
      <c r="E895" s="10" t="s">
        <v>1275</v>
      </c>
      <c r="F895" s="10" t="s">
        <v>557</v>
      </c>
      <c r="G895" s="55">
        <f t="shared" si="21"/>
        <v>0.13</v>
      </c>
      <c r="H895" s="10">
        <v>1</v>
      </c>
      <c r="I895" s="13"/>
      <c r="J895" s="56"/>
      <c r="K895" s="57"/>
      <c r="M895" s="15"/>
      <c r="N895" s="15"/>
      <c r="O895" s="15"/>
      <c r="P895" s="15"/>
      <c r="Q895" s="15"/>
      <c r="R895" s="15"/>
      <c r="S895" s="15"/>
      <c r="T895" s="71"/>
      <c r="U895" s="76">
        <v>0.13</v>
      </c>
      <c r="V895" s="76">
        <v>0</v>
      </c>
      <c r="W895" s="76">
        <v>0.13</v>
      </c>
      <c r="X895" s="76">
        <v>0</v>
      </c>
      <c r="Y895" s="77" t="s">
        <v>37</v>
      </c>
      <c r="Z895" s="87"/>
      <c r="AA895" s="79" t="s">
        <v>36</v>
      </c>
      <c r="AB895" s="79" t="s">
        <v>35</v>
      </c>
      <c r="AC895" s="79" t="s">
        <v>37</v>
      </c>
      <c r="AD895" s="79" t="s">
        <v>38</v>
      </c>
      <c r="AE895" s="79" t="s">
        <v>1276</v>
      </c>
      <c r="AF895" s="79" t="s">
        <v>1277</v>
      </c>
      <c r="AG895" s="105" t="s">
        <v>1278</v>
      </c>
      <c r="AH895" s="79"/>
      <c r="AI895" s="53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</row>
    <row r="896" spans="1:110" ht="13.8" x14ac:dyDescent="0.25">
      <c r="A896" s="10">
        <v>1601001</v>
      </c>
      <c r="B896" s="11" t="s">
        <v>1445</v>
      </c>
      <c r="C896" s="12" t="s">
        <v>1446</v>
      </c>
      <c r="D896" s="10"/>
      <c r="E896" s="10" t="s">
        <v>1447</v>
      </c>
      <c r="F896" s="10" t="s">
        <v>34</v>
      </c>
      <c r="G896" s="55">
        <f t="shared" si="21"/>
        <v>3.4</v>
      </c>
      <c r="H896" s="10">
        <v>2</v>
      </c>
      <c r="I896" s="13">
        <v>55</v>
      </c>
      <c r="J896" s="56"/>
      <c r="K896" s="57"/>
      <c r="M896" s="14">
        <v>2.8</v>
      </c>
      <c r="N896" s="14"/>
      <c r="O896" s="14"/>
      <c r="P896" s="14"/>
      <c r="Q896" s="14"/>
      <c r="R896" s="14"/>
      <c r="S896" s="14"/>
      <c r="T896" s="70"/>
      <c r="U896" s="76">
        <v>2.8</v>
      </c>
      <c r="V896" s="76">
        <v>0.6</v>
      </c>
      <c r="W896" s="76">
        <v>2.8</v>
      </c>
      <c r="X896" s="76">
        <v>0.6</v>
      </c>
      <c r="Y896" s="77" t="s">
        <v>37</v>
      </c>
      <c r="Z896" s="78">
        <v>55</v>
      </c>
      <c r="AA896" s="79" t="s">
        <v>1448</v>
      </c>
      <c r="AB896" s="79" t="s">
        <v>35</v>
      </c>
      <c r="AC896" s="79" t="s">
        <v>37</v>
      </c>
      <c r="AD896" s="79" t="s">
        <v>38</v>
      </c>
      <c r="AE896" s="79" t="s">
        <v>1449</v>
      </c>
      <c r="AF896" s="79" t="s">
        <v>1450</v>
      </c>
      <c r="AG896" s="120" t="s">
        <v>1451</v>
      </c>
      <c r="AH896" s="79"/>
      <c r="AI896" s="53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</row>
    <row r="897" spans="1:110" ht="13.8" x14ac:dyDescent="0.25">
      <c r="A897" s="24">
        <v>1601001</v>
      </c>
      <c r="B897" s="26" t="s">
        <v>956</v>
      </c>
      <c r="C897" s="25" t="s">
        <v>1452</v>
      </c>
      <c r="D897" s="26"/>
      <c r="E897" s="17" t="s">
        <v>57</v>
      </c>
      <c r="F897" s="10" t="s">
        <v>557</v>
      </c>
      <c r="G897" s="55" t="str">
        <f t="shared" si="21"/>
        <v>Obsolete</v>
      </c>
      <c r="H897" s="10"/>
      <c r="I897" s="13"/>
      <c r="J897" s="56"/>
      <c r="K897" s="57"/>
      <c r="M897" s="10"/>
      <c r="N897" s="10"/>
      <c r="O897" s="29"/>
      <c r="P897" s="29"/>
      <c r="Q897" s="29"/>
      <c r="R897" s="29"/>
      <c r="S897" s="29"/>
      <c r="T897" s="72"/>
      <c r="U897" s="97" t="s">
        <v>54</v>
      </c>
      <c r="V897" s="97"/>
      <c r="W897" s="97" t="s">
        <v>54</v>
      </c>
      <c r="X897" s="97"/>
      <c r="Y897" s="97"/>
      <c r="Z897" s="87"/>
      <c r="AA897" s="79"/>
      <c r="AB897" s="79" t="s">
        <v>37</v>
      </c>
      <c r="AC897" s="79" t="s">
        <v>37</v>
      </c>
      <c r="AD897" s="79"/>
      <c r="AE897" s="79"/>
      <c r="AF897" s="79"/>
      <c r="AG897" s="79"/>
      <c r="AH897" s="79"/>
      <c r="AI897" s="53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</row>
    <row r="898" spans="1:110" ht="13.8" x14ac:dyDescent="0.25">
      <c r="A898" s="10">
        <v>1601002</v>
      </c>
      <c r="B898" s="11" t="s">
        <v>1445</v>
      </c>
      <c r="C898" s="12" t="s">
        <v>1453</v>
      </c>
      <c r="D898" s="10"/>
      <c r="E898" s="10" t="s">
        <v>1447</v>
      </c>
      <c r="F898" s="10" t="s">
        <v>34</v>
      </c>
      <c r="G898" s="55" t="str">
        <f t="shared" si="21"/>
        <v>Obsolete</v>
      </c>
      <c r="H898" s="10">
        <v>2</v>
      </c>
      <c r="I898" s="13">
        <v>55</v>
      </c>
      <c r="J898" s="56"/>
      <c r="K898" s="57"/>
      <c r="M898" s="14"/>
      <c r="N898" s="14"/>
      <c r="O898" s="14"/>
      <c r="P898" s="14"/>
      <c r="Q898" s="14"/>
      <c r="R898" s="14"/>
      <c r="S898" s="14"/>
      <c r="T898" s="70"/>
      <c r="U898" s="76" t="s">
        <v>54</v>
      </c>
      <c r="V898" s="76">
        <v>0</v>
      </c>
      <c r="W898" s="76" t="s">
        <v>54</v>
      </c>
      <c r="X898" s="76">
        <v>0</v>
      </c>
      <c r="Y898" s="77" t="s">
        <v>37</v>
      </c>
      <c r="Z898" s="78">
        <v>55</v>
      </c>
      <c r="AA898" s="79" t="s">
        <v>1448</v>
      </c>
      <c r="AB898" s="79" t="s">
        <v>37</v>
      </c>
      <c r="AC898" s="79" t="s">
        <v>37</v>
      </c>
      <c r="AD898" s="79" t="s">
        <v>38</v>
      </c>
      <c r="AE898" s="79" t="s">
        <v>1449</v>
      </c>
      <c r="AF898" s="79" t="s">
        <v>1450</v>
      </c>
      <c r="AG898" s="120" t="s">
        <v>1451</v>
      </c>
      <c r="AH898" s="79"/>
      <c r="AI898" s="53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</row>
    <row r="899" spans="1:110" ht="13.8" x14ac:dyDescent="0.25">
      <c r="A899" s="24">
        <v>1601003</v>
      </c>
      <c r="B899" s="11" t="s">
        <v>1445</v>
      </c>
      <c r="C899" s="12" t="s">
        <v>1454</v>
      </c>
      <c r="D899" s="10"/>
      <c r="E899" s="10" t="s">
        <v>1455</v>
      </c>
      <c r="F899" s="10" t="s">
        <v>34</v>
      </c>
      <c r="G899" s="55">
        <f t="shared" si="21"/>
        <v>4.05</v>
      </c>
      <c r="H899" s="10">
        <v>2</v>
      </c>
      <c r="I899" s="13">
        <v>50</v>
      </c>
      <c r="J899" s="56"/>
      <c r="K899" s="57"/>
      <c r="M899" s="14">
        <v>3.7</v>
      </c>
      <c r="N899" s="14"/>
      <c r="O899" s="14">
        <v>3.13</v>
      </c>
      <c r="P899" s="14"/>
      <c r="Q899" s="14"/>
      <c r="R899" s="14"/>
      <c r="S899" s="14"/>
      <c r="T899" s="70"/>
      <c r="U899" s="76">
        <v>3.7</v>
      </c>
      <c r="V899" s="76">
        <v>0.35</v>
      </c>
      <c r="W899" s="76">
        <v>3.7</v>
      </c>
      <c r="X899" s="76">
        <v>0.35</v>
      </c>
      <c r="Y899" s="77"/>
      <c r="Z899" s="78"/>
      <c r="AA899" s="79"/>
      <c r="AB899" s="79"/>
      <c r="AC899" s="79"/>
      <c r="AD899" s="79"/>
      <c r="AE899" s="79"/>
      <c r="AF899" s="79"/>
      <c r="AG899" s="83"/>
      <c r="AH899" s="79"/>
      <c r="AI899" s="53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</row>
    <row r="900" spans="1:110" ht="13.8" x14ac:dyDescent="0.25">
      <c r="A900" s="24">
        <v>1701001</v>
      </c>
      <c r="B900" s="26" t="s">
        <v>956</v>
      </c>
      <c r="C900" s="38" t="s">
        <v>1456</v>
      </c>
      <c r="D900" s="26"/>
      <c r="E900" s="10" t="s">
        <v>1457</v>
      </c>
      <c r="F900" s="10" t="s">
        <v>557</v>
      </c>
      <c r="G900" s="55" t="str">
        <f t="shared" si="21"/>
        <v>Obsolete</v>
      </c>
      <c r="H900" s="10"/>
      <c r="I900" s="13"/>
      <c r="J900" s="56"/>
      <c r="K900" s="57"/>
      <c r="M900" s="10"/>
      <c r="N900" s="10"/>
      <c r="O900" s="29"/>
      <c r="P900" s="29"/>
      <c r="Q900" s="29"/>
      <c r="R900" s="29"/>
      <c r="S900" s="29"/>
      <c r="T900" s="72"/>
      <c r="U900" s="97" t="s">
        <v>54</v>
      </c>
      <c r="V900" s="97"/>
      <c r="W900" s="97" t="s">
        <v>54</v>
      </c>
      <c r="X900" s="97"/>
      <c r="Y900" s="97"/>
      <c r="Z900" s="87"/>
      <c r="AA900" s="79" t="s">
        <v>1457</v>
      </c>
      <c r="AB900" s="79" t="s">
        <v>37</v>
      </c>
      <c r="AC900" s="79" t="s">
        <v>37</v>
      </c>
      <c r="AD900" s="79"/>
      <c r="AE900" s="79"/>
      <c r="AF900" s="79"/>
      <c r="AG900" s="79"/>
      <c r="AH900" s="79"/>
      <c r="AI900" s="53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</row>
    <row r="901" spans="1:110" ht="13.8" x14ac:dyDescent="0.25">
      <c r="A901" s="24">
        <v>1701002</v>
      </c>
      <c r="B901" s="26" t="s">
        <v>956</v>
      </c>
      <c r="C901" s="38" t="s">
        <v>1458</v>
      </c>
      <c r="D901" s="26"/>
      <c r="E901" s="10" t="s">
        <v>1457</v>
      </c>
      <c r="F901" s="10" t="s">
        <v>557</v>
      </c>
      <c r="G901" s="55" t="str">
        <f t="shared" si="21"/>
        <v>Obsolete</v>
      </c>
      <c r="H901" s="10"/>
      <c r="I901" s="13"/>
      <c r="J901" s="56"/>
      <c r="K901" s="57"/>
      <c r="M901" s="10"/>
      <c r="N901" s="10"/>
      <c r="O901" s="29"/>
      <c r="P901" s="29"/>
      <c r="Q901" s="29"/>
      <c r="R901" s="29"/>
      <c r="S901" s="29"/>
      <c r="T901" s="72"/>
      <c r="U901" s="97" t="s">
        <v>54</v>
      </c>
      <c r="V901" s="97"/>
      <c r="W901" s="97" t="s">
        <v>54</v>
      </c>
      <c r="X901" s="97"/>
      <c r="Y901" s="97"/>
      <c r="Z901" s="87"/>
      <c r="AA901" s="79" t="s">
        <v>1457</v>
      </c>
      <c r="AB901" s="79" t="s">
        <v>37</v>
      </c>
      <c r="AC901" s="79" t="s">
        <v>37</v>
      </c>
      <c r="AD901" s="79"/>
      <c r="AE901" s="79"/>
      <c r="AF901" s="79"/>
      <c r="AG901" s="79"/>
      <c r="AH901" s="79"/>
      <c r="AI901" s="53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</row>
    <row r="902" spans="1:110" ht="13.8" x14ac:dyDescent="0.25">
      <c r="A902" s="24">
        <v>1701003</v>
      </c>
      <c r="B902" s="26" t="s">
        <v>956</v>
      </c>
      <c r="C902" s="38" t="s">
        <v>1459</v>
      </c>
      <c r="D902" s="26"/>
      <c r="E902" s="10" t="s">
        <v>1457</v>
      </c>
      <c r="F902" s="10" t="s">
        <v>557</v>
      </c>
      <c r="G902" s="55" t="str">
        <f t="shared" si="21"/>
        <v>Obsolete</v>
      </c>
      <c r="H902" s="10"/>
      <c r="I902" s="13"/>
      <c r="J902" s="56"/>
      <c r="K902" s="57"/>
      <c r="M902" s="10"/>
      <c r="N902" s="10"/>
      <c r="O902" s="29"/>
      <c r="P902" s="29"/>
      <c r="Q902" s="29"/>
      <c r="R902" s="29"/>
      <c r="S902" s="29"/>
      <c r="T902" s="72"/>
      <c r="U902" s="97" t="s">
        <v>54</v>
      </c>
      <c r="V902" s="97"/>
      <c r="W902" s="97" t="s">
        <v>54</v>
      </c>
      <c r="X902" s="97"/>
      <c r="Y902" s="97"/>
      <c r="Z902" s="87"/>
      <c r="AA902" s="79" t="s">
        <v>1457</v>
      </c>
      <c r="AB902" s="79" t="s">
        <v>37</v>
      </c>
      <c r="AC902" s="79" t="s">
        <v>37</v>
      </c>
      <c r="AD902" s="79"/>
      <c r="AE902" s="79"/>
      <c r="AF902" s="79"/>
      <c r="AG902" s="79"/>
      <c r="AH902" s="79"/>
      <c r="AI902" s="53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</row>
    <row r="903" spans="1:110" ht="13.8" x14ac:dyDescent="0.25">
      <c r="A903" s="24">
        <v>1701004</v>
      </c>
      <c r="B903" s="26" t="s">
        <v>956</v>
      </c>
      <c r="C903" s="38" t="s">
        <v>1460</v>
      </c>
      <c r="D903" s="26"/>
      <c r="E903" s="10" t="s">
        <v>1457</v>
      </c>
      <c r="F903" s="10" t="s">
        <v>557</v>
      </c>
      <c r="G903" s="55" t="str">
        <f t="shared" si="21"/>
        <v>Obsolete</v>
      </c>
      <c r="H903" s="10"/>
      <c r="I903" s="13"/>
      <c r="J903" s="56"/>
      <c r="K903" s="57"/>
      <c r="M903" s="10"/>
      <c r="N903" s="10"/>
      <c r="O903" s="29"/>
      <c r="P903" s="29"/>
      <c r="Q903" s="29"/>
      <c r="R903" s="29"/>
      <c r="S903" s="29"/>
      <c r="T903" s="72"/>
      <c r="U903" s="97" t="s">
        <v>54</v>
      </c>
      <c r="V903" s="97"/>
      <c r="W903" s="97" t="s">
        <v>54</v>
      </c>
      <c r="X903" s="97"/>
      <c r="Y903" s="97"/>
      <c r="Z903" s="87"/>
      <c r="AA903" s="79" t="s">
        <v>1457</v>
      </c>
      <c r="AB903" s="79" t="s">
        <v>37</v>
      </c>
      <c r="AC903" s="79" t="s">
        <v>37</v>
      </c>
      <c r="AD903" s="79"/>
      <c r="AE903" s="79"/>
      <c r="AF903" s="79"/>
      <c r="AG903" s="79"/>
      <c r="AH903" s="79"/>
      <c r="AI903" s="53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</row>
    <row r="904" spans="1:110" ht="13.8" x14ac:dyDescent="0.25">
      <c r="A904" s="24">
        <v>1701005</v>
      </c>
      <c r="B904" s="26" t="s">
        <v>956</v>
      </c>
      <c r="C904" s="46" t="s">
        <v>1461</v>
      </c>
      <c r="D904" s="26"/>
      <c r="E904" s="10" t="s">
        <v>1457</v>
      </c>
      <c r="F904" s="10" t="s">
        <v>557</v>
      </c>
      <c r="G904" s="55" t="str">
        <f t="shared" si="21"/>
        <v>Obsolete</v>
      </c>
      <c r="H904" s="10"/>
      <c r="I904" s="13"/>
      <c r="J904" s="56"/>
      <c r="K904" s="57"/>
      <c r="M904" s="10"/>
      <c r="N904" s="10"/>
      <c r="O904" s="29"/>
      <c r="P904" s="29"/>
      <c r="Q904" s="29"/>
      <c r="R904" s="29"/>
      <c r="S904" s="29"/>
      <c r="T904" s="72"/>
      <c r="U904" s="97" t="s">
        <v>54</v>
      </c>
      <c r="V904" s="97"/>
      <c r="W904" s="97" t="s">
        <v>54</v>
      </c>
      <c r="X904" s="97"/>
      <c r="Y904" s="97"/>
      <c r="Z904" s="87"/>
      <c r="AA904" s="79" t="s">
        <v>1457</v>
      </c>
      <c r="AB904" s="79" t="s">
        <v>37</v>
      </c>
      <c r="AC904" s="79" t="s">
        <v>37</v>
      </c>
      <c r="AD904" s="79"/>
      <c r="AE904" s="79"/>
      <c r="AF904" s="79"/>
      <c r="AG904" s="79"/>
      <c r="AH904" s="79"/>
      <c r="AI904" s="53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</row>
    <row r="905" spans="1:110" ht="13.8" x14ac:dyDescent="0.25">
      <c r="A905" s="24">
        <v>1701006</v>
      </c>
      <c r="B905" s="26" t="s">
        <v>956</v>
      </c>
      <c r="C905" s="46" t="s">
        <v>1462</v>
      </c>
      <c r="D905" s="26"/>
      <c r="E905" s="10" t="s">
        <v>1457</v>
      </c>
      <c r="F905" s="10" t="s">
        <v>557</v>
      </c>
      <c r="G905" s="55" t="str">
        <f t="shared" si="21"/>
        <v>Obsolete</v>
      </c>
      <c r="H905" s="10"/>
      <c r="I905" s="13"/>
      <c r="J905" s="56"/>
      <c r="K905" s="57"/>
      <c r="M905" s="10"/>
      <c r="N905" s="10"/>
      <c r="O905" s="29"/>
      <c r="P905" s="29"/>
      <c r="Q905" s="29"/>
      <c r="R905" s="29"/>
      <c r="S905" s="29"/>
      <c r="T905" s="72"/>
      <c r="U905" s="97" t="s">
        <v>54</v>
      </c>
      <c r="V905" s="97"/>
      <c r="W905" s="97" t="s">
        <v>54</v>
      </c>
      <c r="X905" s="97"/>
      <c r="Y905" s="97"/>
      <c r="Z905" s="87"/>
      <c r="AA905" s="79" t="s">
        <v>1457</v>
      </c>
      <c r="AB905" s="79" t="s">
        <v>37</v>
      </c>
      <c r="AC905" s="79" t="s">
        <v>37</v>
      </c>
      <c r="AD905" s="79"/>
      <c r="AE905" s="79"/>
      <c r="AF905" s="79"/>
      <c r="AG905" s="79"/>
      <c r="AH905" s="79"/>
      <c r="AI905" s="53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</row>
    <row r="906" spans="1:110" ht="13.8" x14ac:dyDescent="0.25">
      <c r="A906" s="24">
        <v>1701007</v>
      </c>
      <c r="B906" s="26" t="s">
        <v>956</v>
      </c>
      <c r="C906" s="46" t="s">
        <v>1463</v>
      </c>
      <c r="D906" s="26"/>
      <c r="E906" s="10" t="s">
        <v>1457</v>
      </c>
      <c r="F906" s="10" t="s">
        <v>557</v>
      </c>
      <c r="G906" s="55" t="str">
        <f t="shared" si="21"/>
        <v>Obsolete</v>
      </c>
      <c r="H906" s="10"/>
      <c r="I906" s="13"/>
      <c r="J906" s="56"/>
      <c r="K906" s="57"/>
      <c r="M906" s="10"/>
      <c r="N906" s="10"/>
      <c r="O906" s="29"/>
      <c r="P906" s="29"/>
      <c r="Q906" s="29"/>
      <c r="R906" s="29"/>
      <c r="S906" s="29"/>
      <c r="T906" s="72"/>
      <c r="U906" s="97" t="s">
        <v>54</v>
      </c>
      <c r="V906" s="97"/>
      <c r="W906" s="97" t="s">
        <v>54</v>
      </c>
      <c r="X906" s="97"/>
      <c r="Y906" s="97"/>
      <c r="Z906" s="87"/>
      <c r="AA906" s="79" t="s">
        <v>1457</v>
      </c>
      <c r="AB906" s="79" t="s">
        <v>37</v>
      </c>
      <c r="AC906" s="79" t="s">
        <v>37</v>
      </c>
      <c r="AD906" s="79"/>
      <c r="AE906" s="79"/>
      <c r="AF906" s="79"/>
      <c r="AG906" s="79"/>
      <c r="AH906" s="79"/>
      <c r="AI906" s="53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</row>
    <row r="907" spans="1:110" ht="13.8" x14ac:dyDescent="0.25">
      <c r="A907" s="24">
        <v>1701008</v>
      </c>
      <c r="B907" s="26" t="s">
        <v>956</v>
      </c>
      <c r="C907" s="46" t="s">
        <v>1464</v>
      </c>
      <c r="D907" s="26"/>
      <c r="E907" s="10" t="s">
        <v>1457</v>
      </c>
      <c r="F907" s="10" t="s">
        <v>557</v>
      </c>
      <c r="G907" s="55" t="str">
        <f t="shared" si="21"/>
        <v>Obsolete</v>
      </c>
      <c r="H907" s="10"/>
      <c r="I907" s="13"/>
      <c r="J907" s="56"/>
      <c r="K907" s="57"/>
      <c r="M907" s="10"/>
      <c r="N907" s="10"/>
      <c r="O907" s="29"/>
      <c r="P907" s="29"/>
      <c r="Q907" s="29"/>
      <c r="R907" s="29"/>
      <c r="S907" s="29"/>
      <c r="T907" s="72"/>
      <c r="U907" s="97" t="s">
        <v>54</v>
      </c>
      <c r="V907" s="97"/>
      <c r="W907" s="97" t="s">
        <v>54</v>
      </c>
      <c r="X907" s="97"/>
      <c r="Y907" s="97"/>
      <c r="Z907" s="87"/>
      <c r="AA907" s="79" t="s">
        <v>1457</v>
      </c>
      <c r="AB907" s="79" t="s">
        <v>37</v>
      </c>
      <c r="AC907" s="79" t="s">
        <v>37</v>
      </c>
      <c r="AD907" s="79"/>
      <c r="AE907" s="79"/>
      <c r="AF907" s="79"/>
      <c r="AG907" s="79"/>
      <c r="AH907" s="79"/>
      <c r="AI907" s="53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</row>
    <row r="908" spans="1:110" ht="13.8" x14ac:dyDescent="0.25">
      <c r="A908" s="24">
        <v>1702001</v>
      </c>
      <c r="B908" s="26" t="s">
        <v>956</v>
      </c>
      <c r="C908" s="16" t="s">
        <v>1465</v>
      </c>
      <c r="D908" s="26"/>
      <c r="E908" s="10" t="s">
        <v>1457</v>
      </c>
      <c r="F908" s="10" t="s">
        <v>557</v>
      </c>
      <c r="G908" s="55" t="str">
        <f t="shared" si="21"/>
        <v>Obsolete</v>
      </c>
      <c r="H908" s="10"/>
      <c r="I908" s="13"/>
      <c r="J908" s="56"/>
      <c r="K908" s="57"/>
      <c r="M908" s="10"/>
      <c r="N908" s="10"/>
      <c r="O908" s="29"/>
      <c r="P908" s="29"/>
      <c r="Q908" s="29"/>
      <c r="R908" s="29"/>
      <c r="S908" s="29"/>
      <c r="T908" s="72"/>
      <c r="U908" s="97" t="s">
        <v>54</v>
      </c>
      <c r="V908" s="97"/>
      <c r="W908" s="97" t="s">
        <v>54</v>
      </c>
      <c r="X908" s="97"/>
      <c r="Y908" s="97"/>
      <c r="Z908" s="87"/>
      <c r="AA908" s="79" t="s">
        <v>1457</v>
      </c>
      <c r="AB908" s="79" t="s">
        <v>37</v>
      </c>
      <c r="AC908" s="79" t="s">
        <v>37</v>
      </c>
      <c r="AD908" s="79"/>
      <c r="AE908" s="79"/>
      <c r="AF908" s="79"/>
      <c r="AG908" s="79"/>
      <c r="AH908" s="79"/>
      <c r="AI908" s="53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</row>
    <row r="909" spans="1:110" ht="13.8" x14ac:dyDescent="0.25">
      <c r="A909" s="24">
        <v>1702002</v>
      </c>
      <c r="B909" s="26" t="s">
        <v>956</v>
      </c>
      <c r="C909" s="16" t="s">
        <v>1466</v>
      </c>
      <c r="D909" s="26"/>
      <c r="E909" s="10" t="s">
        <v>1457</v>
      </c>
      <c r="F909" s="10" t="s">
        <v>557</v>
      </c>
      <c r="G909" s="55" t="str">
        <f t="shared" si="21"/>
        <v>Obsolete</v>
      </c>
      <c r="H909" s="10"/>
      <c r="I909" s="13"/>
      <c r="J909" s="56"/>
      <c r="K909" s="57"/>
      <c r="M909" s="10"/>
      <c r="N909" s="10"/>
      <c r="O909" s="29"/>
      <c r="P909" s="29"/>
      <c r="Q909" s="29"/>
      <c r="R909" s="29"/>
      <c r="S909" s="29"/>
      <c r="T909" s="72"/>
      <c r="U909" s="97" t="s">
        <v>54</v>
      </c>
      <c r="V909" s="97"/>
      <c r="W909" s="97" t="s">
        <v>54</v>
      </c>
      <c r="X909" s="97"/>
      <c r="Y909" s="97"/>
      <c r="Z909" s="87"/>
      <c r="AA909" s="79" t="s">
        <v>1457</v>
      </c>
      <c r="AB909" s="79" t="s">
        <v>37</v>
      </c>
      <c r="AC909" s="79" t="s">
        <v>37</v>
      </c>
      <c r="AD909" s="79"/>
      <c r="AE909" s="79"/>
      <c r="AF909" s="79"/>
      <c r="AG909" s="79"/>
      <c r="AH909" s="79"/>
      <c r="AI909" s="53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</row>
    <row r="910" spans="1:110" ht="13.8" x14ac:dyDescent="0.25">
      <c r="A910" s="24">
        <v>1702003</v>
      </c>
      <c r="B910" s="26" t="s">
        <v>956</v>
      </c>
      <c r="C910" s="16" t="s">
        <v>1467</v>
      </c>
      <c r="D910" s="26"/>
      <c r="E910" s="10" t="s">
        <v>1457</v>
      </c>
      <c r="F910" s="10" t="s">
        <v>557</v>
      </c>
      <c r="G910" s="55" t="str">
        <f t="shared" si="21"/>
        <v>Obsolete</v>
      </c>
      <c r="H910" s="10"/>
      <c r="I910" s="13"/>
      <c r="J910" s="56"/>
      <c r="K910" s="57"/>
      <c r="M910" s="10"/>
      <c r="N910" s="10"/>
      <c r="O910" s="29"/>
      <c r="P910" s="29"/>
      <c r="Q910" s="29"/>
      <c r="R910" s="29"/>
      <c r="S910" s="29"/>
      <c r="T910" s="72"/>
      <c r="U910" s="97" t="s">
        <v>54</v>
      </c>
      <c r="V910" s="97"/>
      <c r="W910" s="97" t="s">
        <v>54</v>
      </c>
      <c r="X910" s="97"/>
      <c r="Y910" s="97"/>
      <c r="Z910" s="87"/>
      <c r="AA910" s="79" t="s">
        <v>1457</v>
      </c>
      <c r="AB910" s="79" t="s">
        <v>37</v>
      </c>
      <c r="AC910" s="79" t="s">
        <v>37</v>
      </c>
      <c r="AD910" s="79"/>
      <c r="AE910" s="79"/>
      <c r="AF910" s="79"/>
      <c r="AG910" s="79"/>
      <c r="AH910" s="79"/>
      <c r="AI910" s="53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</row>
    <row r="911" spans="1:110" ht="13.8" x14ac:dyDescent="0.25">
      <c r="A911" s="24">
        <v>1702004</v>
      </c>
      <c r="B911" s="26" t="s">
        <v>956</v>
      </c>
      <c r="C911" s="16" t="s">
        <v>1468</v>
      </c>
      <c r="D911" s="26"/>
      <c r="E911" s="10" t="s">
        <v>1457</v>
      </c>
      <c r="F911" s="10" t="s">
        <v>557</v>
      </c>
      <c r="G911" s="55" t="str">
        <f t="shared" si="21"/>
        <v>Obsolete</v>
      </c>
      <c r="H911" s="10"/>
      <c r="I911" s="13"/>
      <c r="J911" s="56"/>
      <c r="K911" s="57"/>
      <c r="M911" s="10"/>
      <c r="N911" s="10"/>
      <c r="O911" s="29"/>
      <c r="P911" s="29"/>
      <c r="Q911" s="29"/>
      <c r="R911" s="29"/>
      <c r="S911" s="29"/>
      <c r="T911" s="72"/>
      <c r="U911" s="97" t="s">
        <v>54</v>
      </c>
      <c r="V911" s="97"/>
      <c r="W911" s="97" t="s">
        <v>54</v>
      </c>
      <c r="X911" s="97"/>
      <c r="Y911" s="97"/>
      <c r="Z911" s="87"/>
      <c r="AA911" s="79" t="s">
        <v>1457</v>
      </c>
      <c r="AB911" s="79" t="s">
        <v>37</v>
      </c>
      <c r="AC911" s="79" t="s">
        <v>37</v>
      </c>
      <c r="AD911" s="79"/>
      <c r="AE911" s="79"/>
      <c r="AF911" s="79"/>
      <c r="AG911" s="79"/>
      <c r="AH911" s="79"/>
      <c r="AI911" s="53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</row>
    <row r="912" spans="1:110" ht="13.8" x14ac:dyDescent="0.25">
      <c r="A912" s="24">
        <v>1702005</v>
      </c>
      <c r="B912" s="26" t="s">
        <v>956</v>
      </c>
      <c r="C912" s="38" t="s">
        <v>1469</v>
      </c>
      <c r="D912" s="26"/>
      <c r="E912" s="10" t="s">
        <v>1457</v>
      </c>
      <c r="F912" s="10" t="s">
        <v>557</v>
      </c>
      <c r="G912" s="55" t="str">
        <f t="shared" si="21"/>
        <v>Obsolete</v>
      </c>
      <c r="H912" s="10"/>
      <c r="I912" s="13"/>
      <c r="J912" s="56"/>
      <c r="K912" s="57"/>
      <c r="M912" s="10"/>
      <c r="N912" s="10"/>
      <c r="O912" s="29"/>
      <c r="P912" s="29"/>
      <c r="Q912" s="29"/>
      <c r="R912" s="29"/>
      <c r="S912" s="29"/>
      <c r="T912" s="72"/>
      <c r="U912" s="97" t="s">
        <v>54</v>
      </c>
      <c r="V912" s="97"/>
      <c r="W912" s="97" t="s">
        <v>54</v>
      </c>
      <c r="X912" s="97"/>
      <c r="Y912" s="97"/>
      <c r="Z912" s="87"/>
      <c r="AA912" s="79" t="s">
        <v>1457</v>
      </c>
      <c r="AB912" s="79" t="s">
        <v>37</v>
      </c>
      <c r="AC912" s="79" t="s">
        <v>37</v>
      </c>
      <c r="AD912" s="79"/>
      <c r="AE912" s="79"/>
      <c r="AF912" s="79"/>
      <c r="AG912" s="79"/>
      <c r="AH912" s="79"/>
      <c r="AI912" s="53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</row>
    <row r="913" spans="1:110" ht="13.8" x14ac:dyDescent="0.25">
      <c r="A913" s="24">
        <v>1702006</v>
      </c>
      <c r="B913" s="26" t="s">
        <v>956</v>
      </c>
      <c r="C913" s="38" t="s">
        <v>1470</v>
      </c>
      <c r="D913" s="26"/>
      <c r="E913" s="10" t="s">
        <v>1457</v>
      </c>
      <c r="F913" s="10" t="s">
        <v>557</v>
      </c>
      <c r="G913" s="55" t="str">
        <f t="shared" si="21"/>
        <v>Obsolete</v>
      </c>
      <c r="H913" s="10"/>
      <c r="I913" s="13"/>
      <c r="J913" s="56"/>
      <c r="K913" s="57"/>
      <c r="M913" s="10"/>
      <c r="N913" s="10"/>
      <c r="O913" s="29"/>
      <c r="P913" s="29"/>
      <c r="Q913" s="29"/>
      <c r="R913" s="29"/>
      <c r="S913" s="29"/>
      <c r="T913" s="72"/>
      <c r="U913" s="97" t="s">
        <v>54</v>
      </c>
      <c r="V913" s="97"/>
      <c r="W913" s="97" t="s">
        <v>54</v>
      </c>
      <c r="X913" s="97"/>
      <c r="Y913" s="97"/>
      <c r="Z913" s="87"/>
      <c r="AA913" s="79" t="s">
        <v>1457</v>
      </c>
      <c r="AB913" s="79" t="s">
        <v>37</v>
      </c>
      <c r="AC913" s="79" t="s">
        <v>37</v>
      </c>
      <c r="AD913" s="79"/>
      <c r="AE913" s="79"/>
      <c r="AF913" s="79"/>
      <c r="AG913" s="79"/>
      <c r="AH913" s="79"/>
      <c r="AI913" s="53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</row>
    <row r="914" spans="1:110" ht="13.8" x14ac:dyDescent="0.25">
      <c r="A914" s="24">
        <v>1702007</v>
      </c>
      <c r="B914" s="26" t="s">
        <v>956</v>
      </c>
      <c r="C914" s="38" t="s">
        <v>1471</v>
      </c>
      <c r="D914" s="26"/>
      <c r="E914" s="10" t="s">
        <v>1457</v>
      </c>
      <c r="F914" s="10" t="s">
        <v>557</v>
      </c>
      <c r="G914" s="55" t="str">
        <f t="shared" si="21"/>
        <v>Obsolete</v>
      </c>
      <c r="H914" s="10"/>
      <c r="I914" s="13"/>
      <c r="J914" s="56"/>
      <c r="K914" s="57"/>
      <c r="M914" s="10"/>
      <c r="N914" s="10"/>
      <c r="O914" s="29"/>
      <c r="P914" s="29"/>
      <c r="Q914" s="29"/>
      <c r="R914" s="29"/>
      <c r="S914" s="29"/>
      <c r="T914" s="72"/>
      <c r="U914" s="97" t="s">
        <v>54</v>
      </c>
      <c r="V914" s="97"/>
      <c r="W914" s="97" t="s">
        <v>54</v>
      </c>
      <c r="X914" s="97"/>
      <c r="Y914" s="97"/>
      <c r="Z914" s="87"/>
      <c r="AA914" s="79" t="s">
        <v>1457</v>
      </c>
      <c r="AB914" s="79" t="s">
        <v>37</v>
      </c>
      <c r="AC914" s="79" t="s">
        <v>37</v>
      </c>
      <c r="AD914" s="79"/>
      <c r="AE914" s="79"/>
      <c r="AF914" s="79"/>
      <c r="AG914" s="79"/>
      <c r="AH914" s="79"/>
      <c r="AI914" s="53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</row>
    <row r="915" spans="1:110" ht="13.8" x14ac:dyDescent="0.25">
      <c r="A915" s="24">
        <v>1702008</v>
      </c>
      <c r="B915" s="26" t="s">
        <v>956</v>
      </c>
      <c r="C915" s="20" t="s">
        <v>1472</v>
      </c>
      <c r="D915" s="26"/>
      <c r="E915" s="10" t="s">
        <v>1457</v>
      </c>
      <c r="F915" s="10" t="s">
        <v>557</v>
      </c>
      <c r="G915" s="55" t="str">
        <f t="shared" si="21"/>
        <v>Obsolete</v>
      </c>
      <c r="H915" s="10"/>
      <c r="I915" s="13"/>
      <c r="J915" s="56"/>
      <c r="K915" s="57"/>
      <c r="M915" s="10"/>
      <c r="N915" s="10"/>
      <c r="O915" s="29"/>
      <c r="P915" s="29"/>
      <c r="Q915" s="29"/>
      <c r="R915" s="29"/>
      <c r="S915" s="29"/>
      <c r="T915" s="72"/>
      <c r="U915" s="97" t="s">
        <v>54</v>
      </c>
      <c r="V915" s="97"/>
      <c r="W915" s="97" t="s">
        <v>54</v>
      </c>
      <c r="X915" s="97"/>
      <c r="Y915" s="97"/>
      <c r="Z915" s="87"/>
      <c r="AA915" s="79" t="s">
        <v>1457</v>
      </c>
      <c r="AB915" s="79" t="s">
        <v>37</v>
      </c>
      <c r="AC915" s="79" t="s">
        <v>37</v>
      </c>
      <c r="AD915" s="79"/>
      <c r="AE915" s="79"/>
      <c r="AF915" s="79"/>
      <c r="AG915" s="79"/>
      <c r="AH915" s="79"/>
      <c r="AI915" s="53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</row>
    <row r="916" spans="1:110" ht="13.8" x14ac:dyDescent="0.25">
      <c r="A916" s="24">
        <v>1702009</v>
      </c>
      <c r="B916" s="26" t="s">
        <v>956</v>
      </c>
      <c r="C916" s="47" t="s">
        <v>1473</v>
      </c>
      <c r="D916" s="26"/>
      <c r="E916" s="10" t="s">
        <v>1457</v>
      </c>
      <c r="F916" s="10" t="s">
        <v>557</v>
      </c>
      <c r="G916" s="55" t="str">
        <f t="shared" si="21"/>
        <v>Obsolete</v>
      </c>
      <c r="H916" s="10"/>
      <c r="I916" s="13"/>
      <c r="J916" s="56"/>
      <c r="K916" s="57"/>
      <c r="M916" s="10"/>
      <c r="N916" s="10"/>
      <c r="O916" s="29"/>
      <c r="P916" s="29"/>
      <c r="Q916" s="29"/>
      <c r="R916" s="29"/>
      <c r="S916" s="29"/>
      <c r="T916" s="72"/>
      <c r="U916" s="97" t="s">
        <v>54</v>
      </c>
      <c r="V916" s="97"/>
      <c r="W916" s="97" t="s">
        <v>54</v>
      </c>
      <c r="X916" s="97"/>
      <c r="Y916" s="97"/>
      <c r="Z916" s="87"/>
      <c r="AA916" s="79" t="s">
        <v>1457</v>
      </c>
      <c r="AB916" s="79" t="s">
        <v>37</v>
      </c>
      <c r="AC916" s="79" t="s">
        <v>37</v>
      </c>
      <c r="AD916" s="79"/>
      <c r="AE916" s="79"/>
      <c r="AF916" s="79"/>
      <c r="AG916" s="79"/>
      <c r="AH916" s="79"/>
      <c r="AI916" s="53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</row>
    <row r="917" spans="1:110" ht="13.8" x14ac:dyDescent="0.25">
      <c r="A917" s="24">
        <v>1702010</v>
      </c>
      <c r="B917" s="26" t="s">
        <v>956</v>
      </c>
      <c r="C917" s="47" t="s">
        <v>1474</v>
      </c>
      <c r="D917" s="26"/>
      <c r="E917" s="10" t="s">
        <v>1457</v>
      </c>
      <c r="F917" s="10" t="s">
        <v>557</v>
      </c>
      <c r="G917" s="55" t="str">
        <f t="shared" si="21"/>
        <v>Obsolete</v>
      </c>
      <c r="H917" s="10"/>
      <c r="I917" s="13"/>
      <c r="J917" s="56"/>
      <c r="K917" s="57"/>
      <c r="M917" s="10"/>
      <c r="N917" s="10"/>
      <c r="O917" s="29"/>
      <c r="P917" s="29"/>
      <c r="Q917" s="29"/>
      <c r="R917" s="29"/>
      <c r="S917" s="29"/>
      <c r="T917" s="72"/>
      <c r="U917" s="97" t="s">
        <v>54</v>
      </c>
      <c r="V917" s="97"/>
      <c r="W917" s="97" t="s">
        <v>54</v>
      </c>
      <c r="X917" s="97"/>
      <c r="Y917" s="97"/>
      <c r="Z917" s="87"/>
      <c r="AA917" s="79" t="s">
        <v>1457</v>
      </c>
      <c r="AB917" s="79" t="s">
        <v>37</v>
      </c>
      <c r="AC917" s="79" t="s">
        <v>37</v>
      </c>
      <c r="AD917" s="79"/>
      <c r="AE917" s="79"/>
      <c r="AF917" s="79"/>
      <c r="AG917" s="79"/>
      <c r="AH917" s="79"/>
      <c r="AI917" s="53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</row>
    <row r="918" spans="1:110" ht="13.8" x14ac:dyDescent="0.25">
      <c r="A918" s="24">
        <v>1702011</v>
      </c>
      <c r="B918" s="26" t="s">
        <v>956</v>
      </c>
      <c r="C918" s="47" t="s">
        <v>1475</v>
      </c>
      <c r="D918" s="26"/>
      <c r="E918" s="10" t="s">
        <v>1457</v>
      </c>
      <c r="F918" s="10" t="s">
        <v>557</v>
      </c>
      <c r="G918" s="55" t="str">
        <f t="shared" si="21"/>
        <v>Obsolete</v>
      </c>
      <c r="H918" s="10"/>
      <c r="I918" s="13"/>
      <c r="J918" s="56"/>
      <c r="K918" s="57"/>
      <c r="M918" s="10"/>
      <c r="N918" s="10"/>
      <c r="O918" s="29"/>
      <c r="P918" s="29"/>
      <c r="Q918" s="29"/>
      <c r="R918" s="29"/>
      <c r="S918" s="29"/>
      <c r="T918" s="72"/>
      <c r="U918" s="97" t="s">
        <v>54</v>
      </c>
      <c r="V918" s="97"/>
      <c r="W918" s="97" t="s">
        <v>54</v>
      </c>
      <c r="X918" s="97"/>
      <c r="Y918" s="97"/>
      <c r="Z918" s="87"/>
      <c r="AA918" s="79" t="s">
        <v>1457</v>
      </c>
      <c r="AB918" s="79" t="s">
        <v>37</v>
      </c>
      <c r="AC918" s="79" t="s">
        <v>37</v>
      </c>
      <c r="AD918" s="79"/>
      <c r="AE918" s="79"/>
      <c r="AF918" s="79"/>
      <c r="AG918" s="79"/>
      <c r="AH918" s="79"/>
      <c r="AI918" s="53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</row>
    <row r="919" spans="1:110" ht="13.8" x14ac:dyDescent="0.25">
      <c r="A919" s="24">
        <v>1702012</v>
      </c>
      <c r="B919" s="26" t="s">
        <v>956</v>
      </c>
      <c r="C919" s="47" t="s">
        <v>1476</v>
      </c>
      <c r="D919" s="26"/>
      <c r="E919" s="10" t="s">
        <v>1457</v>
      </c>
      <c r="F919" s="10" t="s">
        <v>557</v>
      </c>
      <c r="G919" s="55" t="str">
        <f t="shared" si="21"/>
        <v>Obsolete</v>
      </c>
      <c r="H919" s="10"/>
      <c r="I919" s="13"/>
      <c r="J919" s="56"/>
      <c r="K919" s="57"/>
      <c r="M919" s="10"/>
      <c r="N919" s="10"/>
      <c r="O919" s="29"/>
      <c r="P919" s="29"/>
      <c r="Q919" s="29"/>
      <c r="R919" s="29"/>
      <c r="S919" s="29"/>
      <c r="T919" s="72"/>
      <c r="U919" s="97" t="s">
        <v>54</v>
      </c>
      <c r="V919" s="97"/>
      <c r="W919" s="97" t="s">
        <v>54</v>
      </c>
      <c r="X919" s="97"/>
      <c r="Y919" s="97"/>
      <c r="Z919" s="87"/>
      <c r="AA919" s="79" t="s">
        <v>1457</v>
      </c>
      <c r="AB919" s="79" t="s">
        <v>37</v>
      </c>
      <c r="AC919" s="79" t="s">
        <v>37</v>
      </c>
      <c r="AD919" s="79"/>
      <c r="AE919" s="79"/>
      <c r="AF919" s="79"/>
      <c r="AG919" s="79"/>
      <c r="AH919" s="79"/>
      <c r="AI919" s="53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</row>
    <row r="920" spans="1:110" ht="13.8" x14ac:dyDescent="0.25">
      <c r="A920" s="24">
        <v>1702013</v>
      </c>
      <c r="B920" s="26" t="s">
        <v>956</v>
      </c>
      <c r="C920" s="46" t="s">
        <v>1477</v>
      </c>
      <c r="D920" s="26"/>
      <c r="E920" s="10" t="s">
        <v>1457</v>
      </c>
      <c r="F920" s="10" t="s">
        <v>557</v>
      </c>
      <c r="G920" s="55" t="str">
        <f t="shared" si="21"/>
        <v>Obsolete</v>
      </c>
      <c r="H920" s="10"/>
      <c r="I920" s="13"/>
      <c r="J920" s="56"/>
      <c r="K920" s="57"/>
      <c r="M920" s="10"/>
      <c r="N920" s="10"/>
      <c r="O920" s="29"/>
      <c r="P920" s="29"/>
      <c r="Q920" s="29"/>
      <c r="R920" s="29"/>
      <c r="S920" s="29"/>
      <c r="T920" s="72"/>
      <c r="U920" s="97" t="s">
        <v>54</v>
      </c>
      <c r="V920" s="97"/>
      <c r="W920" s="97" t="s">
        <v>54</v>
      </c>
      <c r="X920" s="97"/>
      <c r="Y920" s="97"/>
      <c r="Z920" s="87"/>
      <c r="AA920" s="79" t="s">
        <v>1457</v>
      </c>
      <c r="AB920" s="79" t="s">
        <v>37</v>
      </c>
      <c r="AC920" s="79" t="s">
        <v>37</v>
      </c>
      <c r="AD920" s="79"/>
      <c r="AE920" s="79"/>
      <c r="AF920" s="79"/>
      <c r="AG920" s="79"/>
      <c r="AH920" s="79"/>
      <c r="AI920" s="53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</row>
    <row r="921" spans="1:110" ht="13.8" x14ac:dyDescent="0.25">
      <c r="A921" s="24">
        <v>1702014</v>
      </c>
      <c r="B921" s="26" t="s">
        <v>956</v>
      </c>
      <c r="C921" s="46" t="s">
        <v>1478</v>
      </c>
      <c r="D921" s="26"/>
      <c r="E921" s="10" t="s">
        <v>1457</v>
      </c>
      <c r="F921" s="10" t="s">
        <v>557</v>
      </c>
      <c r="G921" s="55" t="str">
        <f t="shared" si="21"/>
        <v>Obsolete</v>
      </c>
      <c r="H921" s="10"/>
      <c r="I921" s="13"/>
      <c r="J921" s="56"/>
      <c r="K921" s="57"/>
      <c r="M921" s="10"/>
      <c r="N921" s="10"/>
      <c r="O921" s="29"/>
      <c r="P921" s="29"/>
      <c r="Q921" s="29"/>
      <c r="R921" s="29"/>
      <c r="S921" s="29"/>
      <c r="T921" s="72"/>
      <c r="U921" s="97" t="s">
        <v>54</v>
      </c>
      <c r="V921" s="97"/>
      <c r="W921" s="97" t="s">
        <v>54</v>
      </c>
      <c r="X921" s="97"/>
      <c r="Y921" s="97"/>
      <c r="Z921" s="87"/>
      <c r="AA921" s="79" t="s">
        <v>1457</v>
      </c>
      <c r="AB921" s="79" t="s">
        <v>37</v>
      </c>
      <c r="AC921" s="79" t="s">
        <v>37</v>
      </c>
      <c r="AD921" s="79"/>
      <c r="AE921" s="79"/>
      <c r="AF921" s="79"/>
      <c r="AG921" s="79"/>
      <c r="AH921" s="79"/>
      <c r="AI921" s="53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</row>
    <row r="922" spans="1:110" ht="13.8" x14ac:dyDescent="0.25">
      <c r="A922" s="24">
        <v>1702015</v>
      </c>
      <c r="B922" s="26" t="s">
        <v>956</v>
      </c>
      <c r="C922" s="46" t="s">
        <v>1479</v>
      </c>
      <c r="D922" s="26"/>
      <c r="E922" s="10" t="s">
        <v>1457</v>
      </c>
      <c r="F922" s="10" t="s">
        <v>557</v>
      </c>
      <c r="G922" s="55" t="str">
        <f t="shared" si="21"/>
        <v>Obsolete</v>
      </c>
      <c r="H922" s="10"/>
      <c r="I922" s="13"/>
      <c r="J922" s="56"/>
      <c r="K922" s="57"/>
      <c r="M922" s="10"/>
      <c r="N922" s="10"/>
      <c r="O922" s="29"/>
      <c r="P922" s="29"/>
      <c r="Q922" s="29"/>
      <c r="R922" s="29"/>
      <c r="S922" s="29"/>
      <c r="T922" s="72"/>
      <c r="U922" s="97" t="s">
        <v>54</v>
      </c>
      <c r="V922" s="97"/>
      <c r="W922" s="97" t="s">
        <v>54</v>
      </c>
      <c r="X922" s="97"/>
      <c r="Y922" s="97"/>
      <c r="Z922" s="87"/>
      <c r="AA922" s="79" t="s">
        <v>1457</v>
      </c>
      <c r="AB922" s="79" t="s">
        <v>37</v>
      </c>
      <c r="AC922" s="79" t="s">
        <v>37</v>
      </c>
      <c r="AD922" s="79"/>
      <c r="AE922" s="79"/>
      <c r="AF922" s="79"/>
      <c r="AG922" s="79"/>
      <c r="AH922" s="79"/>
      <c r="AI922" s="53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</row>
    <row r="923" spans="1:110" ht="13.8" x14ac:dyDescent="0.25">
      <c r="A923" s="24">
        <v>1702016</v>
      </c>
      <c r="B923" s="26" t="s">
        <v>956</v>
      </c>
      <c r="C923" s="46" t="s">
        <v>1480</v>
      </c>
      <c r="D923" s="26"/>
      <c r="E923" s="10" t="s">
        <v>1457</v>
      </c>
      <c r="F923" s="10" t="s">
        <v>557</v>
      </c>
      <c r="G923" s="55" t="str">
        <f t="shared" si="21"/>
        <v>Obsolete</v>
      </c>
      <c r="H923" s="10"/>
      <c r="I923" s="13"/>
      <c r="J923" s="56"/>
      <c r="K923" s="57"/>
      <c r="M923" s="10"/>
      <c r="N923" s="10"/>
      <c r="O923" s="29"/>
      <c r="P923" s="29"/>
      <c r="Q923" s="29"/>
      <c r="R923" s="29"/>
      <c r="S923" s="29"/>
      <c r="T923" s="72"/>
      <c r="U923" s="97" t="s">
        <v>54</v>
      </c>
      <c r="V923" s="97"/>
      <c r="W923" s="97" t="s">
        <v>54</v>
      </c>
      <c r="X923" s="97"/>
      <c r="Y923" s="97"/>
      <c r="Z923" s="87"/>
      <c r="AA923" s="79" t="s">
        <v>1457</v>
      </c>
      <c r="AB923" s="79" t="s">
        <v>37</v>
      </c>
      <c r="AC923" s="79" t="s">
        <v>37</v>
      </c>
      <c r="AD923" s="79"/>
      <c r="AE923" s="79"/>
      <c r="AF923" s="79"/>
      <c r="AG923" s="79"/>
      <c r="AH923" s="79"/>
      <c r="AI923" s="53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</row>
    <row r="924" spans="1:110" ht="13.8" x14ac:dyDescent="0.25">
      <c r="A924" s="24">
        <v>1702017</v>
      </c>
      <c r="B924" s="26" t="s">
        <v>956</v>
      </c>
      <c r="C924" s="47" t="s">
        <v>1481</v>
      </c>
      <c r="D924" s="26"/>
      <c r="E924" s="10" t="s">
        <v>1457</v>
      </c>
      <c r="F924" s="10" t="s">
        <v>557</v>
      </c>
      <c r="G924" s="55" t="str">
        <f t="shared" si="21"/>
        <v>Obsolete</v>
      </c>
      <c r="H924" s="10"/>
      <c r="I924" s="13"/>
      <c r="J924" s="56"/>
      <c r="K924" s="57"/>
      <c r="M924" s="10"/>
      <c r="N924" s="10"/>
      <c r="O924" s="29"/>
      <c r="P924" s="29"/>
      <c r="Q924" s="29"/>
      <c r="R924" s="29"/>
      <c r="S924" s="29"/>
      <c r="T924" s="72"/>
      <c r="U924" s="97" t="s">
        <v>54</v>
      </c>
      <c r="V924" s="97"/>
      <c r="W924" s="97" t="s">
        <v>54</v>
      </c>
      <c r="X924" s="97"/>
      <c r="Y924" s="97"/>
      <c r="Z924" s="87"/>
      <c r="AA924" s="79" t="s">
        <v>1457</v>
      </c>
      <c r="AB924" s="79" t="s">
        <v>37</v>
      </c>
      <c r="AC924" s="79" t="s">
        <v>37</v>
      </c>
      <c r="AD924" s="79"/>
      <c r="AE924" s="79"/>
      <c r="AF924" s="79"/>
      <c r="AG924" s="79"/>
      <c r="AH924" s="79"/>
      <c r="AI924" s="53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</row>
    <row r="925" spans="1:110" ht="13.8" x14ac:dyDescent="0.25">
      <c r="A925" s="24">
        <v>1702018</v>
      </c>
      <c r="B925" s="26" t="s">
        <v>956</v>
      </c>
      <c r="C925" s="47" t="s">
        <v>1482</v>
      </c>
      <c r="D925" s="26"/>
      <c r="E925" s="10" t="s">
        <v>1457</v>
      </c>
      <c r="F925" s="10" t="s">
        <v>557</v>
      </c>
      <c r="G925" s="55" t="str">
        <f t="shared" si="21"/>
        <v>Obsolete</v>
      </c>
      <c r="H925" s="10"/>
      <c r="I925" s="13"/>
      <c r="J925" s="56"/>
      <c r="K925" s="57"/>
      <c r="M925" s="10"/>
      <c r="N925" s="10"/>
      <c r="O925" s="29"/>
      <c r="P925" s="29"/>
      <c r="Q925" s="29"/>
      <c r="R925" s="29"/>
      <c r="S925" s="29"/>
      <c r="T925" s="72"/>
      <c r="U925" s="97" t="s">
        <v>54</v>
      </c>
      <c r="V925" s="97"/>
      <c r="W925" s="97" t="s">
        <v>54</v>
      </c>
      <c r="X925" s="97"/>
      <c r="Y925" s="97"/>
      <c r="Z925" s="87"/>
      <c r="AA925" s="79" t="s">
        <v>1457</v>
      </c>
      <c r="AB925" s="79" t="s">
        <v>37</v>
      </c>
      <c r="AC925" s="79" t="s">
        <v>37</v>
      </c>
      <c r="AD925" s="79"/>
      <c r="AE925" s="79"/>
      <c r="AF925" s="79"/>
      <c r="AG925" s="79"/>
      <c r="AH925" s="79" t="s">
        <v>29</v>
      </c>
      <c r="AI925" s="53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</row>
    <row r="926" spans="1:110" ht="13.8" x14ac:dyDescent="0.25">
      <c r="A926" s="24">
        <v>1702019</v>
      </c>
      <c r="B926" s="26" t="s">
        <v>956</v>
      </c>
      <c r="C926" s="47" t="s">
        <v>1483</v>
      </c>
      <c r="D926" s="26"/>
      <c r="E926" s="10" t="s">
        <v>1457</v>
      </c>
      <c r="F926" s="10" t="s">
        <v>557</v>
      </c>
      <c r="G926" s="55" t="str">
        <f t="shared" si="21"/>
        <v>Obsolete</v>
      </c>
      <c r="H926" s="10"/>
      <c r="I926" s="13"/>
      <c r="J926" s="56"/>
      <c r="K926" s="57"/>
      <c r="M926" s="10"/>
      <c r="N926" s="10"/>
      <c r="O926" s="29"/>
      <c r="P926" s="29"/>
      <c r="Q926" s="29"/>
      <c r="R926" s="29"/>
      <c r="S926" s="29"/>
      <c r="T926" s="72"/>
      <c r="U926" s="97" t="s">
        <v>54</v>
      </c>
      <c r="V926" s="97"/>
      <c r="W926" s="97" t="s">
        <v>54</v>
      </c>
      <c r="X926" s="97"/>
      <c r="Y926" s="97"/>
      <c r="Z926" s="87"/>
      <c r="AA926" s="79"/>
      <c r="AB926" s="79"/>
      <c r="AC926" s="79" t="s">
        <v>37</v>
      </c>
      <c r="AD926" s="79"/>
      <c r="AE926" s="79"/>
      <c r="AF926" s="79"/>
      <c r="AG926" s="79"/>
      <c r="AH926" s="79" t="s">
        <v>29</v>
      </c>
      <c r="AI926" s="53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</row>
    <row r="927" spans="1:110" ht="13.8" x14ac:dyDescent="0.25">
      <c r="A927" s="24">
        <v>1702020</v>
      </c>
      <c r="B927" s="26" t="s">
        <v>956</v>
      </c>
      <c r="C927" s="47" t="s">
        <v>1484</v>
      </c>
      <c r="D927" s="26"/>
      <c r="E927" s="10" t="s">
        <v>1457</v>
      </c>
      <c r="F927" s="10" t="s">
        <v>557</v>
      </c>
      <c r="G927" s="55" t="str">
        <f t="shared" si="21"/>
        <v>Obsolete</v>
      </c>
      <c r="H927" s="10"/>
      <c r="I927" s="13"/>
      <c r="J927" s="56"/>
      <c r="K927" s="57"/>
      <c r="M927" s="10"/>
      <c r="N927" s="10"/>
      <c r="O927" s="29"/>
      <c r="P927" s="29"/>
      <c r="Q927" s="29"/>
      <c r="R927" s="29"/>
      <c r="S927" s="29"/>
      <c r="T927" s="72"/>
      <c r="U927" s="97" t="s">
        <v>54</v>
      </c>
      <c r="V927" s="97"/>
      <c r="W927" s="97" t="s">
        <v>54</v>
      </c>
      <c r="X927" s="97"/>
      <c r="Y927" s="97"/>
      <c r="Z927" s="87"/>
      <c r="AA927" s="79"/>
      <c r="AB927" s="79"/>
      <c r="AC927" s="79" t="s">
        <v>37</v>
      </c>
      <c r="AD927" s="79"/>
      <c r="AE927" s="79"/>
      <c r="AF927" s="79"/>
      <c r="AG927" s="79"/>
      <c r="AH927" s="79"/>
      <c r="AI927" s="53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</row>
    <row r="928" spans="1:110" ht="13.8" x14ac:dyDescent="0.25">
      <c r="A928" s="24">
        <v>1702021</v>
      </c>
      <c r="B928" s="26" t="s">
        <v>956</v>
      </c>
      <c r="C928" s="47" t="s">
        <v>1485</v>
      </c>
      <c r="D928" s="26"/>
      <c r="E928" s="10" t="s">
        <v>1457</v>
      </c>
      <c r="F928" s="10" t="s">
        <v>557</v>
      </c>
      <c r="G928" s="55" t="str">
        <f t="shared" si="21"/>
        <v>Obsolete</v>
      </c>
      <c r="H928" s="10"/>
      <c r="I928" s="13"/>
      <c r="J928" s="56"/>
      <c r="K928" s="57"/>
      <c r="M928" s="10"/>
      <c r="N928" s="10"/>
      <c r="O928" s="29"/>
      <c r="P928" s="29"/>
      <c r="Q928" s="29"/>
      <c r="R928" s="29"/>
      <c r="S928" s="29"/>
      <c r="T928" s="72"/>
      <c r="U928" s="97" t="s">
        <v>54</v>
      </c>
      <c r="V928" s="97"/>
      <c r="W928" s="97" t="s">
        <v>54</v>
      </c>
      <c r="X928" s="97"/>
      <c r="Y928" s="97"/>
      <c r="Z928" s="87"/>
      <c r="AA928" s="79"/>
      <c r="AB928" s="79"/>
      <c r="AC928" s="79" t="s">
        <v>37</v>
      </c>
      <c r="AD928" s="79"/>
      <c r="AE928" s="79"/>
      <c r="AF928" s="79"/>
      <c r="AG928" s="79"/>
      <c r="AH928" s="79"/>
      <c r="AI928" s="53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</row>
    <row r="929" spans="1:110" ht="13.8" x14ac:dyDescent="0.25">
      <c r="A929" s="24">
        <v>1702022</v>
      </c>
      <c r="B929" s="26" t="s">
        <v>956</v>
      </c>
      <c r="C929" s="47" t="s">
        <v>1486</v>
      </c>
      <c r="D929" s="26"/>
      <c r="E929" s="10" t="s">
        <v>1457</v>
      </c>
      <c r="F929" s="10" t="s">
        <v>557</v>
      </c>
      <c r="G929" s="55" t="str">
        <f t="shared" si="21"/>
        <v>Obsolete</v>
      </c>
      <c r="H929" s="10"/>
      <c r="I929" s="13"/>
      <c r="J929" s="56"/>
      <c r="K929" s="57"/>
      <c r="M929" s="10"/>
      <c r="N929" s="10"/>
      <c r="O929" s="29"/>
      <c r="P929" s="29"/>
      <c r="Q929" s="29"/>
      <c r="R929" s="29"/>
      <c r="S929" s="29"/>
      <c r="T929" s="72"/>
      <c r="U929" s="97" t="s">
        <v>54</v>
      </c>
      <c r="V929" s="97"/>
      <c r="W929" s="97" t="s">
        <v>54</v>
      </c>
      <c r="X929" s="97"/>
      <c r="Y929" s="97"/>
      <c r="Z929" s="87"/>
      <c r="AA929" s="79"/>
      <c r="AB929" s="79"/>
      <c r="AC929" s="79" t="s">
        <v>37</v>
      </c>
      <c r="AD929" s="79"/>
      <c r="AE929" s="79"/>
      <c r="AF929" s="79"/>
      <c r="AG929" s="79"/>
      <c r="AH929" s="79"/>
      <c r="AI929" s="53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</row>
    <row r="930" spans="1:110" ht="13.8" x14ac:dyDescent="0.25">
      <c r="A930" s="24">
        <v>1703001</v>
      </c>
      <c r="B930" s="24" t="s">
        <v>1211</v>
      </c>
      <c r="C930" s="38" t="s">
        <v>1487</v>
      </c>
      <c r="D930" s="26"/>
      <c r="E930" s="10" t="s">
        <v>1457</v>
      </c>
      <c r="F930" s="10" t="s">
        <v>557</v>
      </c>
      <c r="G930" s="55" t="str">
        <f t="shared" si="21"/>
        <v>Obsolete</v>
      </c>
      <c r="H930" s="10"/>
      <c r="I930" s="13"/>
      <c r="J930" s="56"/>
      <c r="K930" s="57"/>
      <c r="M930" s="10"/>
      <c r="N930" s="10"/>
      <c r="O930" s="29"/>
      <c r="P930" s="29"/>
      <c r="Q930" s="29"/>
      <c r="R930" s="29"/>
      <c r="S930" s="29"/>
      <c r="T930" s="72"/>
      <c r="U930" s="97" t="s">
        <v>54</v>
      </c>
      <c r="V930" s="97"/>
      <c r="W930" s="97" t="s">
        <v>54</v>
      </c>
      <c r="X930" s="97"/>
      <c r="Y930" s="97"/>
      <c r="Z930" s="87"/>
      <c r="AA930" s="79" t="s">
        <v>1457</v>
      </c>
      <c r="AB930" s="79" t="s">
        <v>37</v>
      </c>
      <c r="AC930" s="79" t="s">
        <v>37</v>
      </c>
      <c r="AD930" s="79"/>
      <c r="AE930" s="79"/>
      <c r="AF930" s="79"/>
      <c r="AG930" s="79"/>
      <c r="AH930" s="79"/>
      <c r="AI930" s="53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</row>
    <row r="931" spans="1:110" ht="13.8" x14ac:dyDescent="0.25">
      <c r="A931" s="32">
        <v>1703004</v>
      </c>
      <c r="B931" s="32" t="s">
        <v>1211</v>
      </c>
      <c r="C931" s="47" t="s">
        <v>1488</v>
      </c>
      <c r="D931" s="26"/>
      <c r="E931" s="10" t="s">
        <v>1457</v>
      </c>
      <c r="F931" s="10" t="s">
        <v>557</v>
      </c>
      <c r="G931" s="55" t="str">
        <f t="shared" si="21"/>
        <v>Obsolete</v>
      </c>
      <c r="H931" s="10"/>
      <c r="I931" s="13"/>
      <c r="J931" s="56"/>
      <c r="K931" s="57"/>
      <c r="M931" s="10"/>
      <c r="N931" s="10"/>
      <c r="O931" s="29"/>
      <c r="P931" s="29"/>
      <c r="Q931" s="29"/>
      <c r="R931" s="29"/>
      <c r="S931" s="29"/>
      <c r="T931" s="72"/>
      <c r="U931" s="97" t="s">
        <v>54</v>
      </c>
      <c r="V931" s="97"/>
      <c r="W931" s="97" t="s">
        <v>54</v>
      </c>
      <c r="X931" s="97"/>
      <c r="Y931" s="97"/>
      <c r="Z931" s="87"/>
      <c r="AA931" s="79" t="s">
        <v>1457</v>
      </c>
      <c r="AB931" s="79" t="s">
        <v>37</v>
      </c>
      <c r="AC931" s="79" t="s">
        <v>37</v>
      </c>
      <c r="AD931" s="79"/>
      <c r="AE931" s="79"/>
      <c r="AF931" s="79"/>
      <c r="AG931" s="79"/>
      <c r="AH931" s="79"/>
      <c r="AI931" s="53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</row>
    <row r="932" spans="1:110" ht="13.8" x14ac:dyDescent="0.25">
      <c r="A932" s="10" t="s">
        <v>1489</v>
      </c>
      <c r="B932" s="11" t="s">
        <v>30</v>
      </c>
      <c r="C932" s="12" t="s">
        <v>1490</v>
      </c>
      <c r="D932" s="11" t="s">
        <v>43</v>
      </c>
      <c r="E932" s="10" t="s">
        <v>1491</v>
      </c>
      <c r="F932" s="10" t="s">
        <v>34</v>
      </c>
      <c r="G932" s="55">
        <f t="shared" si="21"/>
        <v>0</v>
      </c>
      <c r="H932" s="10">
        <v>1</v>
      </c>
      <c r="I932" s="13"/>
      <c r="J932" s="56"/>
      <c r="K932" s="57"/>
      <c r="M932" s="14"/>
      <c r="N932" s="14"/>
      <c r="O932" s="14"/>
      <c r="P932" s="14"/>
      <c r="Q932" s="14"/>
      <c r="R932" s="14"/>
      <c r="S932" s="14"/>
      <c r="T932" s="70"/>
      <c r="U932" s="76">
        <v>0</v>
      </c>
      <c r="V932" s="76">
        <v>0</v>
      </c>
      <c r="W932" s="76">
        <v>0</v>
      </c>
      <c r="X932" s="76">
        <v>0</v>
      </c>
      <c r="Y932" s="77"/>
      <c r="Z932" s="78"/>
      <c r="AA932" s="79" t="s">
        <v>36</v>
      </c>
      <c r="AB932" s="79" t="s">
        <v>35</v>
      </c>
      <c r="AC932" s="79" t="s">
        <v>37</v>
      </c>
      <c r="AD932" s="79"/>
      <c r="AE932" s="79"/>
      <c r="AF932" s="79"/>
      <c r="AG932" s="83"/>
      <c r="AH932" s="79"/>
      <c r="AI932" s="53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</row>
    <row r="933" spans="1:110" ht="13.8" x14ac:dyDescent="0.25">
      <c r="A933" s="10" t="s">
        <v>1496</v>
      </c>
      <c r="B933" s="11" t="s">
        <v>30</v>
      </c>
      <c r="C933" s="12" t="s">
        <v>1497</v>
      </c>
      <c r="D933" s="11" t="s">
        <v>66</v>
      </c>
      <c r="E933" s="10" t="s">
        <v>1491</v>
      </c>
      <c r="F933" s="10" t="s">
        <v>34</v>
      </c>
      <c r="G933" s="55">
        <f t="shared" si="21"/>
        <v>0</v>
      </c>
      <c r="H933" s="10"/>
      <c r="I933" s="13"/>
      <c r="J933" s="56"/>
      <c r="K933" s="57"/>
      <c r="M933" s="14"/>
      <c r="N933" s="14"/>
      <c r="O933" s="14"/>
      <c r="P933" s="14"/>
      <c r="Q933" s="14"/>
      <c r="R933" s="14"/>
      <c r="S933" s="14"/>
      <c r="T933" s="70"/>
      <c r="U933" s="76">
        <v>0</v>
      </c>
      <c r="V933" s="76"/>
      <c r="W933" s="76"/>
      <c r="X933" s="77"/>
      <c r="Y933" s="78"/>
      <c r="Z933" s="79"/>
      <c r="AA933" s="79" t="s">
        <v>468</v>
      </c>
      <c r="AB933" s="79" t="s">
        <v>35</v>
      </c>
      <c r="AC933" s="79" t="s">
        <v>37</v>
      </c>
      <c r="AD933" s="79"/>
      <c r="AE933" s="79"/>
      <c r="AF933" s="79"/>
      <c r="AG933" s="83"/>
      <c r="AH933" s="79"/>
      <c r="AI933" s="53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</row>
    <row r="934" spans="1:110" ht="13.8" x14ac:dyDescent="0.25">
      <c r="A934" s="10" t="s">
        <v>1498</v>
      </c>
      <c r="B934" s="11" t="s">
        <v>30</v>
      </c>
      <c r="C934" s="12" t="s">
        <v>1499</v>
      </c>
      <c r="D934" s="11" t="s">
        <v>66</v>
      </c>
      <c r="E934" s="10" t="s">
        <v>1491</v>
      </c>
      <c r="F934" s="10" t="s">
        <v>34</v>
      </c>
      <c r="G934" s="55">
        <f t="shared" si="21"/>
        <v>0</v>
      </c>
      <c r="H934" s="10"/>
      <c r="I934" s="13"/>
      <c r="J934" s="56"/>
      <c r="K934" s="57"/>
      <c r="M934" s="14"/>
      <c r="N934" s="14"/>
      <c r="O934" s="14"/>
      <c r="P934" s="14"/>
      <c r="Q934" s="14"/>
      <c r="R934" s="14"/>
      <c r="S934" s="14"/>
      <c r="T934" s="70"/>
      <c r="U934" s="76">
        <v>0</v>
      </c>
      <c r="V934" s="76"/>
      <c r="W934" s="77"/>
      <c r="X934" s="78"/>
      <c r="Y934" s="79"/>
      <c r="Z934" s="79"/>
      <c r="AA934" s="79" t="s">
        <v>468</v>
      </c>
      <c r="AB934" s="79" t="s">
        <v>35</v>
      </c>
      <c r="AC934" s="79" t="s">
        <v>37</v>
      </c>
      <c r="AD934" s="79"/>
      <c r="AE934" s="83"/>
      <c r="AF934" s="79"/>
      <c r="AG934" s="83"/>
      <c r="AH934" s="79"/>
      <c r="AI934" s="53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10" x14ac:dyDescent="0.25">
      <c r="A935" s="7"/>
      <c r="B935" s="7"/>
      <c r="C935" s="48"/>
      <c r="D935" s="7"/>
      <c r="E935" s="7"/>
      <c r="F935" s="7"/>
      <c r="G935" s="49"/>
      <c r="H935" s="7"/>
      <c r="I935" s="50"/>
      <c r="J935" s="49"/>
      <c r="K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51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</row>
    <row r="936" spans="1:110" x14ac:dyDescent="0.25">
      <c r="A936" s="7"/>
      <c r="B936" s="7"/>
      <c r="C936" s="48"/>
      <c r="D936" s="7"/>
      <c r="E936" s="7"/>
      <c r="F936" s="7"/>
      <c r="G936" s="49"/>
      <c r="H936" s="7"/>
      <c r="I936" s="50"/>
      <c r="J936" s="49"/>
      <c r="K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123"/>
      <c r="Z936" s="51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</row>
    <row r="937" spans="1:110" x14ac:dyDescent="0.25">
      <c r="A937" s="7"/>
      <c r="B937" s="7"/>
      <c r="C937" s="48"/>
      <c r="D937" s="7"/>
      <c r="E937" s="7"/>
      <c r="F937" s="7"/>
      <c r="G937" s="49"/>
      <c r="H937" s="7"/>
      <c r="I937" s="50"/>
      <c r="J937" s="67"/>
      <c r="K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51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</row>
    <row r="938" spans="1:110" x14ac:dyDescent="0.25">
      <c r="A938" s="7"/>
      <c r="B938" s="7"/>
      <c r="C938" s="48"/>
      <c r="D938" s="7"/>
      <c r="E938" s="7"/>
      <c r="F938" s="7"/>
      <c r="G938" s="49"/>
      <c r="H938" s="7"/>
      <c r="I938" s="50"/>
      <c r="J938" s="49"/>
      <c r="K938" s="49"/>
      <c r="M938" s="49"/>
      <c r="N938" s="49"/>
      <c r="T938" s="49"/>
      <c r="U938" s="49"/>
      <c r="V938" s="49"/>
      <c r="W938" s="49"/>
      <c r="X938" s="49"/>
      <c r="Y938" s="49"/>
      <c r="Z938" s="51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</row>
    <row r="939" spans="1:110" x14ac:dyDescent="0.25">
      <c r="A939" s="7"/>
      <c r="B939" s="7"/>
      <c r="C939" s="48"/>
      <c r="D939" s="7"/>
      <c r="E939" s="7"/>
      <c r="F939" s="7"/>
      <c r="G939" s="49"/>
      <c r="H939" s="7"/>
      <c r="I939" s="50"/>
      <c r="J939" s="49"/>
      <c r="K939" s="49"/>
      <c r="M939" s="49"/>
      <c r="N939" s="49"/>
      <c r="Q939" s="64"/>
      <c r="S939" s="65"/>
      <c r="T939" s="49"/>
      <c r="U939" s="49"/>
      <c r="V939" s="49"/>
      <c r="W939" s="49"/>
      <c r="X939" s="49"/>
      <c r="Y939" s="49"/>
      <c r="Z939" s="51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</row>
    <row r="940" spans="1:110" x14ac:dyDescent="0.25">
      <c r="A940" s="7"/>
      <c r="B940" s="7"/>
      <c r="C940" s="48"/>
      <c r="D940" s="7"/>
      <c r="E940" s="7"/>
      <c r="F940" s="7"/>
      <c r="G940" s="49"/>
      <c r="H940" s="7"/>
      <c r="I940" s="50"/>
      <c r="J940" s="49"/>
      <c r="K940" s="49"/>
      <c r="M940" s="49"/>
      <c r="N940" s="49"/>
      <c r="Q940" s="64"/>
      <c r="S940" s="66"/>
      <c r="T940" s="49"/>
      <c r="U940" s="49"/>
      <c r="V940" s="49"/>
      <c r="W940" s="49"/>
      <c r="X940" s="49"/>
      <c r="Y940" s="49"/>
      <c r="Z940" s="51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</row>
    <row r="941" spans="1:110" x14ac:dyDescent="0.25">
      <c r="A941" s="7"/>
      <c r="B941" s="7"/>
      <c r="C941" s="48"/>
      <c r="D941" s="7"/>
      <c r="E941" s="7"/>
      <c r="F941" s="7"/>
      <c r="G941" s="49"/>
      <c r="H941" s="7"/>
      <c r="I941" s="50"/>
      <c r="J941" s="49"/>
      <c r="K941" s="49"/>
      <c r="M941" s="49"/>
      <c r="N941" s="49"/>
      <c r="Q941" s="64"/>
      <c r="S941" s="66"/>
      <c r="T941" s="49"/>
      <c r="U941" s="49"/>
      <c r="V941" s="49"/>
      <c r="W941" s="49"/>
      <c r="X941" s="49"/>
      <c r="Y941" s="49"/>
      <c r="Z941" s="51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</row>
    <row r="942" spans="1:110" x14ac:dyDescent="0.25">
      <c r="A942" s="7"/>
      <c r="B942" s="7"/>
      <c r="C942" s="48"/>
      <c r="D942" s="7"/>
      <c r="E942" s="7"/>
      <c r="F942" s="7"/>
      <c r="G942" s="49"/>
      <c r="H942" s="7"/>
      <c r="I942" s="50"/>
      <c r="J942" s="49"/>
      <c r="K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51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</row>
    <row r="943" spans="1:110" x14ac:dyDescent="0.25">
      <c r="A943" s="7"/>
      <c r="B943" s="7"/>
      <c r="C943" s="48"/>
      <c r="D943" s="7"/>
      <c r="E943" s="7"/>
      <c r="F943" s="7"/>
      <c r="G943" s="49"/>
      <c r="H943" s="7"/>
      <c r="I943" s="50"/>
      <c r="J943" s="49"/>
      <c r="K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51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</row>
    <row r="944" spans="1:110" x14ac:dyDescent="0.25">
      <c r="A944" s="7"/>
      <c r="B944" s="7"/>
      <c r="C944" s="48"/>
      <c r="D944" s="7"/>
      <c r="E944" s="7"/>
      <c r="F944" s="7"/>
      <c r="G944" s="49"/>
      <c r="H944" s="7"/>
      <c r="I944" s="50"/>
      <c r="J944" s="49"/>
      <c r="K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51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</row>
    <row r="945" spans="1:110" x14ac:dyDescent="0.25">
      <c r="A945" s="7"/>
      <c r="B945" s="7"/>
      <c r="C945" s="48"/>
      <c r="D945" s="7"/>
      <c r="E945" s="7"/>
      <c r="F945" s="7"/>
      <c r="G945" s="49"/>
      <c r="H945" s="7"/>
      <c r="I945" s="50"/>
      <c r="J945" s="49"/>
      <c r="K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51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</row>
    <row r="946" spans="1:110" x14ac:dyDescent="0.25">
      <c r="A946" s="7"/>
      <c r="B946" s="7"/>
      <c r="C946" s="48"/>
      <c r="D946" s="7"/>
      <c r="E946" s="7"/>
      <c r="F946" s="7"/>
      <c r="G946" s="49"/>
      <c r="H946" s="7"/>
      <c r="I946" s="50"/>
      <c r="J946" s="49"/>
      <c r="K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51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</row>
    <row r="947" spans="1:110" x14ac:dyDescent="0.25">
      <c r="A947" s="7"/>
      <c r="B947" s="7"/>
      <c r="C947" s="48"/>
      <c r="D947" s="7"/>
      <c r="E947" s="7"/>
      <c r="F947" s="7"/>
      <c r="G947" s="49"/>
      <c r="H947" s="7"/>
      <c r="I947" s="50"/>
      <c r="J947" s="49"/>
      <c r="K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51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</row>
    <row r="948" spans="1:110" x14ac:dyDescent="0.25">
      <c r="A948" s="7"/>
      <c r="B948" s="7"/>
      <c r="C948" s="48"/>
      <c r="D948" s="7"/>
      <c r="E948" s="7"/>
      <c r="F948" s="7"/>
      <c r="G948" s="49"/>
      <c r="H948" s="7"/>
      <c r="I948" s="50"/>
      <c r="J948" s="49"/>
      <c r="K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51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</row>
    <row r="949" spans="1:110" x14ac:dyDescent="0.25">
      <c r="A949" s="7"/>
      <c r="B949" s="7"/>
      <c r="C949" s="48"/>
      <c r="D949" s="7"/>
      <c r="E949" s="7"/>
      <c r="F949" s="7"/>
      <c r="G949" s="49"/>
      <c r="H949" s="7"/>
      <c r="I949" s="50"/>
      <c r="J949" s="49"/>
      <c r="K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51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</row>
    <row r="950" spans="1:110" x14ac:dyDescent="0.25">
      <c r="A950" s="7"/>
      <c r="B950" s="7"/>
      <c r="C950" s="48"/>
      <c r="D950" s="7"/>
      <c r="E950" s="7"/>
      <c r="F950" s="7"/>
      <c r="G950" s="49"/>
      <c r="H950" s="7"/>
      <c r="I950" s="50"/>
      <c r="J950" s="49"/>
      <c r="K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51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</row>
    <row r="951" spans="1:110" x14ac:dyDescent="0.25">
      <c r="A951" s="7"/>
      <c r="B951" s="7"/>
      <c r="C951" s="48"/>
      <c r="D951" s="7"/>
      <c r="E951" s="7"/>
      <c r="F951" s="7"/>
      <c r="G951" s="49"/>
      <c r="H951" s="7"/>
      <c r="I951" s="50"/>
      <c r="J951" s="49"/>
      <c r="K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51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</row>
    <row r="952" spans="1:110" x14ac:dyDescent="0.25">
      <c r="A952" s="7"/>
      <c r="B952" s="7"/>
      <c r="C952" s="48"/>
      <c r="D952" s="7"/>
      <c r="E952" s="7"/>
      <c r="F952" s="7"/>
      <c r="G952" s="49"/>
      <c r="H952" s="7"/>
      <c r="I952" s="50"/>
      <c r="J952" s="49"/>
      <c r="K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51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</row>
    <row r="953" spans="1:110" x14ac:dyDescent="0.25">
      <c r="A953" s="7"/>
      <c r="B953" s="7"/>
      <c r="C953" s="48"/>
      <c r="D953" s="7"/>
      <c r="E953" s="7"/>
      <c r="F953" s="7"/>
      <c r="G953" s="49"/>
      <c r="H953" s="7"/>
      <c r="I953" s="50"/>
      <c r="J953" s="49"/>
      <c r="K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51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</row>
    <row r="954" spans="1:110" x14ac:dyDescent="0.25">
      <c r="A954" s="7"/>
      <c r="B954" s="7"/>
      <c r="C954" s="48"/>
      <c r="D954" s="7"/>
      <c r="E954" s="7"/>
      <c r="F954" s="7"/>
      <c r="G954" s="49"/>
      <c r="H954" s="7"/>
      <c r="I954" s="50"/>
      <c r="J954" s="49"/>
      <c r="K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51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</row>
    <row r="955" spans="1:110" x14ac:dyDescent="0.25">
      <c r="A955" s="7"/>
      <c r="B955" s="7"/>
      <c r="C955" s="48"/>
      <c r="D955" s="7"/>
      <c r="E955" s="7"/>
      <c r="F955" s="7"/>
      <c r="G955" s="49"/>
      <c r="H955" s="7"/>
      <c r="I955" s="50"/>
      <c r="J955" s="49"/>
      <c r="K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51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</row>
    <row r="956" spans="1:110" x14ac:dyDescent="0.25">
      <c r="A956" s="7"/>
      <c r="B956" s="7"/>
      <c r="C956" s="48"/>
      <c r="D956" s="7"/>
      <c r="E956" s="7"/>
      <c r="F956" s="7"/>
      <c r="G956" s="49"/>
      <c r="H956" s="7"/>
      <c r="I956" s="50"/>
      <c r="J956" s="49"/>
      <c r="K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51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</row>
    <row r="957" spans="1:110" x14ac:dyDescent="0.25">
      <c r="A957" s="7"/>
      <c r="B957" s="7"/>
      <c r="C957" s="48"/>
      <c r="D957" s="7"/>
      <c r="E957" s="7"/>
      <c r="F957" s="7"/>
      <c r="G957" s="49"/>
      <c r="H957" s="7"/>
      <c r="I957" s="50"/>
      <c r="J957" s="49"/>
      <c r="K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51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</row>
    <row r="958" spans="1:110" x14ac:dyDescent="0.25">
      <c r="A958" s="7"/>
      <c r="B958" s="7"/>
      <c r="C958" s="48"/>
      <c r="D958" s="7"/>
      <c r="E958" s="7"/>
      <c r="F958" s="7"/>
      <c r="G958" s="49"/>
      <c r="H958" s="7"/>
      <c r="I958" s="50"/>
      <c r="J958" s="49"/>
      <c r="K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51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</row>
    <row r="959" spans="1:110" x14ac:dyDescent="0.25">
      <c r="A959" s="7"/>
      <c r="B959" s="7"/>
      <c r="C959" s="48"/>
      <c r="D959" s="7"/>
      <c r="E959" s="7"/>
      <c r="F959" s="7"/>
      <c r="G959" s="49"/>
      <c r="H959" s="7"/>
      <c r="I959" s="50"/>
      <c r="J959" s="49"/>
      <c r="K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51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</row>
    <row r="960" spans="1:110" x14ac:dyDescent="0.25">
      <c r="A960" s="7"/>
      <c r="B960" s="7"/>
      <c r="C960" s="48"/>
      <c r="D960" s="7"/>
      <c r="E960" s="7"/>
      <c r="F960" s="7"/>
      <c r="G960" s="49"/>
      <c r="H960" s="7"/>
      <c r="I960" s="50"/>
      <c r="J960" s="49"/>
      <c r="K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51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</row>
    <row r="961" spans="1:110" x14ac:dyDescent="0.25">
      <c r="A961" s="7"/>
      <c r="B961" s="7"/>
      <c r="C961" s="48"/>
      <c r="D961" s="7"/>
      <c r="E961" s="7"/>
      <c r="F961" s="7"/>
      <c r="G961" s="49"/>
      <c r="H961" s="7"/>
      <c r="I961" s="50"/>
      <c r="J961" s="49"/>
      <c r="K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51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</row>
    <row r="962" spans="1:110" x14ac:dyDescent="0.25">
      <c r="A962" s="7"/>
      <c r="B962" s="7"/>
      <c r="C962" s="48"/>
      <c r="D962" s="7"/>
      <c r="E962" s="7"/>
      <c r="F962" s="7"/>
      <c r="G962" s="49"/>
      <c r="H962" s="7"/>
      <c r="I962" s="50"/>
      <c r="J962" s="49"/>
      <c r="K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51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</row>
    <row r="963" spans="1:110" x14ac:dyDescent="0.25">
      <c r="A963" s="7"/>
      <c r="B963" s="7"/>
      <c r="C963" s="48"/>
      <c r="D963" s="7"/>
      <c r="E963" s="7"/>
      <c r="F963" s="7"/>
      <c r="G963" s="49"/>
      <c r="H963" s="7"/>
      <c r="I963" s="50"/>
      <c r="J963" s="49"/>
      <c r="K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51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</row>
    <row r="964" spans="1:110" x14ac:dyDescent="0.25">
      <c r="A964" s="7"/>
      <c r="B964" s="7"/>
      <c r="C964" s="48"/>
      <c r="D964" s="7"/>
      <c r="E964" s="7"/>
      <c r="F964" s="7"/>
      <c r="G964" s="49"/>
      <c r="H964" s="7"/>
      <c r="I964" s="50"/>
      <c r="J964" s="49"/>
      <c r="K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51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</row>
    <row r="965" spans="1:110" x14ac:dyDescent="0.25">
      <c r="A965" s="7"/>
      <c r="B965" s="7"/>
      <c r="C965" s="48"/>
      <c r="D965" s="7"/>
      <c r="E965" s="7"/>
      <c r="F965" s="7"/>
      <c r="G965" s="49"/>
      <c r="H965" s="7"/>
      <c r="I965" s="50"/>
      <c r="J965" s="49"/>
      <c r="K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51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</row>
    <row r="966" spans="1:110" x14ac:dyDescent="0.25">
      <c r="A966" s="7"/>
      <c r="B966" s="7"/>
      <c r="C966" s="48"/>
      <c r="D966" s="7"/>
      <c r="E966" s="7"/>
      <c r="F966" s="7"/>
      <c r="G966" s="49"/>
      <c r="H966" s="7"/>
      <c r="I966" s="50"/>
      <c r="J966" s="49"/>
      <c r="K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51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</row>
    <row r="967" spans="1:110" x14ac:dyDescent="0.25">
      <c r="A967" s="7"/>
      <c r="B967" s="7"/>
      <c r="C967" s="48"/>
      <c r="D967" s="7"/>
      <c r="E967" s="7"/>
      <c r="F967" s="7"/>
      <c r="G967" s="49"/>
      <c r="H967" s="7"/>
      <c r="I967" s="50"/>
      <c r="J967" s="49"/>
      <c r="K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51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</row>
    <row r="968" spans="1:110" x14ac:dyDescent="0.25">
      <c r="A968" s="7"/>
      <c r="B968" s="7"/>
      <c r="C968" s="48"/>
      <c r="D968" s="7"/>
      <c r="E968" s="7"/>
      <c r="F968" s="7"/>
      <c r="G968" s="49"/>
      <c r="H968" s="7"/>
      <c r="I968" s="50"/>
      <c r="J968" s="49"/>
      <c r="K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51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</row>
    <row r="969" spans="1:110" x14ac:dyDescent="0.25">
      <c r="A969" s="7"/>
      <c r="B969" s="7"/>
      <c r="C969" s="48"/>
      <c r="D969" s="7"/>
      <c r="E969" s="7"/>
      <c r="F969" s="7"/>
      <c r="G969" s="49"/>
      <c r="H969" s="7"/>
      <c r="I969" s="50"/>
      <c r="J969" s="49"/>
      <c r="K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51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</row>
    <row r="970" spans="1:110" x14ac:dyDescent="0.25">
      <c r="A970" s="7"/>
      <c r="B970" s="7"/>
      <c r="C970" s="48"/>
      <c r="D970" s="7"/>
      <c r="E970" s="7"/>
      <c r="F970" s="7"/>
      <c r="G970" s="49"/>
      <c r="H970" s="7"/>
      <c r="I970" s="50"/>
      <c r="J970" s="49"/>
      <c r="K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51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</row>
    <row r="971" spans="1:110" x14ac:dyDescent="0.25">
      <c r="A971" s="7"/>
      <c r="B971" s="7"/>
      <c r="C971" s="48"/>
      <c r="D971" s="7"/>
      <c r="E971" s="7"/>
      <c r="F971" s="7"/>
      <c r="G971" s="49"/>
      <c r="H971" s="7"/>
      <c r="I971" s="50"/>
      <c r="J971" s="49"/>
      <c r="K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51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</row>
    <row r="972" spans="1:110" x14ac:dyDescent="0.25">
      <c r="A972" s="7"/>
      <c r="B972" s="7"/>
      <c r="C972" s="48"/>
      <c r="D972" s="7"/>
      <c r="E972" s="7"/>
      <c r="F972" s="7"/>
      <c r="G972" s="49"/>
      <c r="H972" s="7"/>
      <c r="I972" s="50"/>
      <c r="J972" s="49"/>
      <c r="K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51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</row>
    <row r="973" spans="1:110" x14ac:dyDescent="0.25">
      <c r="A973" s="7"/>
      <c r="B973" s="7"/>
      <c r="C973" s="48"/>
      <c r="D973" s="7"/>
      <c r="E973" s="7"/>
      <c r="F973" s="7"/>
      <c r="G973" s="49"/>
      <c r="H973" s="7"/>
      <c r="I973" s="50"/>
      <c r="J973" s="49"/>
      <c r="K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51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</row>
    <row r="974" spans="1:110" x14ac:dyDescent="0.25">
      <c r="A974" s="7"/>
      <c r="B974" s="7"/>
      <c r="C974" s="48"/>
      <c r="D974" s="7"/>
      <c r="E974" s="7"/>
      <c r="F974" s="7"/>
      <c r="G974" s="49"/>
      <c r="H974" s="7"/>
      <c r="I974" s="50"/>
      <c r="J974" s="49"/>
      <c r="K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51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</row>
    <row r="975" spans="1:110" x14ac:dyDescent="0.25">
      <c r="A975" s="7"/>
      <c r="B975" s="7"/>
      <c r="C975" s="48"/>
      <c r="D975" s="7"/>
      <c r="E975" s="7"/>
      <c r="F975" s="7"/>
      <c r="G975" s="49"/>
      <c r="H975" s="7"/>
      <c r="I975" s="50"/>
      <c r="J975" s="49"/>
      <c r="K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51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</row>
    <row r="976" spans="1:110" x14ac:dyDescent="0.25">
      <c r="A976" s="7"/>
      <c r="B976" s="7"/>
      <c r="C976" s="48"/>
      <c r="D976" s="7"/>
      <c r="E976" s="7"/>
      <c r="F976" s="7"/>
      <c r="G976" s="49"/>
      <c r="H976" s="7"/>
      <c r="I976" s="50"/>
      <c r="J976" s="49"/>
      <c r="K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51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</row>
    <row r="977" spans="1:110" x14ac:dyDescent="0.25">
      <c r="A977" s="7"/>
      <c r="B977" s="7"/>
      <c r="C977" s="48"/>
      <c r="D977" s="7"/>
      <c r="E977" s="7"/>
      <c r="F977" s="7"/>
      <c r="G977" s="49"/>
      <c r="H977" s="7"/>
      <c r="I977" s="50"/>
      <c r="J977" s="49"/>
      <c r="K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51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</row>
    <row r="978" spans="1:110" x14ac:dyDescent="0.25">
      <c r="A978" s="7"/>
      <c r="B978" s="7"/>
      <c r="C978" s="48"/>
      <c r="D978" s="7"/>
      <c r="E978" s="7"/>
      <c r="F978" s="7"/>
      <c r="G978" s="49"/>
      <c r="H978" s="7"/>
      <c r="I978" s="50"/>
      <c r="J978" s="49"/>
      <c r="K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51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</row>
    <row r="979" spans="1:110" x14ac:dyDescent="0.25">
      <c r="A979" s="7"/>
      <c r="B979" s="7"/>
      <c r="C979" s="48"/>
      <c r="D979" s="7"/>
      <c r="E979" s="7"/>
      <c r="F979" s="7"/>
      <c r="G979" s="49"/>
      <c r="H979" s="7"/>
      <c r="I979" s="50"/>
      <c r="J979" s="49"/>
      <c r="K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51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</row>
    <row r="980" spans="1:110" x14ac:dyDescent="0.25">
      <c r="A980" s="7"/>
      <c r="B980" s="7"/>
      <c r="C980" s="48"/>
      <c r="D980" s="7"/>
      <c r="E980" s="7"/>
      <c r="F980" s="7"/>
      <c r="G980" s="49"/>
      <c r="H980" s="7"/>
      <c r="I980" s="50"/>
      <c r="J980" s="49"/>
      <c r="K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51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</row>
    <row r="981" spans="1:110" x14ac:dyDescent="0.25">
      <c r="A981" s="7"/>
      <c r="B981" s="7"/>
      <c r="C981" s="48"/>
      <c r="D981" s="7"/>
      <c r="E981" s="7"/>
      <c r="F981" s="7"/>
      <c r="G981" s="49"/>
      <c r="H981" s="7"/>
      <c r="I981" s="50"/>
      <c r="J981" s="49"/>
      <c r="K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51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</row>
    <row r="982" spans="1:110" x14ac:dyDescent="0.25">
      <c r="A982" s="7"/>
      <c r="B982" s="7"/>
      <c r="C982" s="48"/>
      <c r="D982" s="7"/>
      <c r="E982" s="7"/>
      <c r="F982" s="7"/>
      <c r="G982" s="49"/>
      <c r="H982" s="7"/>
      <c r="I982" s="50"/>
      <c r="J982" s="49"/>
      <c r="K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51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</row>
    <row r="983" spans="1:110" x14ac:dyDescent="0.25">
      <c r="A983" s="7"/>
      <c r="B983" s="7"/>
      <c r="C983" s="48"/>
      <c r="D983" s="7"/>
      <c r="E983" s="7"/>
      <c r="F983" s="7"/>
      <c r="G983" s="49"/>
      <c r="H983" s="7"/>
      <c r="I983" s="50"/>
      <c r="J983" s="49"/>
      <c r="K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51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</row>
    <row r="984" spans="1:110" x14ac:dyDescent="0.25">
      <c r="A984" s="7"/>
      <c r="B984" s="7"/>
      <c r="C984" s="48"/>
      <c r="D984" s="7"/>
      <c r="E984" s="7"/>
      <c r="F984" s="7"/>
      <c r="G984" s="49"/>
      <c r="H984" s="7"/>
      <c r="I984" s="50"/>
      <c r="J984" s="49"/>
      <c r="K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51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</row>
    <row r="985" spans="1:110" x14ac:dyDescent="0.25">
      <c r="A985" s="7"/>
      <c r="B985" s="7"/>
      <c r="C985" s="48"/>
      <c r="D985" s="7"/>
      <c r="E985" s="7"/>
      <c r="F985" s="7"/>
      <c r="G985" s="49"/>
      <c r="H985" s="7"/>
      <c r="I985" s="50"/>
      <c r="J985" s="49"/>
      <c r="K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51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</row>
    <row r="986" spans="1:110" x14ac:dyDescent="0.25">
      <c r="A986" s="7"/>
      <c r="B986" s="7"/>
      <c r="C986" s="48"/>
      <c r="D986" s="7"/>
      <c r="E986" s="7"/>
      <c r="F986" s="7"/>
      <c r="G986" s="49"/>
      <c r="H986" s="7"/>
      <c r="I986" s="50"/>
      <c r="J986" s="49"/>
      <c r="K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51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</row>
    <row r="987" spans="1:110" x14ac:dyDescent="0.25">
      <c r="A987" s="7"/>
      <c r="B987" s="7"/>
      <c r="C987" s="48"/>
      <c r="D987" s="7"/>
      <c r="E987" s="7"/>
      <c r="F987" s="7"/>
      <c r="G987" s="49"/>
      <c r="H987" s="7"/>
      <c r="I987" s="50"/>
      <c r="J987" s="49"/>
      <c r="K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51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</row>
    <row r="988" spans="1:110" x14ac:dyDescent="0.25">
      <c r="A988" s="7"/>
      <c r="B988" s="7"/>
      <c r="C988" s="48"/>
      <c r="D988" s="7"/>
      <c r="E988" s="7"/>
      <c r="F988" s="7"/>
      <c r="G988" s="49"/>
      <c r="H988" s="7"/>
      <c r="I988" s="50"/>
      <c r="J988" s="49"/>
      <c r="K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51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</row>
    <row r="989" spans="1:110" x14ac:dyDescent="0.25">
      <c r="A989" s="7"/>
      <c r="B989" s="7"/>
      <c r="C989" s="48"/>
      <c r="D989" s="7"/>
      <c r="E989" s="7"/>
      <c r="F989" s="7"/>
      <c r="G989" s="49"/>
      <c r="H989" s="7"/>
      <c r="I989" s="50"/>
      <c r="J989" s="49"/>
      <c r="K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51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</row>
    <row r="990" spans="1:110" x14ac:dyDescent="0.25">
      <c r="A990" s="7"/>
      <c r="B990" s="7"/>
      <c r="C990" s="48"/>
      <c r="D990" s="7"/>
      <c r="E990" s="7"/>
      <c r="F990" s="7"/>
      <c r="G990" s="49"/>
      <c r="H990" s="7"/>
      <c r="I990" s="50"/>
      <c r="J990" s="49"/>
      <c r="K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51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</row>
    <row r="991" spans="1:110" x14ac:dyDescent="0.25">
      <c r="A991" s="7"/>
      <c r="B991" s="7"/>
      <c r="C991" s="48"/>
      <c r="D991" s="7"/>
      <c r="E991" s="7"/>
      <c r="F991" s="7"/>
      <c r="G991" s="49"/>
      <c r="H991" s="7"/>
      <c r="I991" s="50"/>
      <c r="J991" s="49"/>
      <c r="K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51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</row>
    <row r="992" spans="1:110" x14ac:dyDescent="0.25">
      <c r="A992" s="7"/>
      <c r="B992" s="7"/>
      <c r="C992" s="48"/>
      <c r="D992" s="7"/>
      <c r="E992" s="7"/>
      <c r="F992" s="7"/>
      <c r="G992" s="49"/>
      <c r="H992" s="7"/>
      <c r="I992" s="50"/>
      <c r="J992" s="49"/>
      <c r="K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51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</row>
    <row r="993" spans="1:110" x14ac:dyDescent="0.25">
      <c r="A993" s="7"/>
      <c r="B993" s="7"/>
      <c r="C993" s="48"/>
      <c r="D993" s="7"/>
      <c r="E993" s="7"/>
      <c r="F993" s="7"/>
      <c r="G993" s="49"/>
      <c r="H993" s="7"/>
      <c r="I993" s="50"/>
      <c r="J993" s="49"/>
      <c r="K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51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</row>
    <row r="994" spans="1:110" x14ac:dyDescent="0.25">
      <c r="A994" s="7"/>
      <c r="B994" s="7"/>
      <c r="C994" s="48"/>
      <c r="D994" s="7"/>
      <c r="E994" s="7"/>
      <c r="F994" s="7"/>
      <c r="G994" s="49"/>
      <c r="H994" s="7"/>
      <c r="I994" s="50"/>
      <c r="J994" s="49"/>
      <c r="K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51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</row>
    <row r="995" spans="1:110" x14ac:dyDescent="0.25">
      <c r="A995" s="7"/>
      <c r="B995" s="7"/>
      <c r="C995" s="48"/>
      <c r="D995" s="7"/>
      <c r="E995" s="7"/>
      <c r="F995" s="7"/>
      <c r="G995" s="49"/>
      <c r="H995" s="7"/>
      <c r="I995" s="50"/>
      <c r="J995" s="49"/>
      <c r="K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51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</row>
    <row r="996" spans="1:110" x14ac:dyDescent="0.25">
      <c r="A996" s="7"/>
      <c r="B996" s="7"/>
      <c r="C996" s="48"/>
      <c r="D996" s="7"/>
      <c r="E996" s="7"/>
      <c r="F996" s="7"/>
      <c r="G996" s="49"/>
      <c r="H996" s="7"/>
      <c r="I996" s="50"/>
      <c r="J996" s="49"/>
      <c r="K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51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</row>
    <row r="997" spans="1:110" x14ac:dyDescent="0.25">
      <c r="A997" s="7"/>
      <c r="B997" s="7"/>
      <c r="C997" s="48"/>
      <c r="D997" s="7"/>
      <c r="E997" s="7"/>
      <c r="F997" s="7"/>
      <c r="G997" s="49"/>
      <c r="H997" s="7"/>
      <c r="I997" s="50"/>
      <c r="J997" s="49"/>
      <c r="K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51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</row>
    <row r="998" spans="1:110" x14ac:dyDescent="0.25">
      <c r="A998" s="7"/>
      <c r="B998" s="7"/>
      <c r="C998" s="48"/>
      <c r="D998" s="7"/>
      <c r="E998" s="7"/>
      <c r="F998" s="7"/>
      <c r="G998" s="49"/>
      <c r="H998" s="7"/>
      <c r="I998" s="50"/>
      <c r="J998" s="49"/>
      <c r="K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51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</row>
    <row r="999" spans="1:110" x14ac:dyDescent="0.25">
      <c r="A999" s="7"/>
      <c r="B999" s="7"/>
      <c r="C999" s="48"/>
      <c r="D999" s="7"/>
      <c r="E999" s="7"/>
      <c r="F999" s="7"/>
      <c r="G999" s="49"/>
      <c r="H999" s="7"/>
      <c r="I999" s="50"/>
      <c r="J999" s="49"/>
      <c r="K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51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</row>
    <row r="1000" spans="1:110" x14ac:dyDescent="0.25">
      <c r="A1000" s="7"/>
      <c r="B1000" s="7"/>
      <c r="C1000" s="48"/>
      <c r="D1000" s="7"/>
      <c r="E1000" s="7"/>
      <c r="F1000" s="7"/>
      <c r="G1000" s="49"/>
      <c r="H1000" s="7"/>
      <c r="I1000" s="50"/>
      <c r="J1000" s="49"/>
      <c r="K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51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</row>
    <row r="1001" spans="1:110" x14ac:dyDescent="0.25">
      <c r="A1001" s="7"/>
      <c r="B1001" s="7"/>
      <c r="C1001" s="48"/>
      <c r="D1001" s="7"/>
      <c r="E1001" s="7"/>
      <c r="F1001" s="7"/>
      <c r="G1001" s="49"/>
      <c r="H1001" s="7"/>
      <c r="I1001" s="50"/>
      <c r="J1001" s="49"/>
      <c r="K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51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</row>
    <row r="1002" spans="1:110" x14ac:dyDescent="0.25">
      <c r="A1002" s="7"/>
      <c r="B1002" s="7"/>
      <c r="C1002" s="48"/>
      <c r="D1002" s="7"/>
      <c r="E1002" s="7"/>
      <c r="F1002" s="7"/>
      <c r="G1002" s="49"/>
      <c r="H1002" s="7"/>
      <c r="I1002" s="50"/>
      <c r="J1002" s="49"/>
      <c r="K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51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</row>
    <row r="1003" spans="1:110" x14ac:dyDescent="0.25">
      <c r="A1003" s="7"/>
      <c r="B1003" s="7"/>
      <c r="C1003" s="48"/>
      <c r="D1003" s="7"/>
      <c r="E1003" s="7"/>
      <c r="F1003" s="7"/>
      <c r="G1003" s="49"/>
      <c r="H1003" s="7"/>
      <c r="I1003" s="50"/>
      <c r="J1003" s="49"/>
      <c r="K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51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</row>
    <row r="1004" spans="1:110" x14ac:dyDescent="0.25">
      <c r="A1004" s="7"/>
      <c r="B1004" s="7"/>
      <c r="C1004" s="48"/>
      <c r="D1004" s="7"/>
      <c r="E1004" s="7"/>
      <c r="F1004" s="7"/>
      <c r="G1004" s="49"/>
      <c r="H1004" s="7"/>
      <c r="I1004" s="50"/>
      <c r="J1004" s="49"/>
      <c r="K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51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</row>
    <row r="1005" spans="1:110" x14ac:dyDescent="0.25">
      <c r="A1005" s="7"/>
      <c r="B1005" s="7"/>
      <c r="C1005" s="48"/>
      <c r="D1005" s="7"/>
      <c r="E1005" s="7"/>
      <c r="F1005" s="7"/>
      <c r="G1005" s="49"/>
      <c r="H1005" s="7"/>
      <c r="I1005" s="50"/>
      <c r="J1005" s="49"/>
      <c r="K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51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</row>
    <row r="1006" spans="1:110" x14ac:dyDescent="0.25">
      <c r="A1006" s="7"/>
      <c r="B1006" s="7"/>
      <c r="C1006" s="48"/>
      <c r="D1006" s="7"/>
      <c r="E1006" s="7"/>
      <c r="F1006" s="7"/>
      <c r="G1006" s="49"/>
      <c r="H1006" s="7"/>
      <c r="I1006" s="50"/>
      <c r="J1006" s="49"/>
      <c r="K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51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</row>
    <row r="1007" spans="1:110" x14ac:dyDescent="0.25">
      <c r="A1007" s="7"/>
      <c r="B1007" s="7"/>
      <c r="C1007" s="48"/>
      <c r="D1007" s="7"/>
      <c r="E1007" s="7"/>
      <c r="F1007" s="7"/>
      <c r="G1007" s="49"/>
      <c r="H1007" s="7"/>
      <c r="I1007" s="50"/>
      <c r="J1007" s="49"/>
      <c r="K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51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</row>
    <row r="1008" spans="1:110" x14ac:dyDescent="0.25">
      <c r="A1008" s="7"/>
      <c r="B1008" s="7"/>
      <c r="C1008" s="48"/>
      <c r="D1008" s="7"/>
      <c r="E1008" s="7"/>
      <c r="F1008" s="7"/>
      <c r="G1008" s="49"/>
      <c r="H1008" s="7"/>
      <c r="I1008" s="50"/>
      <c r="J1008" s="49"/>
      <c r="K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51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</row>
    <row r="1009" spans="1:110" x14ac:dyDescent="0.25">
      <c r="A1009" s="7"/>
      <c r="B1009" s="7"/>
      <c r="C1009" s="48"/>
      <c r="D1009" s="7"/>
      <c r="E1009" s="7"/>
      <c r="F1009" s="7"/>
      <c r="G1009" s="49"/>
      <c r="H1009" s="7"/>
      <c r="I1009" s="50"/>
      <c r="J1009" s="49"/>
      <c r="K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51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</row>
    <row r="1010" spans="1:110" x14ac:dyDescent="0.25">
      <c r="A1010" s="7"/>
      <c r="B1010" s="7"/>
      <c r="C1010" s="48"/>
      <c r="D1010" s="7"/>
      <c r="E1010" s="7"/>
      <c r="F1010" s="7"/>
      <c r="G1010" s="49"/>
      <c r="H1010" s="7"/>
      <c r="I1010" s="50"/>
      <c r="J1010" s="49"/>
      <c r="K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51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</row>
    <row r="1011" spans="1:110" x14ac:dyDescent="0.25">
      <c r="A1011" s="7"/>
      <c r="B1011" s="7"/>
      <c r="C1011" s="48"/>
      <c r="D1011" s="7"/>
      <c r="E1011" s="7"/>
      <c r="F1011" s="7"/>
      <c r="G1011" s="49"/>
      <c r="H1011" s="7"/>
      <c r="I1011" s="50"/>
      <c r="J1011" s="49"/>
      <c r="K1011" s="49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51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</row>
    <row r="1012" spans="1:110" x14ac:dyDescent="0.25">
      <c r="A1012" s="7"/>
      <c r="B1012" s="7"/>
      <c r="C1012" s="48"/>
      <c r="D1012" s="7"/>
      <c r="E1012" s="7"/>
      <c r="F1012" s="7"/>
      <c r="G1012" s="49"/>
      <c r="H1012" s="7"/>
      <c r="I1012" s="50"/>
      <c r="J1012" s="49"/>
      <c r="K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51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</row>
    <row r="1013" spans="1:110" x14ac:dyDescent="0.25">
      <c r="A1013" s="7"/>
      <c r="B1013" s="7"/>
      <c r="C1013" s="48"/>
      <c r="D1013" s="7"/>
      <c r="E1013" s="7"/>
      <c r="F1013" s="7"/>
      <c r="G1013" s="49"/>
      <c r="H1013" s="7"/>
      <c r="I1013" s="50"/>
      <c r="J1013" s="49"/>
      <c r="K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51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</row>
    <row r="1014" spans="1:110" x14ac:dyDescent="0.25">
      <c r="A1014" s="7"/>
      <c r="B1014" s="7"/>
      <c r="C1014" s="48"/>
      <c r="D1014" s="7"/>
      <c r="E1014" s="7"/>
      <c r="F1014" s="7"/>
      <c r="G1014" s="49"/>
      <c r="H1014" s="7"/>
      <c r="I1014" s="50"/>
      <c r="J1014" s="49"/>
      <c r="K1014" s="49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51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</row>
    <row r="1015" spans="1:110" x14ac:dyDescent="0.25">
      <c r="A1015" s="7"/>
      <c r="B1015" s="7"/>
      <c r="C1015" s="48"/>
      <c r="D1015" s="7"/>
      <c r="E1015" s="7"/>
      <c r="F1015" s="7"/>
      <c r="G1015" s="49"/>
      <c r="H1015" s="7"/>
      <c r="I1015" s="50"/>
      <c r="J1015" s="49"/>
      <c r="K1015" s="49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51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</row>
    <row r="1016" spans="1:110" x14ac:dyDescent="0.25">
      <c r="A1016" s="7"/>
      <c r="B1016" s="7"/>
      <c r="C1016" s="48"/>
      <c r="D1016" s="7"/>
      <c r="E1016" s="7"/>
      <c r="F1016" s="7"/>
      <c r="G1016" s="49"/>
      <c r="H1016" s="7"/>
      <c r="I1016" s="50"/>
      <c r="J1016" s="49"/>
      <c r="K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51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</row>
    <row r="1017" spans="1:110" x14ac:dyDescent="0.25">
      <c r="A1017" s="7"/>
      <c r="B1017" s="7"/>
      <c r="C1017" s="48"/>
      <c r="D1017" s="7"/>
      <c r="E1017" s="7"/>
      <c r="F1017" s="7"/>
      <c r="G1017" s="49"/>
      <c r="H1017" s="7"/>
      <c r="I1017" s="50"/>
      <c r="J1017" s="49"/>
      <c r="K1017" s="49"/>
      <c r="M1017" s="49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51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</row>
    <row r="1018" spans="1:110" x14ac:dyDescent="0.25">
      <c r="A1018" s="7"/>
      <c r="B1018" s="7"/>
      <c r="C1018" s="48"/>
      <c r="D1018" s="7"/>
      <c r="E1018" s="7"/>
      <c r="F1018" s="7"/>
      <c r="G1018" s="49"/>
      <c r="H1018" s="7"/>
      <c r="I1018" s="50"/>
      <c r="J1018" s="49"/>
      <c r="K1018" s="49"/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51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</row>
    <row r="1019" spans="1:110" x14ac:dyDescent="0.25">
      <c r="A1019" s="7"/>
      <c r="B1019" s="7"/>
      <c r="C1019" s="48"/>
      <c r="D1019" s="7"/>
      <c r="E1019" s="7"/>
      <c r="F1019" s="7"/>
      <c r="G1019" s="49"/>
      <c r="H1019" s="7"/>
      <c r="I1019" s="50"/>
      <c r="J1019" s="49"/>
      <c r="K1019" s="49"/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51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</row>
    <row r="1020" spans="1:110" x14ac:dyDescent="0.25">
      <c r="A1020" s="7"/>
      <c r="B1020" s="7"/>
      <c r="C1020" s="48"/>
      <c r="D1020" s="7"/>
      <c r="E1020" s="7"/>
      <c r="F1020" s="7"/>
      <c r="G1020" s="49"/>
      <c r="H1020" s="7"/>
      <c r="I1020" s="50"/>
      <c r="J1020" s="49"/>
      <c r="K1020" s="49"/>
      <c r="M1020" s="49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51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</row>
    <row r="1021" spans="1:110" x14ac:dyDescent="0.25">
      <c r="A1021" s="7"/>
      <c r="B1021" s="7"/>
      <c r="C1021" s="48"/>
      <c r="D1021" s="7"/>
      <c r="E1021" s="7"/>
      <c r="F1021" s="7"/>
      <c r="G1021" s="49"/>
      <c r="H1021" s="7"/>
      <c r="I1021" s="50"/>
      <c r="J1021" s="49"/>
      <c r="K1021" s="49"/>
      <c r="M1021" s="49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51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</row>
    <row r="1022" spans="1:110" x14ac:dyDescent="0.25">
      <c r="A1022" s="7"/>
      <c r="B1022" s="7"/>
      <c r="C1022" s="48"/>
      <c r="D1022" s="7"/>
      <c r="E1022" s="7"/>
      <c r="F1022" s="7"/>
      <c r="G1022" s="49"/>
      <c r="H1022" s="7"/>
      <c r="I1022" s="50"/>
      <c r="J1022" s="49"/>
      <c r="K1022" s="49"/>
      <c r="M1022" s="49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51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</row>
    <row r="1023" spans="1:110" x14ac:dyDescent="0.25">
      <c r="A1023" s="7"/>
      <c r="B1023" s="7"/>
      <c r="C1023" s="48"/>
      <c r="D1023" s="7"/>
      <c r="E1023" s="7"/>
      <c r="F1023" s="7"/>
      <c r="G1023" s="49"/>
      <c r="H1023" s="7"/>
      <c r="I1023" s="50"/>
      <c r="J1023" s="49"/>
      <c r="K1023" s="49"/>
      <c r="M1023" s="49"/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51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</row>
    <row r="1024" spans="1:110" x14ac:dyDescent="0.25">
      <c r="A1024" s="7"/>
      <c r="B1024" s="7"/>
      <c r="C1024" s="48"/>
      <c r="D1024" s="7"/>
      <c r="E1024" s="7"/>
      <c r="F1024" s="7"/>
      <c r="G1024" s="49"/>
      <c r="H1024" s="7"/>
      <c r="I1024" s="50"/>
      <c r="J1024" s="49"/>
      <c r="K1024" s="49"/>
      <c r="M1024" s="49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51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</row>
    <row r="1025" spans="1:110" x14ac:dyDescent="0.25">
      <c r="A1025" s="7"/>
      <c r="B1025" s="7"/>
      <c r="C1025" s="48"/>
      <c r="D1025" s="7"/>
      <c r="E1025" s="7"/>
      <c r="F1025" s="7"/>
      <c r="G1025" s="49"/>
      <c r="H1025" s="7"/>
      <c r="I1025" s="50"/>
      <c r="J1025" s="49"/>
      <c r="K1025" s="49"/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51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</row>
    <row r="1026" spans="1:110" x14ac:dyDescent="0.25">
      <c r="A1026" s="7"/>
      <c r="B1026" s="7"/>
      <c r="C1026" s="48"/>
      <c r="D1026" s="7"/>
      <c r="E1026" s="7"/>
      <c r="F1026" s="7"/>
      <c r="G1026" s="49"/>
      <c r="H1026" s="7"/>
      <c r="I1026" s="50"/>
      <c r="J1026" s="49"/>
      <c r="K1026" s="49"/>
      <c r="M1026" s="49"/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51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</row>
    <row r="1027" spans="1:110" x14ac:dyDescent="0.25">
      <c r="A1027" s="7"/>
      <c r="B1027" s="7"/>
      <c r="C1027" s="48"/>
      <c r="D1027" s="7"/>
      <c r="E1027" s="7"/>
      <c r="F1027" s="7"/>
      <c r="G1027" s="49"/>
      <c r="H1027" s="7"/>
      <c r="I1027" s="50"/>
      <c r="J1027" s="49"/>
      <c r="K1027" s="49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51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</row>
    <row r="1028" spans="1:110" x14ac:dyDescent="0.25">
      <c r="A1028" s="7"/>
      <c r="B1028" s="7"/>
      <c r="C1028" s="48"/>
      <c r="D1028" s="7"/>
      <c r="E1028" s="7"/>
      <c r="F1028" s="7"/>
      <c r="G1028" s="49"/>
      <c r="H1028" s="7"/>
      <c r="I1028" s="50"/>
      <c r="J1028" s="49"/>
      <c r="K1028" s="49"/>
      <c r="M1028" s="49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51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</row>
    <row r="1029" spans="1:110" x14ac:dyDescent="0.25">
      <c r="A1029" s="7"/>
      <c r="B1029" s="7"/>
      <c r="C1029" s="48"/>
      <c r="D1029" s="7"/>
      <c r="E1029" s="7"/>
      <c r="F1029" s="7"/>
      <c r="G1029" s="49"/>
      <c r="H1029" s="7"/>
      <c r="I1029" s="50"/>
      <c r="J1029" s="49"/>
      <c r="K1029" s="49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51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</row>
    <row r="1030" spans="1:110" x14ac:dyDescent="0.25">
      <c r="A1030" s="7"/>
      <c r="B1030" s="7"/>
      <c r="C1030" s="48"/>
      <c r="D1030" s="7"/>
      <c r="E1030" s="7"/>
      <c r="F1030" s="7"/>
      <c r="G1030" s="49"/>
      <c r="H1030" s="7"/>
      <c r="I1030" s="50"/>
      <c r="J1030" s="49"/>
      <c r="K1030" s="49"/>
      <c r="M1030" s="49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51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</row>
    <row r="1031" spans="1:110" x14ac:dyDescent="0.25">
      <c r="A1031" s="7"/>
      <c r="B1031" s="7"/>
      <c r="C1031" s="48"/>
      <c r="D1031" s="7"/>
      <c r="E1031" s="7"/>
      <c r="F1031" s="7"/>
      <c r="G1031" s="49"/>
      <c r="H1031" s="7"/>
      <c r="I1031" s="50"/>
      <c r="J1031" s="49"/>
      <c r="K1031" s="49"/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51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</row>
    <row r="1032" spans="1:110" x14ac:dyDescent="0.25">
      <c r="A1032" s="7"/>
      <c r="B1032" s="7"/>
      <c r="C1032" s="48"/>
      <c r="D1032" s="7"/>
      <c r="E1032" s="7"/>
      <c r="F1032" s="7"/>
      <c r="G1032" s="49"/>
      <c r="H1032" s="7"/>
      <c r="I1032" s="50"/>
      <c r="J1032" s="49"/>
      <c r="K1032" s="49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51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</row>
    <row r="1033" spans="1:110" x14ac:dyDescent="0.25">
      <c r="A1033" s="7"/>
      <c r="B1033" s="7"/>
      <c r="C1033" s="48"/>
      <c r="D1033" s="7"/>
      <c r="E1033" s="7"/>
      <c r="F1033" s="7"/>
      <c r="G1033" s="49"/>
      <c r="H1033" s="7"/>
      <c r="I1033" s="50"/>
      <c r="J1033" s="49"/>
      <c r="K1033" s="49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51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</row>
    <row r="1034" spans="1:110" x14ac:dyDescent="0.25">
      <c r="A1034" s="7"/>
      <c r="B1034" s="7"/>
      <c r="C1034" s="48"/>
      <c r="D1034" s="7"/>
      <c r="E1034" s="7"/>
      <c r="F1034" s="7"/>
      <c r="G1034" s="49"/>
      <c r="H1034" s="7"/>
      <c r="I1034" s="50"/>
      <c r="J1034" s="49"/>
      <c r="K1034" s="49"/>
      <c r="M1034" s="49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51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</row>
    <row r="1035" spans="1:110" x14ac:dyDescent="0.25">
      <c r="A1035" s="7"/>
      <c r="B1035" s="7"/>
      <c r="C1035" s="48"/>
      <c r="D1035" s="7"/>
      <c r="E1035" s="7"/>
      <c r="F1035" s="7"/>
      <c r="G1035" s="49"/>
      <c r="H1035" s="7"/>
      <c r="I1035" s="50"/>
      <c r="J1035" s="49"/>
      <c r="K1035" s="49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51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</row>
    <row r="1036" spans="1:110" x14ac:dyDescent="0.25">
      <c r="A1036" s="7"/>
      <c r="B1036" s="7"/>
      <c r="C1036" s="48"/>
      <c r="D1036" s="7"/>
      <c r="E1036" s="7"/>
      <c r="F1036" s="7"/>
      <c r="G1036" s="49"/>
      <c r="H1036" s="7"/>
      <c r="I1036" s="50"/>
      <c r="J1036" s="49"/>
      <c r="K1036" s="49"/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51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</row>
    <row r="1037" spans="1:110" x14ac:dyDescent="0.25">
      <c r="A1037" s="7"/>
      <c r="B1037" s="7"/>
      <c r="C1037" s="48"/>
      <c r="D1037" s="7"/>
      <c r="E1037" s="7"/>
      <c r="F1037" s="7"/>
      <c r="G1037" s="49"/>
      <c r="H1037" s="7"/>
      <c r="I1037" s="50"/>
      <c r="J1037" s="49"/>
      <c r="K1037" s="49"/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51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</row>
    <row r="1038" spans="1:110" x14ac:dyDescent="0.25">
      <c r="A1038" s="7"/>
      <c r="B1038" s="7"/>
      <c r="C1038" s="48"/>
      <c r="D1038" s="7"/>
      <c r="E1038" s="7"/>
      <c r="F1038" s="7"/>
      <c r="G1038" s="49"/>
      <c r="H1038" s="7"/>
      <c r="I1038" s="50"/>
      <c r="J1038" s="49"/>
      <c r="K1038" s="49"/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51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</row>
    <row r="1039" spans="1:110" x14ac:dyDescent="0.25">
      <c r="A1039" s="7"/>
      <c r="B1039" s="7"/>
      <c r="C1039" s="48"/>
      <c r="D1039" s="7"/>
      <c r="E1039" s="7"/>
      <c r="F1039" s="7"/>
      <c r="G1039" s="49"/>
      <c r="H1039" s="7"/>
      <c r="I1039" s="50"/>
      <c r="J1039" s="49"/>
      <c r="K1039" s="49"/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51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</row>
    <row r="1040" spans="1:110" x14ac:dyDescent="0.25">
      <c r="A1040" s="7"/>
      <c r="B1040" s="7"/>
      <c r="C1040" s="48"/>
      <c r="D1040" s="7"/>
      <c r="E1040" s="7"/>
      <c r="F1040" s="7"/>
      <c r="G1040" s="49"/>
      <c r="H1040" s="7"/>
      <c r="I1040" s="50"/>
      <c r="J1040" s="49"/>
      <c r="K1040" s="49"/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51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</row>
    <row r="1041" spans="1:110" x14ac:dyDescent="0.25">
      <c r="A1041" s="7"/>
      <c r="B1041" s="7"/>
      <c r="C1041" s="48"/>
      <c r="D1041" s="7"/>
      <c r="E1041" s="7"/>
      <c r="F1041" s="7"/>
      <c r="G1041" s="49"/>
      <c r="H1041" s="7"/>
      <c r="I1041" s="50"/>
      <c r="J1041" s="49"/>
      <c r="K1041" s="49"/>
      <c r="M1041" s="49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51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</row>
    <row r="1042" spans="1:110" x14ac:dyDescent="0.25">
      <c r="A1042" s="7"/>
      <c r="B1042" s="7"/>
      <c r="C1042" s="48"/>
      <c r="D1042" s="7"/>
      <c r="E1042" s="7"/>
      <c r="F1042" s="7"/>
      <c r="G1042" s="49"/>
      <c r="H1042" s="7"/>
      <c r="I1042" s="50"/>
      <c r="J1042" s="49"/>
      <c r="K1042" s="49"/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51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</row>
    <row r="1043" spans="1:110" x14ac:dyDescent="0.25">
      <c r="A1043" s="7"/>
      <c r="B1043" s="7"/>
      <c r="C1043" s="48"/>
      <c r="D1043" s="7"/>
      <c r="E1043" s="7"/>
      <c r="F1043" s="7"/>
      <c r="G1043" s="49"/>
      <c r="H1043" s="7"/>
      <c r="I1043" s="50"/>
      <c r="J1043" s="49"/>
      <c r="K1043" s="49"/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51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</row>
    <row r="1044" spans="1:110" x14ac:dyDescent="0.25">
      <c r="A1044" s="7"/>
      <c r="B1044" s="7"/>
      <c r="C1044" s="48"/>
      <c r="D1044" s="7"/>
      <c r="E1044" s="7"/>
      <c r="F1044" s="7"/>
      <c r="G1044" s="49"/>
      <c r="H1044" s="7"/>
      <c r="I1044" s="50"/>
      <c r="J1044" s="49"/>
      <c r="K1044" s="49"/>
      <c r="M1044" s="49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51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</row>
    <row r="1045" spans="1:110" x14ac:dyDescent="0.25">
      <c r="A1045" s="7"/>
      <c r="B1045" s="7"/>
      <c r="C1045" s="48"/>
      <c r="D1045" s="7"/>
      <c r="E1045" s="7"/>
      <c r="F1045" s="7"/>
      <c r="G1045" s="49"/>
      <c r="H1045" s="7"/>
      <c r="I1045" s="50"/>
      <c r="J1045" s="49"/>
      <c r="K1045" s="49"/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51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</row>
    <row r="1046" spans="1:110" x14ac:dyDescent="0.25">
      <c r="A1046" s="7"/>
      <c r="B1046" s="7"/>
      <c r="C1046" s="48"/>
      <c r="D1046" s="7"/>
      <c r="E1046" s="7"/>
      <c r="F1046" s="7"/>
      <c r="G1046" s="49"/>
      <c r="H1046" s="7"/>
      <c r="I1046" s="50"/>
      <c r="J1046" s="49"/>
      <c r="K1046" s="49"/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51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</row>
    <row r="1047" spans="1:110" x14ac:dyDescent="0.25">
      <c r="A1047" s="7"/>
      <c r="B1047" s="7"/>
      <c r="C1047" s="48"/>
      <c r="D1047" s="7"/>
      <c r="E1047" s="7"/>
      <c r="F1047" s="7"/>
      <c r="G1047" s="49"/>
      <c r="H1047" s="7"/>
      <c r="I1047" s="50"/>
      <c r="J1047" s="49"/>
      <c r="K1047" s="49"/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51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</row>
    <row r="1048" spans="1:110" x14ac:dyDescent="0.25">
      <c r="A1048" s="7"/>
      <c r="B1048" s="7"/>
      <c r="C1048" s="48"/>
      <c r="D1048" s="7"/>
      <c r="E1048" s="7"/>
      <c r="F1048" s="7"/>
      <c r="G1048" s="49"/>
      <c r="H1048" s="7"/>
      <c r="I1048" s="50"/>
      <c r="J1048" s="49"/>
      <c r="K1048" s="49"/>
      <c r="M1048" s="49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51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</row>
    <row r="1049" spans="1:110" x14ac:dyDescent="0.25">
      <c r="A1049" s="7"/>
      <c r="B1049" s="7"/>
      <c r="C1049" s="48"/>
      <c r="D1049" s="7"/>
      <c r="E1049" s="7"/>
      <c r="F1049" s="7"/>
      <c r="G1049" s="49"/>
      <c r="H1049" s="7"/>
      <c r="I1049" s="50"/>
      <c r="J1049" s="49"/>
      <c r="K1049" s="49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51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</row>
    <row r="1050" spans="1:110" x14ac:dyDescent="0.25">
      <c r="A1050" s="7"/>
      <c r="B1050" s="7"/>
      <c r="C1050" s="48"/>
      <c r="D1050" s="7"/>
      <c r="E1050" s="7"/>
      <c r="F1050" s="7"/>
      <c r="G1050" s="49"/>
      <c r="H1050" s="7"/>
      <c r="I1050" s="50"/>
      <c r="J1050" s="49"/>
      <c r="K1050" s="49"/>
      <c r="M1050" s="49"/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51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</row>
    <row r="1051" spans="1:110" x14ac:dyDescent="0.25">
      <c r="A1051" s="7"/>
      <c r="B1051" s="7"/>
      <c r="C1051" s="48"/>
      <c r="D1051" s="7"/>
      <c r="E1051" s="7"/>
      <c r="F1051" s="7"/>
      <c r="G1051" s="49"/>
      <c r="H1051" s="7"/>
      <c r="I1051" s="50"/>
      <c r="J1051" s="49"/>
      <c r="K1051" s="49"/>
      <c r="M1051" s="49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51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</row>
    <row r="1052" spans="1:110" x14ac:dyDescent="0.25">
      <c r="A1052" s="7"/>
      <c r="B1052" s="7"/>
      <c r="C1052" s="48"/>
      <c r="D1052" s="7"/>
      <c r="E1052" s="7"/>
      <c r="F1052" s="7"/>
      <c r="G1052" s="49"/>
      <c r="H1052" s="7"/>
      <c r="I1052" s="50"/>
      <c r="J1052" s="49"/>
      <c r="K1052" s="49"/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51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</row>
    <row r="1053" spans="1:110" x14ac:dyDescent="0.25">
      <c r="A1053" s="7"/>
      <c r="B1053" s="7"/>
      <c r="C1053" s="48"/>
      <c r="D1053" s="7"/>
      <c r="E1053" s="7"/>
      <c r="F1053" s="7"/>
      <c r="G1053" s="49"/>
      <c r="H1053" s="7"/>
      <c r="I1053" s="50"/>
      <c r="J1053" s="49"/>
      <c r="K1053" s="49"/>
      <c r="M1053" s="49"/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51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</row>
    <row r="1054" spans="1:110" x14ac:dyDescent="0.25">
      <c r="A1054" s="7"/>
      <c r="B1054" s="7"/>
      <c r="C1054" s="48"/>
      <c r="D1054" s="7"/>
      <c r="E1054" s="7"/>
      <c r="F1054" s="7"/>
      <c r="G1054" s="49"/>
      <c r="H1054" s="7"/>
      <c r="I1054" s="50"/>
      <c r="J1054" s="49"/>
      <c r="K1054" s="49"/>
      <c r="M1054" s="49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51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</row>
    <row r="1055" spans="1:110" x14ac:dyDescent="0.25">
      <c r="A1055" s="7"/>
      <c r="B1055" s="7"/>
      <c r="C1055" s="48"/>
      <c r="D1055" s="7"/>
      <c r="E1055" s="7"/>
      <c r="F1055" s="7"/>
      <c r="G1055" s="49"/>
      <c r="H1055" s="7"/>
      <c r="I1055" s="50"/>
      <c r="J1055" s="49"/>
      <c r="K1055" s="49"/>
      <c r="M1055" s="49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51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</row>
    <row r="1056" spans="1:110" x14ac:dyDescent="0.25">
      <c r="A1056" s="7"/>
      <c r="B1056" s="7"/>
      <c r="C1056" s="48"/>
      <c r="D1056" s="7"/>
      <c r="E1056" s="7"/>
      <c r="F1056" s="7"/>
      <c r="G1056" s="49"/>
      <c r="H1056" s="7"/>
      <c r="I1056" s="50"/>
      <c r="J1056" s="49"/>
      <c r="K1056" s="49"/>
      <c r="M1056" s="49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51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</row>
    <row r="1057" spans="1:110" x14ac:dyDescent="0.25">
      <c r="A1057" s="7"/>
      <c r="B1057" s="7"/>
      <c r="C1057" s="48"/>
      <c r="D1057" s="7"/>
      <c r="E1057" s="7"/>
      <c r="F1057" s="7"/>
      <c r="G1057" s="49"/>
      <c r="H1057" s="7"/>
      <c r="I1057" s="50"/>
      <c r="J1057" s="49"/>
      <c r="K1057" s="49"/>
      <c r="M1057" s="49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51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</row>
    <row r="1058" spans="1:110" x14ac:dyDescent="0.25">
      <c r="A1058" s="7"/>
      <c r="B1058" s="7"/>
      <c r="C1058" s="48"/>
      <c r="D1058" s="7"/>
      <c r="E1058" s="7"/>
      <c r="F1058" s="7"/>
      <c r="G1058" s="49"/>
      <c r="H1058" s="7"/>
      <c r="I1058" s="50"/>
      <c r="J1058" s="49"/>
      <c r="K1058" s="49"/>
      <c r="M1058" s="49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51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</row>
    <row r="1059" spans="1:110" x14ac:dyDescent="0.25">
      <c r="A1059" s="7"/>
      <c r="B1059" s="7"/>
      <c r="C1059" s="48"/>
      <c r="D1059" s="7"/>
      <c r="E1059" s="7"/>
      <c r="F1059" s="7"/>
      <c r="G1059" s="49"/>
      <c r="H1059" s="7"/>
      <c r="I1059" s="50"/>
      <c r="J1059" s="49"/>
      <c r="K1059" s="49"/>
      <c r="M1059" s="49"/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51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</row>
    <row r="1060" spans="1:110" x14ac:dyDescent="0.25">
      <c r="A1060" s="7"/>
      <c r="B1060" s="7"/>
      <c r="C1060" s="48"/>
      <c r="D1060" s="7"/>
      <c r="E1060" s="7"/>
      <c r="F1060" s="7"/>
      <c r="G1060" s="49"/>
      <c r="H1060" s="7"/>
      <c r="I1060" s="50"/>
      <c r="J1060" s="49"/>
      <c r="K1060" s="49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51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</row>
    <row r="1061" spans="1:110" x14ac:dyDescent="0.25">
      <c r="A1061" s="7"/>
      <c r="B1061" s="7"/>
      <c r="C1061" s="48"/>
      <c r="D1061" s="7"/>
      <c r="E1061" s="7"/>
      <c r="F1061" s="7"/>
      <c r="G1061" s="49"/>
      <c r="H1061" s="7"/>
      <c r="I1061" s="50"/>
      <c r="J1061" s="49"/>
      <c r="K1061" s="49"/>
      <c r="M1061" s="49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51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</row>
    <row r="1062" spans="1:110" x14ac:dyDescent="0.25">
      <c r="A1062" s="7"/>
      <c r="B1062" s="7"/>
      <c r="C1062" s="48"/>
      <c r="D1062" s="7"/>
      <c r="E1062" s="7"/>
      <c r="F1062" s="7"/>
      <c r="G1062" s="49"/>
      <c r="H1062" s="7"/>
      <c r="I1062" s="50"/>
      <c r="J1062" s="49"/>
      <c r="K1062" s="49"/>
      <c r="M1062" s="49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51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</row>
    <row r="1063" spans="1:110" x14ac:dyDescent="0.25">
      <c r="A1063" s="7"/>
      <c r="B1063" s="7"/>
      <c r="C1063" s="48"/>
      <c r="D1063" s="7"/>
      <c r="E1063" s="7"/>
      <c r="F1063" s="7"/>
      <c r="G1063" s="49"/>
      <c r="H1063" s="7"/>
      <c r="I1063" s="50"/>
      <c r="J1063" s="49"/>
      <c r="K1063" s="49"/>
      <c r="M1063" s="49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51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</row>
    <row r="1064" spans="1:110" x14ac:dyDescent="0.25">
      <c r="A1064" s="7"/>
      <c r="B1064" s="7"/>
      <c r="C1064" s="48"/>
      <c r="D1064" s="7"/>
      <c r="E1064" s="7"/>
      <c r="F1064" s="7"/>
      <c r="G1064" s="49"/>
      <c r="H1064" s="7"/>
      <c r="I1064" s="50"/>
      <c r="J1064" s="49"/>
      <c r="K1064" s="49"/>
      <c r="M1064" s="49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51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</row>
    <row r="1065" spans="1:110" x14ac:dyDescent="0.25">
      <c r="A1065" s="7"/>
      <c r="B1065" s="7"/>
      <c r="C1065" s="48"/>
      <c r="D1065" s="7"/>
      <c r="E1065" s="7"/>
      <c r="F1065" s="7"/>
      <c r="G1065" s="49"/>
      <c r="H1065" s="7"/>
      <c r="I1065" s="50"/>
      <c r="J1065" s="49"/>
      <c r="K1065" s="49"/>
      <c r="M1065" s="49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51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</row>
    <row r="1066" spans="1:110" x14ac:dyDescent="0.25">
      <c r="A1066" s="7"/>
      <c r="B1066" s="7"/>
      <c r="C1066" s="48"/>
      <c r="D1066" s="7"/>
      <c r="E1066" s="7"/>
      <c r="F1066" s="7"/>
      <c r="G1066" s="49"/>
      <c r="H1066" s="7"/>
      <c r="I1066" s="50"/>
      <c r="J1066" s="49"/>
      <c r="K1066" s="49"/>
      <c r="M1066" s="49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51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</row>
    <row r="1067" spans="1:110" x14ac:dyDescent="0.25">
      <c r="A1067" s="7"/>
      <c r="B1067" s="7"/>
      <c r="C1067" s="48"/>
      <c r="D1067" s="7"/>
      <c r="E1067" s="7"/>
      <c r="F1067" s="7"/>
      <c r="G1067" s="49"/>
      <c r="H1067" s="7"/>
      <c r="I1067" s="50"/>
      <c r="J1067" s="49"/>
      <c r="K1067" s="49"/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51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</row>
    <row r="1068" spans="1:110" x14ac:dyDescent="0.25">
      <c r="A1068" s="7"/>
      <c r="B1068" s="7"/>
      <c r="C1068" s="48"/>
      <c r="D1068" s="7"/>
      <c r="E1068" s="7"/>
      <c r="F1068" s="7"/>
      <c r="G1068" s="49"/>
      <c r="H1068" s="7"/>
      <c r="I1068" s="50"/>
      <c r="J1068" s="49"/>
      <c r="K1068" s="49"/>
      <c r="M1068" s="49"/>
      <c r="N1068" s="49"/>
      <c r="O1068" s="49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51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</row>
    <row r="1069" spans="1:110" x14ac:dyDescent="0.25">
      <c r="A1069" s="7"/>
      <c r="B1069" s="7"/>
      <c r="C1069" s="48"/>
      <c r="D1069" s="7"/>
      <c r="E1069" s="7"/>
      <c r="F1069" s="7"/>
      <c r="G1069" s="49"/>
      <c r="H1069" s="7"/>
      <c r="I1069" s="50"/>
      <c r="J1069" s="49"/>
      <c r="K1069" s="49"/>
      <c r="M1069" s="49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51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</row>
    <row r="1070" spans="1:110" x14ac:dyDescent="0.25">
      <c r="A1070" s="7"/>
      <c r="B1070" s="7"/>
      <c r="C1070" s="48"/>
      <c r="D1070" s="7"/>
      <c r="E1070" s="7"/>
      <c r="F1070" s="7"/>
      <c r="G1070" s="49"/>
      <c r="H1070" s="7"/>
      <c r="I1070" s="50"/>
      <c r="J1070" s="49"/>
      <c r="K1070" s="49"/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51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</row>
    <row r="1071" spans="1:110" x14ac:dyDescent="0.25">
      <c r="A1071" s="7"/>
      <c r="B1071" s="7"/>
      <c r="C1071" s="48"/>
      <c r="D1071" s="7"/>
      <c r="E1071" s="7"/>
      <c r="F1071" s="7"/>
      <c r="G1071" s="49"/>
      <c r="H1071" s="7"/>
      <c r="I1071" s="50"/>
      <c r="J1071" s="49"/>
      <c r="K1071" s="49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51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</row>
    <row r="1072" spans="1:110" x14ac:dyDescent="0.25">
      <c r="A1072" s="7"/>
      <c r="B1072" s="7"/>
      <c r="C1072" s="48"/>
      <c r="D1072" s="7"/>
      <c r="E1072" s="7"/>
      <c r="F1072" s="7"/>
      <c r="G1072" s="49"/>
      <c r="H1072" s="7"/>
      <c r="I1072" s="50"/>
      <c r="J1072" s="49"/>
      <c r="K1072" s="49"/>
      <c r="M1072" s="49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51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</row>
    <row r="1073" spans="1:110" x14ac:dyDescent="0.25">
      <c r="A1073" s="7"/>
      <c r="B1073" s="7"/>
      <c r="C1073" s="48"/>
      <c r="D1073" s="7"/>
      <c r="E1073" s="7"/>
      <c r="F1073" s="7"/>
      <c r="G1073" s="49"/>
      <c r="H1073" s="7"/>
      <c r="I1073" s="50"/>
      <c r="J1073" s="49"/>
      <c r="K1073" s="49"/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51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</row>
    <row r="1074" spans="1:110" x14ac:dyDescent="0.25">
      <c r="A1074" s="7"/>
      <c r="B1074" s="7"/>
      <c r="C1074" s="48"/>
      <c r="D1074" s="7"/>
      <c r="E1074" s="7"/>
      <c r="F1074" s="7"/>
      <c r="G1074" s="49"/>
      <c r="H1074" s="7"/>
      <c r="I1074" s="50"/>
      <c r="J1074" s="49"/>
      <c r="K1074" s="49"/>
      <c r="M1074" s="49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51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</row>
    <row r="1075" spans="1:110" x14ac:dyDescent="0.25">
      <c r="A1075" s="7"/>
      <c r="B1075" s="7"/>
      <c r="C1075" s="48"/>
      <c r="D1075" s="7"/>
      <c r="E1075" s="7"/>
      <c r="F1075" s="7"/>
      <c r="G1075" s="49"/>
      <c r="H1075" s="7"/>
      <c r="I1075" s="50"/>
      <c r="J1075" s="49"/>
      <c r="K1075" s="49"/>
      <c r="M1075" s="49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51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</row>
    <row r="1076" spans="1:110" x14ac:dyDescent="0.25">
      <c r="A1076" s="7"/>
      <c r="B1076" s="7"/>
      <c r="C1076" s="48"/>
      <c r="D1076" s="7"/>
      <c r="E1076" s="7"/>
      <c r="F1076" s="7"/>
      <c r="G1076" s="49"/>
      <c r="H1076" s="7"/>
      <c r="I1076" s="50"/>
      <c r="J1076" s="49"/>
      <c r="K1076" s="49"/>
      <c r="M1076" s="49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51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</row>
    <row r="1077" spans="1:110" x14ac:dyDescent="0.25">
      <c r="A1077" s="7"/>
      <c r="B1077" s="7"/>
      <c r="C1077" s="48"/>
      <c r="D1077" s="7"/>
      <c r="E1077" s="7"/>
      <c r="F1077" s="7"/>
      <c r="G1077" s="49"/>
      <c r="H1077" s="7"/>
      <c r="I1077" s="50"/>
      <c r="J1077" s="49"/>
      <c r="K1077" s="49"/>
      <c r="M1077" s="49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51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</row>
    <row r="1078" spans="1:110" x14ac:dyDescent="0.25">
      <c r="A1078" s="7"/>
      <c r="B1078" s="7"/>
      <c r="C1078" s="48"/>
      <c r="D1078" s="7"/>
      <c r="E1078" s="7"/>
      <c r="F1078" s="7"/>
      <c r="G1078" s="49"/>
      <c r="H1078" s="7"/>
      <c r="I1078" s="50"/>
      <c r="J1078" s="49"/>
      <c r="K1078" s="49"/>
      <c r="M1078" s="49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51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</row>
    <row r="1079" spans="1:110" x14ac:dyDescent="0.25">
      <c r="A1079" s="7"/>
      <c r="B1079" s="7"/>
      <c r="C1079" s="48"/>
      <c r="D1079" s="7"/>
      <c r="E1079" s="7"/>
      <c r="F1079" s="7"/>
      <c r="G1079" s="49"/>
      <c r="H1079" s="7"/>
      <c r="I1079" s="50"/>
      <c r="J1079" s="49"/>
      <c r="K1079" s="49"/>
      <c r="M1079" s="49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51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</row>
    <row r="1080" spans="1:110" x14ac:dyDescent="0.25">
      <c r="A1080" s="7"/>
      <c r="B1080" s="7"/>
      <c r="C1080" s="48"/>
      <c r="D1080" s="7"/>
      <c r="E1080" s="7"/>
      <c r="F1080" s="7"/>
      <c r="G1080" s="49"/>
      <c r="H1080" s="7"/>
      <c r="I1080" s="50"/>
      <c r="J1080" s="49"/>
      <c r="K1080" s="49"/>
      <c r="M1080" s="49"/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51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</row>
    <row r="1081" spans="1:110" x14ac:dyDescent="0.25">
      <c r="A1081" s="7"/>
      <c r="B1081" s="7"/>
      <c r="C1081" s="48"/>
      <c r="D1081" s="7"/>
      <c r="E1081" s="7"/>
      <c r="F1081" s="7"/>
      <c r="G1081" s="49"/>
      <c r="H1081" s="7"/>
      <c r="I1081" s="50"/>
      <c r="J1081" s="49"/>
      <c r="K1081" s="49"/>
      <c r="M1081" s="49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51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</row>
    <row r="1082" spans="1:110" x14ac:dyDescent="0.25">
      <c r="A1082" s="7"/>
      <c r="B1082" s="7"/>
      <c r="C1082" s="48"/>
      <c r="D1082" s="7"/>
      <c r="E1082" s="7"/>
      <c r="F1082" s="7"/>
      <c r="G1082" s="49"/>
      <c r="H1082" s="7"/>
      <c r="I1082" s="50"/>
      <c r="J1082" s="49"/>
      <c r="K1082" s="49"/>
      <c r="M1082" s="49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51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</row>
    <row r="1083" spans="1:110" x14ac:dyDescent="0.25">
      <c r="A1083" s="7"/>
      <c r="B1083" s="7"/>
      <c r="C1083" s="48"/>
      <c r="D1083" s="7"/>
      <c r="E1083" s="7"/>
      <c r="F1083" s="7"/>
      <c r="G1083" s="49"/>
      <c r="H1083" s="7"/>
      <c r="I1083" s="50"/>
      <c r="J1083" s="49"/>
      <c r="K1083" s="49"/>
      <c r="M1083" s="49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51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</row>
    <row r="1084" spans="1:110" x14ac:dyDescent="0.25">
      <c r="A1084" s="7"/>
      <c r="B1084" s="7"/>
      <c r="C1084" s="48"/>
      <c r="D1084" s="7"/>
      <c r="E1084" s="7"/>
      <c r="F1084" s="7"/>
      <c r="G1084" s="49"/>
      <c r="H1084" s="7"/>
      <c r="I1084" s="50"/>
      <c r="J1084" s="49"/>
      <c r="K1084" s="49"/>
      <c r="M1084" s="49"/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51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</row>
    <row r="1085" spans="1:110" x14ac:dyDescent="0.25">
      <c r="A1085" s="7"/>
      <c r="B1085" s="7"/>
      <c r="C1085" s="48"/>
      <c r="D1085" s="7"/>
      <c r="E1085" s="7"/>
      <c r="F1085" s="7"/>
      <c r="G1085" s="49"/>
      <c r="H1085" s="7"/>
      <c r="I1085" s="50"/>
      <c r="J1085" s="49"/>
      <c r="K1085" s="49"/>
      <c r="M1085" s="49"/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51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</row>
    <row r="1086" spans="1:110" x14ac:dyDescent="0.25">
      <c r="A1086" s="7"/>
      <c r="B1086" s="7"/>
      <c r="C1086" s="48"/>
      <c r="D1086" s="7"/>
      <c r="E1086" s="7"/>
      <c r="F1086" s="7"/>
      <c r="G1086" s="49"/>
      <c r="H1086" s="7"/>
      <c r="I1086" s="50"/>
      <c r="J1086" s="49"/>
      <c r="K1086" s="49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51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</row>
    <row r="1087" spans="1:110" x14ac:dyDescent="0.25">
      <c r="A1087" s="7"/>
      <c r="B1087" s="7"/>
      <c r="C1087" s="48"/>
      <c r="D1087" s="7"/>
      <c r="E1087" s="7"/>
      <c r="F1087" s="7"/>
      <c r="G1087" s="49"/>
      <c r="H1087" s="7"/>
      <c r="I1087" s="50"/>
      <c r="J1087" s="49"/>
      <c r="K1087" s="49"/>
      <c r="M1087" s="49"/>
      <c r="N1087" s="49"/>
      <c r="O1087" s="49"/>
      <c r="P1087" s="49"/>
      <c r="Q1087" s="49"/>
      <c r="R1087" s="49"/>
      <c r="S1087" s="49"/>
      <c r="T1087" s="49"/>
      <c r="U1087" s="49"/>
      <c r="V1087" s="49"/>
      <c r="W1087" s="49"/>
      <c r="X1087" s="49"/>
      <c r="Y1087" s="49"/>
      <c r="Z1087" s="51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</row>
    <row r="1088" spans="1:110" x14ac:dyDescent="0.25">
      <c r="A1088" s="7"/>
      <c r="B1088" s="7"/>
      <c r="C1088" s="48"/>
      <c r="D1088" s="7"/>
      <c r="E1088" s="7"/>
      <c r="F1088" s="7"/>
      <c r="G1088" s="49"/>
      <c r="H1088" s="7"/>
      <c r="I1088" s="50"/>
      <c r="J1088" s="49"/>
      <c r="K1088" s="49"/>
      <c r="M1088" s="49"/>
      <c r="N1088" s="49"/>
      <c r="O1088" s="49"/>
      <c r="P1088" s="49"/>
      <c r="Q1088" s="49"/>
      <c r="R1088" s="49"/>
      <c r="S1088" s="49"/>
      <c r="T1088" s="49"/>
      <c r="U1088" s="49"/>
      <c r="V1088" s="49"/>
      <c r="W1088" s="49"/>
      <c r="X1088" s="49"/>
      <c r="Y1088" s="49"/>
      <c r="Z1088" s="51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</row>
    <row r="1089" spans="1:110" x14ac:dyDescent="0.25">
      <c r="A1089" s="7"/>
      <c r="B1089" s="7"/>
      <c r="C1089" s="48"/>
      <c r="D1089" s="7"/>
      <c r="E1089" s="7"/>
      <c r="F1089" s="7"/>
      <c r="G1089" s="49"/>
      <c r="H1089" s="7"/>
      <c r="I1089" s="50"/>
      <c r="J1089" s="49"/>
      <c r="K1089" s="49"/>
      <c r="M1089" s="49"/>
      <c r="N1089" s="49"/>
      <c r="O1089" s="49"/>
      <c r="P1089" s="49"/>
      <c r="Q1089" s="49"/>
      <c r="R1089" s="49"/>
      <c r="S1089" s="49"/>
      <c r="T1089" s="49"/>
      <c r="U1089" s="49"/>
      <c r="V1089" s="49"/>
      <c r="W1089" s="49"/>
      <c r="X1089" s="49"/>
      <c r="Y1089" s="49"/>
      <c r="Z1089" s="51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</row>
    <row r="1090" spans="1:110" x14ac:dyDescent="0.25">
      <c r="A1090" s="7"/>
      <c r="B1090" s="7"/>
      <c r="C1090" s="48"/>
      <c r="D1090" s="7"/>
      <c r="E1090" s="7"/>
      <c r="F1090" s="7"/>
      <c r="G1090" s="49"/>
      <c r="H1090" s="7"/>
      <c r="I1090" s="50"/>
      <c r="J1090" s="49"/>
      <c r="K1090" s="49"/>
      <c r="M1090" s="49"/>
      <c r="N1090" s="49"/>
      <c r="O1090" s="49"/>
      <c r="P1090" s="49"/>
      <c r="Q1090" s="49"/>
      <c r="R1090" s="49"/>
      <c r="S1090" s="49"/>
      <c r="T1090" s="49"/>
      <c r="U1090" s="49"/>
      <c r="V1090" s="49"/>
      <c r="W1090" s="49"/>
      <c r="X1090" s="49"/>
      <c r="Y1090" s="49"/>
      <c r="Z1090" s="51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</row>
    <row r="1091" spans="1:110" x14ac:dyDescent="0.25">
      <c r="A1091" s="7"/>
      <c r="B1091" s="7"/>
      <c r="C1091" s="48"/>
      <c r="D1091" s="7"/>
      <c r="E1091" s="7"/>
      <c r="F1091" s="7"/>
      <c r="G1091" s="49"/>
      <c r="H1091" s="7"/>
      <c r="I1091" s="50"/>
      <c r="J1091" s="49"/>
      <c r="K1091" s="49"/>
      <c r="M1091" s="49"/>
      <c r="N1091" s="49"/>
      <c r="O1091" s="49"/>
      <c r="P1091" s="49"/>
      <c r="Q1091" s="49"/>
      <c r="R1091" s="49"/>
      <c r="S1091" s="49"/>
      <c r="T1091" s="49"/>
      <c r="U1091" s="49"/>
      <c r="V1091" s="49"/>
      <c r="W1091" s="49"/>
      <c r="X1091" s="49"/>
      <c r="Y1091" s="49"/>
      <c r="Z1091" s="51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</row>
    <row r="1092" spans="1:110" x14ac:dyDescent="0.25">
      <c r="A1092" s="7"/>
      <c r="B1092" s="7"/>
      <c r="C1092" s="48"/>
      <c r="D1092" s="7"/>
      <c r="E1092" s="7"/>
      <c r="F1092" s="7"/>
      <c r="G1092" s="49"/>
      <c r="H1092" s="7"/>
      <c r="I1092" s="50"/>
      <c r="J1092" s="49"/>
      <c r="K1092" s="49"/>
      <c r="M1092" s="49"/>
      <c r="N1092" s="49"/>
      <c r="O1092" s="49"/>
      <c r="P1092" s="49"/>
      <c r="Q1092" s="49"/>
      <c r="R1092" s="49"/>
      <c r="S1092" s="49"/>
      <c r="T1092" s="49"/>
      <c r="U1092" s="49"/>
      <c r="V1092" s="49"/>
      <c r="W1092" s="49"/>
      <c r="X1092" s="49"/>
      <c r="Y1092" s="49"/>
      <c r="Z1092" s="51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</row>
    <row r="1093" spans="1:110" x14ac:dyDescent="0.25">
      <c r="A1093" s="7"/>
      <c r="B1093" s="7"/>
      <c r="C1093" s="48"/>
      <c r="D1093" s="7"/>
      <c r="E1093" s="7"/>
      <c r="F1093" s="7"/>
      <c r="G1093" s="49"/>
      <c r="H1093" s="7"/>
      <c r="I1093" s="50"/>
      <c r="J1093" s="49"/>
      <c r="K1093" s="49"/>
      <c r="M1093" s="49"/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51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</row>
    <row r="1094" spans="1:110" x14ac:dyDescent="0.25">
      <c r="A1094" s="7"/>
      <c r="B1094" s="7"/>
      <c r="C1094" s="48"/>
      <c r="D1094" s="7"/>
      <c r="E1094" s="7"/>
      <c r="F1094" s="7"/>
      <c r="G1094" s="49"/>
      <c r="H1094" s="7"/>
      <c r="I1094" s="50"/>
      <c r="J1094" s="49"/>
      <c r="K1094" s="49"/>
      <c r="M1094" s="49"/>
      <c r="N1094" s="49"/>
      <c r="O1094" s="49"/>
      <c r="P1094" s="49"/>
      <c r="Q1094" s="49"/>
      <c r="R1094" s="49"/>
      <c r="S1094" s="49"/>
      <c r="T1094" s="49"/>
      <c r="U1094" s="49"/>
      <c r="V1094" s="49"/>
      <c r="W1094" s="49"/>
      <c r="X1094" s="49"/>
      <c r="Y1094" s="49"/>
      <c r="Z1094" s="51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</row>
    <row r="1095" spans="1:110" x14ac:dyDescent="0.25">
      <c r="A1095" s="7"/>
      <c r="B1095" s="7"/>
      <c r="C1095" s="48"/>
      <c r="D1095" s="7"/>
      <c r="E1095" s="7"/>
      <c r="F1095" s="7"/>
      <c r="G1095" s="49"/>
      <c r="H1095" s="7"/>
      <c r="I1095" s="50"/>
      <c r="J1095" s="49"/>
      <c r="K1095" s="49"/>
      <c r="M1095" s="49"/>
      <c r="N1095" s="49"/>
      <c r="O1095" s="49"/>
      <c r="P1095" s="49"/>
      <c r="Q1095" s="49"/>
      <c r="R1095" s="49"/>
      <c r="S1095" s="49"/>
      <c r="T1095" s="49"/>
      <c r="U1095" s="49"/>
      <c r="V1095" s="49"/>
      <c r="W1095" s="49"/>
      <c r="X1095" s="49"/>
      <c r="Y1095" s="49"/>
      <c r="Z1095" s="51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</row>
    <row r="1096" spans="1:110" x14ac:dyDescent="0.25">
      <c r="A1096" s="7"/>
      <c r="B1096" s="7"/>
      <c r="C1096" s="48"/>
      <c r="D1096" s="7"/>
      <c r="E1096" s="7"/>
      <c r="F1096" s="7"/>
      <c r="G1096" s="49"/>
      <c r="H1096" s="7"/>
      <c r="I1096" s="50"/>
      <c r="J1096" s="49"/>
      <c r="K1096" s="49"/>
      <c r="M1096" s="49"/>
      <c r="N1096" s="49"/>
      <c r="O1096" s="49"/>
      <c r="P1096" s="49"/>
      <c r="Q1096" s="49"/>
      <c r="R1096" s="49"/>
      <c r="S1096" s="49"/>
      <c r="T1096" s="49"/>
      <c r="U1096" s="49"/>
      <c r="V1096" s="49"/>
      <c r="W1096" s="49"/>
      <c r="X1096" s="49"/>
      <c r="Y1096" s="49"/>
      <c r="Z1096" s="51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</row>
    <row r="1097" spans="1:110" x14ac:dyDescent="0.25">
      <c r="A1097" s="7"/>
      <c r="B1097" s="7"/>
      <c r="C1097" s="48"/>
      <c r="D1097" s="7"/>
      <c r="E1097" s="7"/>
      <c r="F1097" s="7"/>
      <c r="G1097" s="49"/>
      <c r="H1097" s="7"/>
      <c r="I1097" s="50"/>
      <c r="J1097" s="49"/>
      <c r="K1097" s="49"/>
      <c r="M1097" s="49"/>
      <c r="N1097" s="49"/>
      <c r="O1097" s="49"/>
      <c r="P1097" s="49"/>
      <c r="Q1097" s="49"/>
      <c r="R1097" s="49"/>
      <c r="S1097" s="49"/>
      <c r="T1097" s="49"/>
      <c r="U1097" s="49"/>
      <c r="V1097" s="49"/>
      <c r="W1097" s="49"/>
      <c r="X1097" s="49"/>
      <c r="Y1097" s="49"/>
      <c r="Z1097" s="51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</row>
    <row r="1098" spans="1:110" x14ac:dyDescent="0.25">
      <c r="A1098" s="7"/>
      <c r="B1098" s="7"/>
      <c r="C1098" s="48"/>
      <c r="D1098" s="7"/>
      <c r="E1098" s="7"/>
      <c r="F1098" s="7"/>
      <c r="G1098" s="49"/>
      <c r="H1098" s="7"/>
      <c r="I1098" s="50"/>
      <c r="J1098" s="49"/>
      <c r="K1098" s="49"/>
      <c r="M1098" s="49"/>
      <c r="N1098" s="49"/>
      <c r="O1098" s="49"/>
      <c r="P1098" s="49"/>
      <c r="Q1098" s="49"/>
      <c r="R1098" s="49"/>
      <c r="S1098" s="49"/>
      <c r="T1098" s="49"/>
      <c r="U1098" s="49"/>
      <c r="V1098" s="49"/>
      <c r="W1098" s="49"/>
      <c r="X1098" s="49"/>
      <c r="Y1098" s="49"/>
      <c r="Z1098" s="51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</row>
    <row r="1099" spans="1:110" x14ac:dyDescent="0.25">
      <c r="A1099" s="7"/>
      <c r="B1099" s="7"/>
      <c r="C1099" s="48"/>
      <c r="D1099" s="7"/>
      <c r="E1099" s="7"/>
      <c r="F1099" s="7"/>
      <c r="G1099" s="49"/>
      <c r="H1099" s="7"/>
      <c r="I1099" s="50"/>
      <c r="J1099" s="49"/>
      <c r="K1099" s="49"/>
      <c r="M1099" s="49"/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51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</row>
    <row r="1100" spans="1:110" x14ac:dyDescent="0.25">
      <c r="A1100" s="7"/>
      <c r="B1100" s="7"/>
      <c r="C1100" s="48"/>
      <c r="D1100" s="7"/>
      <c r="E1100" s="7"/>
      <c r="F1100" s="7"/>
      <c r="G1100" s="49"/>
      <c r="H1100" s="7"/>
      <c r="I1100" s="50"/>
      <c r="J1100" s="49"/>
      <c r="K1100" s="49"/>
      <c r="M1100" s="49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51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</row>
    <row r="1101" spans="1:110" x14ac:dyDescent="0.25">
      <c r="A1101" s="7"/>
      <c r="B1101" s="7"/>
      <c r="C1101" s="48"/>
      <c r="D1101" s="7"/>
      <c r="E1101" s="7"/>
      <c r="F1101" s="7"/>
      <c r="G1101" s="49"/>
      <c r="H1101" s="7"/>
      <c r="I1101" s="50"/>
      <c r="J1101" s="49"/>
      <c r="K1101" s="49"/>
      <c r="M1101" s="49"/>
      <c r="N1101" s="49"/>
      <c r="O1101" s="49"/>
      <c r="P1101" s="49"/>
      <c r="Q1101" s="49"/>
      <c r="R1101" s="49"/>
      <c r="S1101" s="49"/>
      <c r="T1101" s="49"/>
      <c r="U1101" s="49"/>
      <c r="V1101" s="49"/>
      <c r="W1101" s="49"/>
      <c r="X1101" s="49"/>
      <c r="Y1101" s="49"/>
      <c r="Z1101" s="51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</row>
    <row r="1102" spans="1:110" x14ac:dyDescent="0.25">
      <c r="A1102" s="7"/>
      <c r="B1102" s="7"/>
      <c r="C1102" s="48"/>
      <c r="D1102" s="7"/>
      <c r="E1102" s="7"/>
      <c r="F1102" s="7"/>
      <c r="G1102" s="49"/>
      <c r="H1102" s="7"/>
      <c r="I1102" s="50"/>
      <c r="J1102" s="49"/>
      <c r="K1102" s="49"/>
      <c r="M1102" s="49"/>
      <c r="N1102" s="49"/>
      <c r="O1102" s="49"/>
      <c r="P1102" s="49"/>
      <c r="Q1102" s="49"/>
      <c r="R1102" s="49"/>
      <c r="S1102" s="49"/>
      <c r="T1102" s="49"/>
      <c r="U1102" s="49"/>
      <c r="V1102" s="49"/>
      <c r="W1102" s="49"/>
      <c r="X1102" s="49"/>
      <c r="Y1102" s="49"/>
      <c r="Z1102" s="51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</row>
    <row r="1103" spans="1:110" x14ac:dyDescent="0.25">
      <c r="A1103" s="7"/>
      <c r="B1103" s="7"/>
      <c r="C1103" s="48"/>
      <c r="D1103" s="7"/>
      <c r="E1103" s="7"/>
      <c r="F1103" s="7"/>
      <c r="G1103" s="49"/>
      <c r="H1103" s="7"/>
      <c r="I1103" s="50"/>
      <c r="J1103" s="49"/>
      <c r="K1103" s="49"/>
      <c r="M1103" s="49"/>
      <c r="N1103" s="49"/>
      <c r="O1103" s="49"/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51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</row>
    <row r="1104" spans="1:110" x14ac:dyDescent="0.25">
      <c r="A1104" s="7"/>
      <c r="B1104" s="7"/>
      <c r="C1104" s="48"/>
      <c r="D1104" s="7"/>
      <c r="E1104" s="7"/>
      <c r="F1104" s="7"/>
      <c r="G1104" s="49"/>
      <c r="H1104" s="7"/>
      <c r="I1104" s="50"/>
      <c r="J1104" s="49"/>
      <c r="K1104" s="49"/>
      <c r="M1104" s="49"/>
      <c r="N1104" s="49"/>
      <c r="O1104" s="49"/>
      <c r="P1104" s="49"/>
      <c r="Q1104" s="49"/>
      <c r="R1104" s="49"/>
      <c r="S1104" s="49"/>
      <c r="T1104" s="49"/>
      <c r="U1104" s="49"/>
      <c r="V1104" s="49"/>
      <c r="W1104" s="49"/>
      <c r="X1104" s="49"/>
      <c r="Y1104" s="49"/>
      <c r="Z1104" s="51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</row>
    <row r="1105" spans="1:110" x14ac:dyDescent="0.25">
      <c r="A1105" s="7"/>
      <c r="B1105" s="7"/>
      <c r="C1105" s="48"/>
      <c r="D1105" s="7"/>
      <c r="E1105" s="7"/>
      <c r="F1105" s="7"/>
      <c r="G1105" s="49"/>
      <c r="H1105" s="7"/>
      <c r="I1105" s="50"/>
      <c r="J1105" s="49"/>
      <c r="K1105" s="49"/>
      <c r="M1105" s="49"/>
      <c r="N1105" s="49"/>
      <c r="O1105" s="49"/>
      <c r="P1105" s="49"/>
      <c r="Q1105" s="49"/>
      <c r="R1105" s="49"/>
      <c r="S1105" s="49"/>
      <c r="T1105" s="49"/>
      <c r="U1105" s="49"/>
      <c r="V1105" s="49"/>
      <c r="W1105" s="49"/>
      <c r="X1105" s="49"/>
      <c r="Y1105" s="49"/>
      <c r="Z1105" s="51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</row>
    <row r="1106" spans="1:110" x14ac:dyDescent="0.25">
      <c r="A1106" s="7"/>
      <c r="B1106" s="7"/>
      <c r="C1106" s="48"/>
      <c r="D1106" s="7"/>
      <c r="E1106" s="7"/>
      <c r="F1106" s="7"/>
      <c r="G1106" s="49"/>
      <c r="H1106" s="7"/>
      <c r="I1106" s="50"/>
      <c r="J1106" s="49"/>
      <c r="K1106" s="49"/>
      <c r="M1106" s="49"/>
      <c r="N1106" s="49"/>
      <c r="O1106" s="49"/>
      <c r="P1106" s="49"/>
      <c r="Q1106" s="49"/>
      <c r="R1106" s="49"/>
      <c r="S1106" s="49"/>
      <c r="T1106" s="49"/>
      <c r="U1106" s="49"/>
      <c r="V1106" s="49"/>
      <c r="W1106" s="49"/>
      <c r="X1106" s="49"/>
      <c r="Y1106" s="49"/>
      <c r="Z1106" s="51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</row>
    <row r="1107" spans="1:110" x14ac:dyDescent="0.25">
      <c r="A1107" s="7"/>
      <c r="B1107" s="7"/>
      <c r="C1107" s="48"/>
      <c r="D1107" s="7"/>
      <c r="E1107" s="7"/>
      <c r="F1107" s="7"/>
      <c r="G1107" s="49"/>
      <c r="H1107" s="7"/>
      <c r="I1107" s="50"/>
      <c r="J1107" s="49"/>
      <c r="K1107" s="49"/>
      <c r="M1107" s="49"/>
      <c r="N1107" s="49"/>
      <c r="O1107" s="49"/>
      <c r="P1107" s="49"/>
      <c r="Q1107" s="49"/>
      <c r="R1107" s="49"/>
      <c r="S1107" s="49"/>
      <c r="T1107" s="49"/>
      <c r="U1107" s="49"/>
      <c r="V1107" s="49"/>
      <c r="W1107" s="49"/>
      <c r="X1107" s="49"/>
      <c r="Y1107" s="49"/>
      <c r="Z1107" s="51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</row>
    <row r="1108" spans="1:110" x14ac:dyDescent="0.25">
      <c r="A1108" s="7"/>
      <c r="B1108" s="7"/>
      <c r="C1108" s="48"/>
      <c r="D1108" s="7"/>
      <c r="E1108" s="7"/>
      <c r="F1108" s="7"/>
      <c r="G1108" s="49"/>
      <c r="H1108" s="7"/>
      <c r="I1108" s="50"/>
      <c r="J1108" s="49"/>
      <c r="K1108" s="49"/>
      <c r="M1108" s="49"/>
      <c r="N1108" s="49"/>
      <c r="O1108" s="49"/>
      <c r="P1108" s="49"/>
      <c r="Q1108" s="49"/>
      <c r="R1108" s="49"/>
      <c r="S1108" s="49"/>
      <c r="T1108" s="49"/>
      <c r="U1108" s="49"/>
      <c r="V1108" s="49"/>
      <c r="W1108" s="49"/>
      <c r="X1108" s="49"/>
      <c r="Y1108" s="49"/>
      <c r="Z1108" s="51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</row>
    <row r="1109" spans="1:110" x14ac:dyDescent="0.25">
      <c r="A1109" s="7"/>
      <c r="B1109" s="7"/>
      <c r="C1109" s="48"/>
      <c r="D1109" s="7"/>
      <c r="E1109" s="7"/>
      <c r="F1109" s="7"/>
      <c r="G1109" s="49"/>
      <c r="H1109" s="7"/>
      <c r="I1109" s="50"/>
      <c r="J1109" s="49"/>
      <c r="K1109" s="49"/>
      <c r="M1109" s="49"/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51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</row>
    <row r="1110" spans="1:110" x14ac:dyDescent="0.25">
      <c r="A1110" s="7"/>
      <c r="B1110" s="7"/>
      <c r="C1110" s="48"/>
      <c r="D1110" s="7"/>
      <c r="E1110" s="7"/>
      <c r="F1110" s="7"/>
      <c r="G1110" s="49"/>
      <c r="H1110" s="7"/>
      <c r="I1110" s="50"/>
      <c r="J1110" s="49"/>
      <c r="K1110" s="49"/>
      <c r="M1110" s="49"/>
      <c r="N1110" s="49"/>
      <c r="O1110" s="49"/>
      <c r="P1110" s="49"/>
      <c r="Q1110" s="49"/>
      <c r="R1110" s="49"/>
      <c r="S1110" s="49"/>
      <c r="T1110" s="49"/>
      <c r="U1110" s="49"/>
      <c r="V1110" s="49"/>
      <c r="W1110" s="49"/>
      <c r="X1110" s="49"/>
      <c r="Y1110" s="49"/>
      <c r="Z1110" s="51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</row>
    <row r="1111" spans="1:110" x14ac:dyDescent="0.25">
      <c r="A1111" s="7"/>
      <c r="B1111" s="7"/>
      <c r="C1111" s="48"/>
      <c r="D1111" s="7"/>
      <c r="E1111" s="7"/>
      <c r="F1111" s="7"/>
      <c r="G1111" s="49"/>
      <c r="H1111" s="7"/>
      <c r="I1111" s="50"/>
      <c r="J1111" s="49"/>
      <c r="K1111" s="49"/>
      <c r="M1111" s="49"/>
      <c r="N1111" s="49"/>
      <c r="O1111" s="49"/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51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</row>
    <row r="1112" spans="1:110" x14ac:dyDescent="0.25">
      <c r="A1112" s="7"/>
      <c r="B1112" s="7"/>
      <c r="C1112" s="48"/>
      <c r="D1112" s="7"/>
      <c r="E1112" s="7"/>
      <c r="F1112" s="7"/>
      <c r="G1112" s="49"/>
      <c r="H1112" s="7"/>
      <c r="I1112" s="50"/>
      <c r="J1112" s="49"/>
      <c r="K1112" s="49"/>
      <c r="M1112" s="49"/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51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</row>
    <row r="1113" spans="1:110" x14ac:dyDescent="0.25">
      <c r="A1113" s="7"/>
      <c r="B1113" s="7"/>
      <c r="C1113" s="48"/>
      <c r="D1113" s="7"/>
      <c r="E1113" s="7"/>
      <c r="F1113" s="7"/>
      <c r="G1113" s="49"/>
      <c r="H1113" s="7"/>
      <c r="I1113" s="50"/>
      <c r="J1113" s="49"/>
      <c r="K1113" s="49"/>
      <c r="M1113" s="49"/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/>
      <c r="Z1113" s="51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</row>
    <row r="1114" spans="1:110" x14ac:dyDescent="0.25">
      <c r="A1114" s="7"/>
      <c r="B1114" s="7"/>
      <c r="C1114" s="48"/>
      <c r="D1114" s="7"/>
      <c r="E1114" s="7"/>
      <c r="F1114" s="7"/>
      <c r="G1114" s="49"/>
      <c r="H1114" s="7"/>
      <c r="I1114" s="50"/>
      <c r="J1114" s="49"/>
      <c r="K1114" s="49"/>
      <c r="M1114" s="49"/>
      <c r="N1114" s="49"/>
      <c r="O1114" s="49"/>
      <c r="P1114" s="49"/>
      <c r="Q1114" s="49"/>
      <c r="R1114" s="49"/>
      <c r="S1114" s="49"/>
      <c r="T1114" s="49"/>
      <c r="U1114" s="49"/>
      <c r="V1114" s="49"/>
      <c r="W1114" s="49"/>
      <c r="X1114" s="49"/>
      <c r="Y1114" s="49"/>
      <c r="Z1114" s="51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</row>
    <row r="1115" spans="1:110" x14ac:dyDescent="0.25">
      <c r="A1115" s="7"/>
      <c r="B1115" s="7"/>
      <c r="C1115" s="48"/>
      <c r="D1115" s="7"/>
      <c r="E1115" s="7"/>
      <c r="F1115" s="7"/>
      <c r="G1115" s="49"/>
      <c r="H1115" s="7"/>
      <c r="I1115" s="50"/>
      <c r="J1115" s="49"/>
      <c r="K1115" s="49"/>
      <c r="M1115" s="49"/>
      <c r="N1115" s="49"/>
      <c r="O1115" s="49"/>
      <c r="P1115" s="49"/>
      <c r="Q1115" s="49"/>
      <c r="R1115" s="49"/>
      <c r="S1115" s="49"/>
      <c r="T1115" s="49"/>
      <c r="U1115" s="49"/>
      <c r="V1115" s="49"/>
      <c r="W1115" s="49"/>
      <c r="X1115" s="49"/>
      <c r="Y1115" s="49"/>
      <c r="Z1115" s="51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</row>
    <row r="1116" spans="1:110" x14ac:dyDescent="0.25">
      <c r="A1116" s="7"/>
      <c r="B1116" s="7"/>
      <c r="C1116" s="48"/>
      <c r="D1116" s="7"/>
      <c r="E1116" s="7"/>
      <c r="F1116" s="7"/>
      <c r="G1116" s="49"/>
      <c r="H1116" s="7"/>
      <c r="I1116" s="50"/>
      <c r="J1116" s="49"/>
      <c r="K1116" s="49"/>
      <c r="M1116" s="49"/>
      <c r="N1116" s="49"/>
      <c r="O1116" s="49"/>
      <c r="P1116" s="49"/>
      <c r="Q1116" s="49"/>
      <c r="R1116" s="49"/>
      <c r="S1116" s="49"/>
      <c r="T1116" s="49"/>
      <c r="U1116" s="49"/>
      <c r="V1116" s="49"/>
      <c r="W1116" s="49"/>
      <c r="X1116" s="49"/>
      <c r="Y1116" s="49"/>
      <c r="Z1116" s="51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</row>
    <row r="1117" spans="1:110" x14ac:dyDescent="0.25">
      <c r="A1117" s="7"/>
      <c r="B1117" s="7"/>
      <c r="C1117" s="48"/>
      <c r="D1117" s="7"/>
      <c r="E1117" s="7"/>
      <c r="F1117" s="7"/>
      <c r="G1117" s="49"/>
      <c r="H1117" s="7"/>
      <c r="I1117" s="50"/>
      <c r="J1117" s="49"/>
      <c r="K1117" s="49"/>
      <c r="M1117" s="49"/>
      <c r="N1117" s="49"/>
      <c r="O1117" s="49"/>
      <c r="P1117" s="49"/>
      <c r="Q1117" s="49"/>
      <c r="R1117" s="49"/>
      <c r="S1117" s="49"/>
      <c r="T1117" s="49"/>
      <c r="U1117" s="49"/>
      <c r="V1117" s="49"/>
      <c r="W1117" s="49"/>
      <c r="X1117" s="49"/>
      <c r="Y1117" s="49"/>
      <c r="Z1117" s="51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</row>
    <row r="1118" spans="1:110" x14ac:dyDescent="0.25">
      <c r="A1118" s="7"/>
      <c r="B1118" s="7"/>
      <c r="C1118" s="48"/>
      <c r="D1118" s="7"/>
      <c r="E1118" s="7"/>
      <c r="F1118" s="7"/>
      <c r="G1118" s="49"/>
      <c r="H1118" s="7"/>
      <c r="I1118" s="50"/>
      <c r="J1118" s="49"/>
      <c r="K1118" s="49"/>
      <c r="M1118" s="49"/>
      <c r="N1118" s="49"/>
      <c r="O1118" s="49"/>
      <c r="P1118" s="49"/>
      <c r="Q1118" s="49"/>
      <c r="R1118" s="49"/>
      <c r="S1118" s="49"/>
      <c r="T1118" s="49"/>
      <c r="U1118" s="49"/>
      <c r="V1118" s="49"/>
      <c r="W1118" s="49"/>
      <c r="X1118" s="49"/>
      <c r="Y1118" s="49"/>
      <c r="Z1118" s="51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</row>
  </sheetData>
  <autoFilter ref="A2:DF934" xr:uid="{00000000-0009-0000-0000-000000000000}"/>
  <customSheetViews>
    <customSheetView guid="{A3C3765C-EA73-48D0-8F3F-74E623E74581}" scale="115" showAutoFilter="1" state="hidden">
      <pane ySplit="2" topLeftCell="A164" activePane="bottomLeft" state="frozen"/>
      <selection pane="bottomLeft" activeCell="C171" sqref="C171"/>
      <pageMargins left="0.7" right="0.7" top="0.75" bottom="0.75" header="0" footer="0"/>
      <pageSetup orientation="portrait" r:id="rId1"/>
      <headerFooter>
        <oddFooter>&amp;LFS1-010-049&amp;CPag. 1 of 1&amp;RRev. 03 22-NOV-2016.</oddFooter>
      </headerFooter>
      <autoFilter ref="A2:DF934" xr:uid="{BDAA645A-C8AB-491B-9C8F-80D2D0BD38BA}"/>
    </customSheetView>
  </customSheetViews>
  <hyperlinks>
    <hyperlink ref="AG3" r:id="rId2" xr:uid="{00000000-0004-0000-0000-000000000000}"/>
    <hyperlink ref="AG4" r:id="rId3" xr:uid="{00000000-0004-0000-0000-000001000000}"/>
    <hyperlink ref="AG6" r:id="rId4" xr:uid="{00000000-0004-0000-0000-000002000000}"/>
    <hyperlink ref="AG7" r:id="rId5" xr:uid="{00000000-0004-0000-0000-000003000000}"/>
    <hyperlink ref="AG12" r:id="rId6" xr:uid="{00000000-0004-0000-0000-000004000000}"/>
    <hyperlink ref="AG13" r:id="rId7" xr:uid="{00000000-0004-0000-0000-000005000000}"/>
    <hyperlink ref="AG22" r:id="rId8" xr:uid="{00000000-0004-0000-0000-000006000000}"/>
    <hyperlink ref="AG23" r:id="rId9" xr:uid="{00000000-0004-0000-0000-000007000000}"/>
    <hyperlink ref="AG24" r:id="rId10" xr:uid="{00000000-0004-0000-0000-000008000000}"/>
    <hyperlink ref="AG30" r:id="rId11" xr:uid="{00000000-0004-0000-0000-000009000000}"/>
    <hyperlink ref="AG31" r:id="rId12" xr:uid="{00000000-0004-0000-0000-00000A000000}"/>
    <hyperlink ref="AG33" r:id="rId13" xr:uid="{00000000-0004-0000-0000-00000B000000}"/>
    <hyperlink ref="AG34" r:id="rId14" xr:uid="{00000000-0004-0000-0000-00000C000000}"/>
    <hyperlink ref="AG35" r:id="rId15" xr:uid="{00000000-0004-0000-0000-00000D000000}"/>
    <hyperlink ref="AG36" r:id="rId16" xr:uid="{00000000-0004-0000-0000-00000E000000}"/>
    <hyperlink ref="AG37" r:id="rId17" xr:uid="{00000000-0004-0000-0000-00000F000000}"/>
    <hyperlink ref="AG38" r:id="rId18" xr:uid="{00000000-0004-0000-0000-000010000000}"/>
    <hyperlink ref="AG39" r:id="rId19" xr:uid="{00000000-0004-0000-0000-000011000000}"/>
    <hyperlink ref="AG40" r:id="rId20" xr:uid="{00000000-0004-0000-0000-000012000000}"/>
    <hyperlink ref="AG41" r:id="rId21" xr:uid="{00000000-0004-0000-0000-000013000000}"/>
    <hyperlink ref="AG42" r:id="rId22" xr:uid="{00000000-0004-0000-0000-000014000000}"/>
    <hyperlink ref="AG43" r:id="rId23" xr:uid="{00000000-0004-0000-0000-000015000000}"/>
    <hyperlink ref="AG44" r:id="rId24" xr:uid="{00000000-0004-0000-0000-000016000000}"/>
    <hyperlink ref="AG47" r:id="rId25" xr:uid="{00000000-0004-0000-0000-000017000000}"/>
    <hyperlink ref="AG50" r:id="rId26" xr:uid="{00000000-0004-0000-0000-000018000000}"/>
    <hyperlink ref="AG51" r:id="rId27" xr:uid="{00000000-0004-0000-0000-000019000000}"/>
    <hyperlink ref="AG52" r:id="rId28" xr:uid="{00000000-0004-0000-0000-00001A000000}"/>
    <hyperlink ref="AG54" r:id="rId29" xr:uid="{00000000-0004-0000-0000-00001B000000}"/>
    <hyperlink ref="AG55" r:id="rId30" xr:uid="{00000000-0004-0000-0000-00001C000000}"/>
    <hyperlink ref="AG57" r:id="rId31" xr:uid="{00000000-0004-0000-0000-00001D000000}"/>
    <hyperlink ref="AG58" r:id="rId32" xr:uid="{00000000-0004-0000-0000-00001E000000}"/>
    <hyperlink ref="AG59" r:id="rId33" xr:uid="{00000000-0004-0000-0000-00001F000000}"/>
    <hyperlink ref="AG60" r:id="rId34" xr:uid="{00000000-0004-0000-0000-000020000000}"/>
    <hyperlink ref="AG61" r:id="rId35" xr:uid="{00000000-0004-0000-0000-000021000000}"/>
    <hyperlink ref="AG62" r:id="rId36" xr:uid="{00000000-0004-0000-0000-000022000000}"/>
    <hyperlink ref="AG63" r:id="rId37" xr:uid="{00000000-0004-0000-0000-000023000000}"/>
    <hyperlink ref="AG64" r:id="rId38" xr:uid="{00000000-0004-0000-0000-000024000000}"/>
    <hyperlink ref="AG65" r:id="rId39" xr:uid="{00000000-0004-0000-0000-000025000000}"/>
    <hyperlink ref="AG66" r:id="rId40" xr:uid="{00000000-0004-0000-0000-000026000000}"/>
    <hyperlink ref="AG68" r:id="rId41" xr:uid="{00000000-0004-0000-0000-000027000000}"/>
    <hyperlink ref="AG70" r:id="rId42" xr:uid="{00000000-0004-0000-0000-000028000000}"/>
    <hyperlink ref="AG71" r:id="rId43" xr:uid="{00000000-0004-0000-0000-000029000000}"/>
    <hyperlink ref="AG74" r:id="rId44" xr:uid="{00000000-0004-0000-0000-00002A000000}"/>
    <hyperlink ref="AG75" r:id="rId45" xr:uid="{00000000-0004-0000-0000-00002B000000}"/>
    <hyperlink ref="AG77" r:id="rId46" xr:uid="{00000000-0004-0000-0000-00002C000000}"/>
    <hyperlink ref="AG81" r:id="rId47" xr:uid="{00000000-0004-0000-0000-00002D000000}"/>
    <hyperlink ref="AG90" r:id="rId48" xr:uid="{00000000-0004-0000-0000-00002E000000}"/>
    <hyperlink ref="AG93" r:id="rId49" xr:uid="{00000000-0004-0000-0000-00002F000000}"/>
    <hyperlink ref="AG94" r:id="rId50" xr:uid="{00000000-0004-0000-0000-000030000000}"/>
    <hyperlink ref="AG95" r:id="rId51" xr:uid="{00000000-0004-0000-0000-000031000000}"/>
    <hyperlink ref="AG96" r:id="rId52" xr:uid="{00000000-0004-0000-0000-000032000000}"/>
    <hyperlink ref="AG97" r:id="rId53" xr:uid="{00000000-0004-0000-0000-000033000000}"/>
    <hyperlink ref="AG98" r:id="rId54" xr:uid="{00000000-0004-0000-0000-000034000000}"/>
    <hyperlink ref="AG101" r:id="rId55" xr:uid="{00000000-0004-0000-0000-000035000000}"/>
    <hyperlink ref="AG103" r:id="rId56" xr:uid="{00000000-0004-0000-0000-000036000000}"/>
    <hyperlink ref="AG104" r:id="rId57" xr:uid="{00000000-0004-0000-0000-000037000000}"/>
    <hyperlink ref="AG105" r:id="rId58" xr:uid="{00000000-0004-0000-0000-000038000000}"/>
    <hyperlink ref="AG106" r:id="rId59" xr:uid="{00000000-0004-0000-0000-000039000000}"/>
    <hyperlink ref="AG107" r:id="rId60" xr:uid="{00000000-0004-0000-0000-00003A000000}"/>
    <hyperlink ref="AG108" r:id="rId61" xr:uid="{00000000-0004-0000-0000-00003B000000}"/>
    <hyperlink ref="AG109" r:id="rId62" xr:uid="{00000000-0004-0000-0000-00003C000000}"/>
    <hyperlink ref="AG112" r:id="rId63" xr:uid="{00000000-0004-0000-0000-00003D000000}"/>
    <hyperlink ref="AG113" r:id="rId64" xr:uid="{00000000-0004-0000-0000-00003E000000}"/>
    <hyperlink ref="AG114" r:id="rId65" xr:uid="{00000000-0004-0000-0000-00003F000000}"/>
    <hyperlink ref="AG115" r:id="rId66" xr:uid="{00000000-0004-0000-0000-000040000000}"/>
    <hyperlink ref="AG116" r:id="rId67" xr:uid="{00000000-0004-0000-0000-000041000000}"/>
    <hyperlink ref="AG119" r:id="rId68" xr:uid="{00000000-0004-0000-0000-000042000000}"/>
    <hyperlink ref="AG128" r:id="rId69" xr:uid="{00000000-0004-0000-0000-000043000000}"/>
    <hyperlink ref="AG130" r:id="rId70" xr:uid="{00000000-0004-0000-0000-000044000000}"/>
    <hyperlink ref="AG132" r:id="rId71" xr:uid="{00000000-0004-0000-0000-000045000000}"/>
    <hyperlink ref="AG133" r:id="rId72" xr:uid="{00000000-0004-0000-0000-000046000000}"/>
    <hyperlink ref="AG136" r:id="rId73" xr:uid="{00000000-0004-0000-0000-000047000000}"/>
    <hyperlink ref="AG137" r:id="rId74" xr:uid="{00000000-0004-0000-0000-000048000000}"/>
    <hyperlink ref="AG138" r:id="rId75" xr:uid="{00000000-0004-0000-0000-000049000000}"/>
    <hyperlink ref="AG139" r:id="rId76" xr:uid="{00000000-0004-0000-0000-00004A000000}"/>
    <hyperlink ref="AG141" r:id="rId77" xr:uid="{00000000-0004-0000-0000-00004B000000}"/>
    <hyperlink ref="AG149" r:id="rId78" xr:uid="{00000000-0004-0000-0000-00004C000000}"/>
    <hyperlink ref="AG150" r:id="rId79" xr:uid="{00000000-0004-0000-0000-00004D000000}"/>
    <hyperlink ref="AG151" r:id="rId80" xr:uid="{00000000-0004-0000-0000-00004E000000}"/>
    <hyperlink ref="AG152" r:id="rId81" xr:uid="{00000000-0004-0000-0000-00004F000000}"/>
    <hyperlink ref="AG153" r:id="rId82" xr:uid="{00000000-0004-0000-0000-000050000000}"/>
    <hyperlink ref="AG154" r:id="rId83" xr:uid="{00000000-0004-0000-0000-000051000000}"/>
    <hyperlink ref="AG155" r:id="rId84" xr:uid="{00000000-0004-0000-0000-000052000000}"/>
    <hyperlink ref="AG157" r:id="rId85" xr:uid="{00000000-0004-0000-0000-000053000000}"/>
    <hyperlink ref="AG158" r:id="rId86" xr:uid="{00000000-0004-0000-0000-000054000000}"/>
    <hyperlink ref="AG162" r:id="rId87" xr:uid="{00000000-0004-0000-0000-000055000000}"/>
    <hyperlink ref="AG164" r:id="rId88" xr:uid="{00000000-0004-0000-0000-000056000000}"/>
    <hyperlink ref="AG166" r:id="rId89" xr:uid="{00000000-0004-0000-0000-000057000000}"/>
    <hyperlink ref="AG169" r:id="rId90" xr:uid="{00000000-0004-0000-0000-000058000000}"/>
    <hyperlink ref="AG171" r:id="rId91" xr:uid="{00000000-0004-0000-0000-000059000000}"/>
    <hyperlink ref="AG174" r:id="rId92" xr:uid="{00000000-0004-0000-0000-00005A000000}"/>
    <hyperlink ref="AG176" r:id="rId93" xr:uid="{00000000-0004-0000-0000-00005B000000}"/>
    <hyperlink ref="AG179" r:id="rId94" xr:uid="{00000000-0004-0000-0000-00005C000000}"/>
    <hyperlink ref="AG184" r:id="rId95" xr:uid="{00000000-0004-0000-0000-00005D000000}"/>
    <hyperlink ref="AG193" r:id="rId96" xr:uid="{00000000-0004-0000-0000-00005E000000}"/>
    <hyperlink ref="AG202" r:id="rId97" xr:uid="{00000000-0004-0000-0000-00005F000000}"/>
    <hyperlink ref="AG204" r:id="rId98" xr:uid="{00000000-0004-0000-0000-000060000000}"/>
    <hyperlink ref="AG205" r:id="rId99" xr:uid="{00000000-0004-0000-0000-000061000000}"/>
    <hyperlink ref="AG206" r:id="rId100" xr:uid="{00000000-0004-0000-0000-000062000000}"/>
    <hyperlink ref="AG207" r:id="rId101" xr:uid="{00000000-0004-0000-0000-000063000000}"/>
    <hyperlink ref="AG210" r:id="rId102" xr:uid="{00000000-0004-0000-0000-000064000000}"/>
    <hyperlink ref="AG215" r:id="rId103" xr:uid="{00000000-0004-0000-0000-000065000000}"/>
    <hyperlink ref="AG217" r:id="rId104" xr:uid="{00000000-0004-0000-0000-000066000000}"/>
    <hyperlink ref="AG218" r:id="rId105" xr:uid="{00000000-0004-0000-0000-000067000000}"/>
    <hyperlink ref="AG223" r:id="rId106" xr:uid="{00000000-0004-0000-0000-000068000000}"/>
    <hyperlink ref="AG226" r:id="rId107" xr:uid="{00000000-0004-0000-0000-000069000000}"/>
    <hyperlink ref="AG227" r:id="rId108" xr:uid="{00000000-0004-0000-0000-00006A000000}"/>
    <hyperlink ref="AG228" r:id="rId109" xr:uid="{00000000-0004-0000-0000-00006B000000}"/>
    <hyperlink ref="AG229" r:id="rId110" xr:uid="{00000000-0004-0000-0000-00006C000000}"/>
    <hyperlink ref="AG230" r:id="rId111" xr:uid="{00000000-0004-0000-0000-00006D000000}"/>
    <hyperlink ref="AG231" r:id="rId112" xr:uid="{00000000-0004-0000-0000-00006E000000}"/>
    <hyperlink ref="AG232" r:id="rId113" xr:uid="{00000000-0004-0000-0000-00006F000000}"/>
    <hyperlink ref="AG234" r:id="rId114" xr:uid="{00000000-0004-0000-0000-000070000000}"/>
    <hyperlink ref="AG236" r:id="rId115" xr:uid="{00000000-0004-0000-0000-000071000000}"/>
    <hyperlink ref="AG246" r:id="rId116" xr:uid="{00000000-0004-0000-0000-000072000000}"/>
    <hyperlink ref="AG250" r:id="rId117" xr:uid="{00000000-0004-0000-0000-000073000000}"/>
    <hyperlink ref="AG252" r:id="rId118" xr:uid="{00000000-0004-0000-0000-000074000000}"/>
    <hyperlink ref="AG253" r:id="rId119" xr:uid="{00000000-0004-0000-0000-000075000000}"/>
    <hyperlink ref="AG255" r:id="rId120" xr:uid="{00000000-0004-0000-0000-000076000000}"/>
    <hyperlink ref="AG257" r:id="rId121" xr:uid="{00000000-0004-0000-0000-000077000000}"/>
    <hyperlink ref="AG258" r:id="rId122" xr:uid="{00000000-0004-0000-0000-000078000000}"/>
    <hyperlink ref="AG259" r:id="rId123" xr:uid="{00000000-0004-0000-0000-000079000000}"/>
    <hyperlink ref="AG260" r:id="rId124" xr:uid="{00000000-0004-0000-0000-00007A000000}"/>
    <hyperlink ref="AG261" r:id="rId125" xr:uid="{00000000-0004-0000-0000-00007B000000}"/>
    <hyperlink ref="AG262" r:id="rId126" xr:uid="{00000000-0004-0000-0000-00007C000000}"/>
    <hyperlink ref="AG266" r:id="rId127" xr:uid="{00000000-0004-0000-0000-00007D000000}"/>
    <hyperlink ref="AG267" r:id="rId128" xr:uid="{00000000-0004-0000-0000-00007E000000}"/>
    <hyperlink ref="AG271" r:id="rId129" xr:uid="{00000000-0004-0000-0000-00007F000000}"/>
    <hyperlink ref="AG272" r:id="rId130" xr:uid="{00000000-0004-0000-0000-000080000000}"/>
    <hyperlink ref="AG278" r:id="rId131" xr:uid="{00000000-0004-0000-0000-000081000000}"/>
    <hyperlink ref="AG279" r:id="rId132" xr:uid="{00000000-0004-0000-0000-000082000000}"/>
    <hyperlink ref="AG280" r:id="rId133" xr:uid="{00000000-0004-0000-0000-000083000000}"/>
    <hyperlink ref="AG286" r:id="rId134" xr:uid="{00000000-0004-0000-0000-000084000000}"/>
    <hyperlink ref="AG296" r:id="rId135" xr:uid="{00000000-0004-0000-0000-000085000000}"/>
    <hyperlink ref="AG309" r:id="rId136" xr:uid="{00000000-0004-0000-0000-000086000000}"/>
    <hyperlink ref="AG310" r:id="rId137" xr:uid="{00000000-0004-0000-0000-000087000000}"/>
    <hyperlink ref="AG312" r:id="rId138" xr:uid="{00000000-0004-0000-0000-000088000000}"/>
    <hyperlink ref="AG356" r:id="rId139" xr:uid="{00000000-0004-0000-0000-000089000000}"/>
    <hyperlink ref="AG429" r:id="rId140" xr:uid="{00000000-0004-0000-0000-00008A000000}"/>
    <hyperlink ref="AG430" r:id="rId141" xr:uid="{00000000-0004-0000-0000-00008B000000}"/>
    <hyperlink ref="AG435" r:id="rId142" xr:uid="{00000000-0004-0000-0000-00008C000000}"/>
    <hyperlink ref="AG437" r:id="rId143" xr:uid="{00000000-0004-0000-0000-00008D000000}"/>
    <hyperlink ref="AG438" r:id="rId144" xr:uid="{00000000-0004-0000-0000-00008E000000}"/>
    <hyperlink ref="AG440" r:id="rId145" xr:uid="{00000000-0004-0000-0000-00008F000000}"/>
    <hyperlink ref="AG450" r:id="rId146" xr:uid="{00000000-0004-0000-0000-000090000000}"/>
    <hyperlink ref="AG452" r:id="rId147" xr:uid="{00000000-0004-0000-0000-000091000000}"/>
    <hyperlink ref="AG453" r:id="rId148" xr:uid="{00000000-0004-0000-0000-000092000000}"/>
    <hyperlink ref="AG454" r:id="rId149" xr:uid="{00000000-0004-0000-0000-000093000000}"/>
    <hyperlink ref="AG455" r:id="rId150" xr:uid="{00000000-0004-0000-0000-000094000000}"/>
    <hyperlink ref="AG456" r:id="rId151" xr:uid="{00000000-0004-0000-0000-000095000000}"/>
    <hyperlink ref="AG457" r:id="rId152" xr:uid="{00000000-0004-0000-0000-000096000000}"/>
    <hyperlink ref="AG458" r:id="rId153" xr:uid="{00000000-0004-0000-0000-000097000000}"/>
    <hyperlink ref="AG459" r:id="rId154" xr:uid="{00000000-0004-0000-0000-000098000000}"/>
    <hyperlink ref="AG462" r:id="rId155" xr:uid="{00000000-0004-0000-0000-000099000000}"/>
    <hyperlink ref="AG464" r:id="rId156" xr:uid="{00000000-0004-0000-0000-00009A000000}"/>
    <hyperlink ref="AG465" r:id="rId157" xr:uid="{00000000-0004-0000-0000-00009B000000}"/>
    <hyperlink ref="AG471" r:id="rId158" xr:uid="{00000000-0004-0000-0000-00009C000000}"/>
    <hyperlink ref="AG472" r:id="rId159" xr:uid="{00000000-0004-0000-0000-00009D000000}"/>
    <hyperlink ref="AG473" r:id="rId160" xr:uid="{00000000-0004-0000-0000-00009E000000}"/>
    <hyperlink ref="AG474" r:id="rId161" xr:uid="{00000000-0004-0000-0000-00009F000000}"/>
    <hyperlink ref="AG475" r:id="rId162" xr:uid="{00000000-0004-0000-0000-0000A0000000}"/>
    <hyperlink ref="AG476" r:id="rId163" xr:uid="{00000000-0004-0000-0000-0000A1000000}"/>
    <hyperlink ref="AG481" r:id="rId164" xr:uid="{00000000-0004-0000-0000-0000A2000000}"/>
    <hyperlink ref="AG482" r:id="rId165" xr:uid="{00000000-0004-0000-0000-0000A3000000}"/>
    <hyperlink ref="AG484" r:id="rId166" xr:uid="{00000000-0004-0000-0000-0000A4000000}"/>
    <hyperlink ref="AG485" r:id="rId167" xr:uid="{00000000-0004-0000-0000-0000A5000000}"/>
    <hyperlink ref="AG486" r:id="rId168" xr:uid="{00000000-0004-0000-0000-0000A6000000}"/>
    <hyperlink ref="AG487" r:id="rId169" xr:uid="{00000000-0004-0000-0000-0000A7000000}"/>
    <hyperlink ref="AG488" r:id="rId170" xr:uid="{00000000-0004-0000-0000-0000A8000000}"/>
    <hyperlink ref="AG522" r:id="rId171" xr:uid="{00000000-0004-0000-0000-0000A9000000}"/>
    <hyperlink ref="AG523" r:id="rId172" xr:uid="{00000000-0004-0000-0000-0000AA000000}"/>
    <hyperlink ref="AG524" r:id="rId173" xr:uid="{00000000-0004-0000-0000-0000AB000000}"/>
    <hyperlink ref="AG536" r:id="rId174" xr:uid="{00000000-0004-0000-0000-0000AC000000}"/>
    <hyperlink ref="AG537" r:id="rId175" xr:uid="{00000000-0004-0000-0000-0000AD000000}"/>
    <hyperlink ref="AG556" r:id="rId176" xr:uid="{00000000-0004-0000-0000-0000AE000000}"/>
    <hyperlink ref="AG558" r:id="rId177" xr:uid="{00000000-0004-0000-0000-0000AF000000}"/>
    <hyperlink ref="AG561" r:id="rId178" xr:uid="{00000000-0004-0000-0000-0000B0000000}"/>
    <hyperlink ref="AG586" r:id="rId179" xr:uid="{00000000-0004-0000-0000-0000B1000000}"/>
    <hyperlink ref="AG589" r:id="rId180" xr:uid="{00000000-0004-0000-0000-0000B2000000}"/>
    <hyperlink ref="AG590" r:id="rId181" xr:uid="{00000000-0004-0000-0000-0000B3000000}"/>
    <hyperlink ref="AG591" r:id="rId182" xr:uid="{00000000-0004-0000-0000-0000B4000000}"/>
    <hyperlink ref="AG592" r:id="rId183" xr:uid="{00000000-0004-0000-0000-0000B5000000}"/>
    <hyperlink ref="AG593" r:id="rId184" xr:uid="{00000000-0004-0000-0000-0000B6000000}"/>
    <hyperlink ref="AG594" r:id="rId185" xr:uid="{00000000-0004-0000-0000-0000B7000000}"/>
    <hyperlink ref="AG750" r:id="rId186" xr:uid="{00000000-0004-0000-0000-0000B8000000}"/>
    <hyperlink ref="AG757" r:id="rId187" xr:uid="{00000000-0004-0000-0000-0000B9000000}"/>
    <hyperlink ref="AG762" r:id="rId188" xr:uid="{00000000-0004-0000-0000-0000BA000000}"/>
    <hyperlink ref="AG777" r:id="rId189" xr:uid="{00000000-0004-0000-0000-0000BB000000}"/>
    <hyperlink ref="AG778" r:id="rId190" xr:uid="{00000000-0004-0000-0000-0000BC000000}"/>
    <hyperlink ref="AG779" r:id="rId191" xr:uid="{00000000-0004-0000-0000-0000BD000000}"/>
    <hyperlink ref="AG780" r:id="rId192" xr:uid="{00000000-0004-0000-0000-0000BE000000}"/>
    <hyperlink ref="AG781" r:id="rId193" xr:uid="{00000000-0004-0000-0000-0000BF000000}"/>
    <hyperlink ref="AG782" r:id="rId194" xr:uid="{00000000-0004-0000-0000-0000C0000000}"/>
    <hyperlink ref="AG783" r:id="rId195" xr:uid="{00000000-0004-0000-0000-0000C1000000}"/>
    <hyperlink ref="AG784" r:id="rId196" xr:uid="{00000000-0004-0000-0000-0000C2000000}"/>
    <hyperlink ref="AG795" r:id="rId197" xr:uid="{00000000-0004-0000-0000-0000C3000000}"/>
    <hyperlink ref="AG798" r:id="rId198" xr:uid="{00000000-0004-0000-0000-0000C4000000}"/>
    <hyperlink ref="AG808" r:id="rId199" xr:uid="{00000000-0004-0000-0000-0000C5000000}"/>
    <hyperlink ref="AG827" r:id="rId200" xr:uid="{00000000-0004-0000-0000-0000C6000000}"/>
    <hyperlink ref="AG836" r:id="rId201" xr:uid="{00000000-0004-0000-0000-0000C7000000}"/>
    <hyperlink ref="AG851" r:id="rId202" xr:uid="{00000000-0004-0000-0000-0000C8000000}"/>
    <hyperlink ref="AG852" r:id="rId203" xr:uid="{00000000-0004-0000-0000-0000C9000000}"/>
    <hyperlink ref="AG854" r:id="rId204" xr:uid="{00000000-0004-0000-0000-0000CA000000}"/>
    <hyperlink ref="AG855" r:id="rId205" xr:uid="{00000000-0004-0000-0000-0000CB000000}"/>
    <hyperlink ref="AG857" r:id="rId206" xr:uid="{00000000-0004-0000-0000-0000CC000000}"/>
    <hyperlink ref="AG858" r:id="rId207" xr:uid="{00000000-0004-0000-0000-0000CD000000}"/>
    <hyperlink ref="AG865" r:id="rId208" xr:uid="{00000000-0004-0000-0000-0000CE000000}"/>
    <hyperlink ref="AG872" r:id="rId209" xr:uid="{00000000-0004-0000-0000-0000CF000000}"/>
    <hyperlink ref="AG873" r:id="rId210" xr:uid="{00000000-0004-0000-0000-0000D0000000}"/>
    <hyperlink ref="AG874" r:id="rId211" xr:uid="{00000000-0004-0000-0000-0000D1000000}"/>
    <hyperlink ref="AG875" r:id="rId212" xr:uid="{00000000-0004-0000-0000-0000D2000000}"/>
    <hyperlink ref="AG880" r:id="rId213" xr:uid="{00000000-0004-0000-0000-0000D3000000}"/>
    <hyperlink ref="AG881" r:id="rId214" xr:uid="{00000000-0004-0000-0000-0000D4000000}"/>
    <hyperlink ref="AG884" r:id="rId215" xr:uid="{00000000-0004-0000-0000-0000D5000000}"/>
    <hyperlink ref="AG885" r:id="rId216" xr:uid="{00000000-0004-0000-0000-0000D6000000}"/>
    <hyperlink ref="AG886" r:id="rId217" xr:uid="{00000000-0004-0000-0000-0000D7000000}"/>
    <hyperlink ref="AG893" r:id="rId218" xr:uid="{00000000-0004-0000-0000-0000D8000000}"/>
    <hyperlink ref="AG896" r:id="rId219" xr:uid="{00000000-0004-0000-0000-0000D9000000}"/>
    <hyperlink ref="AG898" r:id="rId220" xr:uid="{00000000-0004-0000-0000-0000DA000000}"/>
    <hyperlink ref="AG239" r:id="rId221" xr:uid="{00000000-0004-0000-0000-0000DB000000}"/>
    <hyperlink ref="AG134" r:id="rId222" xr:uid="{00000000-0004-0000-0000-0000DC000000}"/>
    <hyperlink ref="AG240" r:id="rId223" xr:uid="{00000000-0004-0000-0000-0000DD000000}"/>
    <hyperlink ref="AG751" r:id="rId224" xr:uid="{00000000-0004-0000-0000-0000DE000000}"/>
    <hyperlink ref="AG772" r:id="rId225" xr:uid="{00000000-0004-0000-0000-0000DF000000}"/>
    <hyperlink ref="AG895" r:id="rId226" xr:uid="{00000000-0004-0000-0000-0000E0000000}"/>
    <hyperlink ref="AG776" r:id="rId227" xr:uid="{00000000-0004-0000-0000-0000E1000000}"/>
    <hyperlink ref="AG775" r:id="rId228" xr:uid="{00000000-0004-0000-0000-0000E2000000}"/>
    <hyperlink ref="AG769" r:id="rId229" xr:uid="{00000000-0004-0000-0000-0000E3000000}"/>
    <hyperlink ref="AG785" r:id="rId230" xr:uid="{00000000-0004-0000-0000-0000E4000000}"/>
    <hyperlink ref="AG894" r:id="rId231" xr:uid="{00000000-0004-0000-0000-0000E5000000}"/>
    <hyperlink ref="AG195" r:id="rId232" xr:uid="{00000000-0004-0000-0000-0000E6000000}"/>
    <hyperlink ref="AG494" r:id="rId233" xr:uid="{00000000-0004-0000-0000-0000E7000000}"/>
    <hyperlink ref="AG167" r:id="rId234" xr:uid="{00000000-0004-0000-0000-0000E8000000}"/>
    <hyperlink ref="AG168" r:id="rId235" xr:uid="{00000000-0004-0000-0000-0000E9000000}"/>
    <hyperlink ref="AG173" r:id="rId236" xr:uid="{00000000-0004-0000-0000-0000EA000000}"/>
    <hyperlink ref="AG201" r:id="rId237" xr:uid="{00000000-0004-0000-0000-0000EB000000}"/>
    <hyperlink ref="AG212" r:id="rId238" xr:uid="{00000000-0004-0000-0000-0000EC000000}"/>
    <hyperlink ref="AG111" r:id="rId239" xr:uid="{00000000-0004-0000-0000-0000ED000000}"/>
    <hyperlink ref="AG838" r:id="rId240" xr:uid="{00000000-0004-0000-0000-0000EE000000}"/>
    <hyperlink ref="AG812" r:id="rId241" xr:uid="{00000000-0004-0000-0000-0000EF000000}"/>
    <hyperlink ref="AG786" r:id="rId242" xr:uid="{00000000-0004-0000-0000-0000F0000000}"/>
    <hyperlink ref="AG787" r:id="rId243" xr:uid="{00000000-0004-0000-0000-0000F1000000}"/>
    <hyperlink ref="AG490" r:id="rId244" xr:uid="{00000000-0004-0000-0000-0000F2000000}"/>
    <hyperlink ref="AG491" r:id="rId245" xr:uid="{00000000-0004-0000-0000-0000F3000000}"/>
    <hyperlink ref="AG492" r:id="rId246" xr:uid="{00000000-0004-0000-0000-0000F4000000}"/>
    <hyperlink ref="AG493" r:id="rId247" xr:uid="{00000000-0004-0000-0000-0000F5000000}"/>
    <hyperlink ref="AG742" r:id="rId248" xr:uid="{00000000-0004-0000-0000-0000F6000000}"/>
    <hyperlink ref="AG740" r:id="rId249" xr:uid="{00000000-0004-0000-0000-0000F7000000}"/>
    <hyperlink ref="AG741" r:id="rId250" xr:uid="{00000000-0004-0000-0000-0000F8000000}"/>
    <hyperlink ref="AG237" r:id="rId251" xr:uid="{00000000-0004-0000-0000-0000F9000000}"/>
    <hyperlink ref="AG122" r:id="rId252" xr:uid="{00000000-0004-0000-0000-0000FA000000}"/>
    <hyperlink ref="AG5" r:id="rId253" xr:uid="{00000000-0004-0000-0000-0000FB000000}"/>
    <hyperlink ref="AG21" r:id="rId254" xr:uid="{00000000-0004-0000-0000-0000FC000000}"/>
    <hyperlink ref="AG46" r:id="rId255" xr:uid="{00000000-0004-0000-0000-0000FD000000}"/>
    <hyperlink ref="AG48" r:id="rId256" xr:uid="{00000000-0004-0000-0000-0000FE000000}"/>
    <hyperlink ref="AG49" r:id="rId257" xr:uid="{00000000-0004-0000-0000-0000FF000000}"/>
    <hyperlink ref="AG53" r:id="rId258" xr:uid="{00000000-0004-0000-0000-000000010000}"/>
    <hyperlink ref="AG142" r:id="rId259" xr:uid="{00000000-0004-0000-0000-000001010000}"/>
    <hyperlink ref="AG197" r:id="rId260" xr:uid="{00000000-0004-0000-0000-000002010000}"/>
    <hyperlink ref="AG200" r:id="rId261" xr:uid="{00000000-0004-0000-0000-000003010000}"/>
    <hyperlink ref="AG203" r:id="rId262" xr:uid="{00000000-0004-0000-0000-000004010000}"/>
    <hyperlink ref="AG209" r:id="rId263" xr:uid="{00000000-0004-0000-0000-000005010000}"/>
    <hyperlink ref="AG219" r:id="rId264" xr:uid="{00000000-0004-0000-0000-000006010000}"/>
    <hyperlink ref="AG233" r:id="rId265" xr:uid="{00000000-0004-0000-0000-000007010000}"/>
    <hyperlink ref="AG235" r:id="rId266" xr:uid="{00000000-0004-0000-0000-000008010000}"/>
    <hyperlink ref="AG254" r:id="rId267" xr:uid="{00000000-0004-0000-0000-000009010000}"/>
    <hyperlink ref="AG739" r:id="rId268" xr:uid="{00000000-0004-0000-0000-00000A010000}"/>
    <hyperlink ref="AG813" r:id="rId269" xr:uid="{00000000-0004-0000-0000-00000B010000}"/>
    <hyperlink ref="AG839" r:id="rId270" xr:uid="{00000000-0004-0000-0000-00000C010000}"/>
    <hyperlink ref="AG413" r:id="rId271" xr:uid="{00000000-0004-0000-0000-00000D010000}"/>
    <hyperlink ref="AG562" r:id="rId272" xr:uid="{00000000-0004-0000-0000-00000E010000}"/>
    <hyperlink ref="AG540" r:id="rId273" xr:uid="{00000000-0004-0000-0000-00000F010000}"/>
    <hyperlink ref="AG856" r:id="rId274" xr:uid="{00000000-0004-0000-0000-000010010000}"/>
    <hyperlink ref="AG117" r:id="rId275" xr:uid="{00000000-0004-0000-0000-000011010000}"/>
    <hyperlink ref="AG241" r:id="rId276" xr:uid="{00000000-0004-0000-0000-000012010000}"/>
    <hyperlink ref="AG144" r:id="rId277" xr:uid="{00000000-0004-0000-0000-000013010000}"/>
    <hyperlink ref="AG878" r:id="rId278" xr:uid="{00000000-0004-0000-0000-000014010000}"/>
    <hyperlink ref="AG89" r:id="rId279" xr:uid="{00000000-0004-0000-0000-000015010000}"/>
    <hyperlink ref="AG859" r:id="rId280" xr:uid="{00000000-0004-0000-0000-000016010000}"/>
    <hyperlink ref="AG495" r:id="rId281" xr:uid="{00000000-0004-0000-0000-000017010000}"/>
    <hyperlink ref="AG125" r:id="rId282" xr:uid="{00000000-0004-0000-0000-000018010000}"/>
    <hyperlink ref="AG789" r:id="rId283" xr:uid="{00000000-0004-0000-0000-000019010000}"/>
    <hyperlink ref="AG148" r:id="rId284" xr:uid="{00000000-0004-0000-0000-00001A010000}"/>
    <hyperlink ref="AG496" r:id="rId285" xr:uid="{00000000-0004-0000-0000-00001B010000}"/>
    <hyperlink ref="AG497" r:id="rId286" xr:uid="{00000000-0004-0000-0000-00001C010000}"/>
    <hyperlink ref="AG242" r:id="rId287" xr:uid="{00000000-0004-0000-0000-00001D010000}"/>
    <hyperlink ref="AG614" r:id="rId288" xr:uid="{00000000-0004-0000-0000-00001E010000}"/>
    <hyperlink ref="AG615" r:id="rId289" xr:uid="{00000000-0004-0000-0000-00001F010000}"/>
    <hyperlink ref="AG616" r:id="rId290" xr:uid="{00000000-0004-0000-0000-000020010000}"/>
    <hyperlink ref="AG617" r:id="rId291" xr:uid="{00000000-0004-0000-0000-000021010000}"/>
    <hyperlink ref="AG244" r:id="rId292" xr:uid="{00000000-0004-0000-0000-000022010000}"/>
    <hyperlink ref="AG140" r:id="rId293" xr:uid="{00000000-0004-0000-0000-000023010000}"/>
    <hyperlink ref="AG245" r:id="rId294" xr:uid="{00000000-0004-0000-0000-000024010000}"/>
  </hyperlinks>
  <pageMargins left="0.7" right="0.7" top="0.75" bottom="0.75" header="0" footer="0"/>
  <pageSetup orientation="portrait" r:id="rId295"/>
  <headerFooter>
    <oddFooter>&amp;LFS1-010-049&amp;CPag. 1 of 1&amp;RRev. 03 22-NOV-2016.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FB1289"/>
  <sheetViews>
    <sheetView showGridLines="0" tabSelected="1" topLeftCell="B1" zoomScale="80" zoomScaleNormal="80" workbookViewId="0">
      <pane xSplit="7" ySplit="2" topLeftCell="I3" activePane="bottomRight" state="frozen"/>
      <selection activeCell="B1" sqref="B1"/>
      <selection pane="topRight" activeCell="I1" sqref="I1"/>
      <selection pane="bottomLeft" activeCell="B3" sqref="B3"/>
      <selection pane="bottomRight" activeCell="B3" sqref="B3"/>
    </sheetView>
  </sheetViews>
  <sheetFormatPr defaultColWidth="8.88671875" defaultRowHeight="12" outlineLevelCol="1" x14ac:dyDescent="0.25"/>
  <cols>
    <col min="1" max="1" width="7" style="131" hidden="1" customWidth="1"/>
    <col min="2" max="2" width="10.109375" style="131" customWidth="1"/>
    <col min="3" max="3" width="14.44140625" style="131" customWidth="1"/>
    <col min="4" max="4" width="26" style="228" customWidth="1"/>
    <col min="5" max="5" width="9.44140625" style="130" customWidth="1"/>
    <col min="6" max="6" width="22.44140625" style="131" customWidth="1"/>
    <col min="7" max="7" width="6.88671875" style="130" customWidth="1"/>
    <col min="8" max="8" width="11.44140625" style="190" customWidth="1"/>
    <col min="9" max="9" width="30" style="228" customWidth="1"/>
    <col min="10" max="10" width="11.109375" style="140" customWidth="1"/>
    <col min="11" max="11" width="13.6640625" style="130" customWidth="1"/>
    <col min="12" max="12" width="11.33203125" style="130" customWidth="1"/>
    <col min="13" max="13" width="10.109375" style="130" customWidth="1"/>
    <col min="14" max="14" width="11.88671875" style="327" customWidth="1"/>
    <col min="15" max="15" width="13" style="198" customWidth="1" outlineLevel="1"/>
    <col min="16" max="16" width="15.109375" style="130" customWidth="1"/>
    <col min="17" max="17" width="13.33203125" style="186" customWidth="1" collapsed="1"/>
    <col min="18" max="18" width="16.109375" style="334" customWidth="1"/>
    <col min="19" max="19" width="16" style="130" customWidth="1"/>
    <col min="20" max="20" width="21.5546875" style="131" customWidth="1"/>
    <col min="21" max="21" width="15.6640625" style="130" customWidth="1"/>
    <col min="22" max="22" width="22.5546875" style="131" customWidth="1"/>
    <col min="23" max="23" width="19.44140625" style="130" customWidth="1"/>
    <col min="24" max="24" width="18.6640625" style="130" customWidth="1"/>
    <col min="25" max="25" width="10.77734375" style="203" customWidth="1"/>
    <col min="26" max="26" width="17.33203125" style="204" customWidth="1"/>
    <col min="27" max="27" width="39.77734375" style="204" bestFit="1" customWidth="1"/>
    <col min="28" max="31" width="8.88671875" style="202" customWidth="1"/>
    <col min="32" max="16384" width="8.88671875" style="202"/>
  </cols>
  <sheetData>
    <row r="1" spans="1:27" ht="22.2" customHeight="1" x14ac:dyDescent="0.25">
      <c r="B1" s="132" t="s">
        <v>1610</v>
      </c>
      <c r="C1" s="323"/>
      <c r="D1" s="335"/>
      <c r="E1" s="281"/>
      <c r="F1" s="133"/>
      <c r="G1" s="183"/>
      <c r="H1" s="187"/>
      <c r="I1" s="224"/>
      <c r="J1" s="215" t="s">
        <v>1811</v>
      </c>
      <c r="K1" s="358" t="s">
        <v>1785</v>
      </c>
      <c r="L1" s="358"/>
      <c r="M1" s="358"/>
      <c r="N1" s="324"/>
      <c r="O1" s="191"/>
      <c r="P1" s="163"/>
      <c r="Q1" s="184"/>
      <c r="R1" s="343"/>
      <c r="S1" s="163"/>
      <c r="T1" s="132"/>
      <c r="U1" s="161"/>
      <c r="V1" s="135"/>
      <c r="W1" s="161"/>
      <c r="X1" s="351"/>
      <c r="Y1" s="202"/>
    </row>
    <row r="2" spans="1:27" s="203" customFormat="1" ht="20.399999999999999" customHeight="1" x14ac:dyDescent="0.25">
      <c r="A2" s="142" t="s">
        <v>2124</v>
      </c>
      <c r="B2" s="126" t="s">
        <v>1</v>
      </c>
      <c r="C2" s="126" t="s">
        <v>2</v>
      </c>
      <c r="D2" s="126" t="s">
        <v>3</v>
      </c>
      <c r="E2" s="126" t="s">
        <v>4</v>
      </c>
      <c r="F2" s="126" t="s">
        <v>1821</v>
      </c>
      <c r="G2" s="126" t="s">
        <v>6</v>
      </c>
      <c r="H2" s="188" t="s">
        <v>7</v>
      </c>
      <c r="I2" s="220" t="s">
        <v>1800</v>
      </c>
      <c r="J2" s="144" t="s">
        <v>1724</v>
      </c>
      <c r="K2" s="182" t="s">
        <v>1782</v>
      </c>
      <c r="L2" s="182" t="s">
        <v>1783</v>
      </c>
      <c r="M2" s="182" t="s">
        <v>1784</v>
      </c>
      <c r="N2" s="304" t="s">
        <v>9</v>
      </c>
      <c r="O2" s="192" t="s">
        <v>1541</v>
      </c>
      <c r="P2" s="145" t="s">
        <v>1540</v>
      </c>
      <c r="Q2" s="199" t="s">
        <v>18</v>
      </c>
      <c r="R2" s="344" t="s">
        <v>19</v>
      </c>
      <c r="S2" s="126" t="s">
        <v>21</v>
      </c>
      <c r="T2" s="126" t="s">
        <v>23</v>
      </c>
      <c r="U2" s="126" t="s">
        <v>25</v>
      </c>
      <c r="V2" s="126" t="s">
        <v>1601</v>
      </c>
      <c r="W2" s="126" t="s">
        <v>1802</v>
      </c>
      <c r="X2" s="292" t="s">
        <v>1905</v>
      </c>
      <c r="Y2" s="293" t="s">
        <v>2071</v>
      </c>
      <c r="Z2" s="293" t="s">
        <v>2525</v>
      </c>
      <c r="AA2" s="352" t="s">
        <v>2684</v>
      </c>
    </row>
    <row r="3" spans="1:27" ht="24" x14ac:dyDescent="0.25">
      <c r="A3" s="131">
        <v>1</v>
      </c>
      <c r="B3" s="129">
        <v>1101042</v>
      </c>
      <c r="C3" s="127" t="s">
        <v>30</v>
      </c>
      <c r="D3" s="128" t="s">
        <v>2656</v>
      </c>
      <c r="E3" s="151" t="s">
        <v>32</v>
      </c>
      <c r="F3" s="129" t="s">
        <v>307</v>
      </c>
      <c r="G3" s="147" t="s">
        <v>34</v>
      </c>
      <c r="H3" s="189">
        <f t="shared" ref="H3:H66" si="0">Q3+R3</f>
        <v>5.21</v>
      </c>
      <c r="I3" s="210" t="s">
        <v>2223</v>
      </c>
      <c r="J3" s="146">
        <v>0</v>
      </c>
      <c r="K3" s="147">
        <v>11</v>
      </c>
      <c r="L3" s="147">
        <v>1</v>
      </c>
      <c r="M3" s="147">
        <v>12</v>
      </c>
      <c r="N3" s="275">
        <v>1300.7140000000002</v>
      </c>
      <c r="O3" s="173">
        <v>2.5356073664156762</v>
      </c>
      <c r="P3" s="179">
        <v>46139</v>
      </c>
      <c r="Q3" s="173">
        <v>5.16</v>
      </c>
      <c r="R3" s="271">
        <v>0.05</v>
      </c>
      <c r="S3" s="164" t="s">
        <v>35</v>
      </c>
      <c r="T3" s="129" t="s">
        <v>36</v>
      </c>
      <c r="U3" s="147" t="s">
        <v>37</v>
      </c>
      <c r="V3" s="129"/>
      <c r="W3" s="147" t="s">
        <v>2208</v>
      </c>
      <c r="X3" s="205" t="s">
        <v>1009</v>
      </c>
      <c r="Y3" s="251"/>
      <c r="Z3" s="290"/>
      <c r="AA3" s="286" t="s">
        <v>33</v>
      </c>
    </row>
    <row r="4" spans="1:27" ht="24" hidden="1" x14ac:dyDescent="0.25">
      <c r="A4" s="131">
        <v>1</v>
      </c>
      <c r="B4" s="129">
        <v>1101043</v>
      </c>
      <c r="C4" s="127" t="s">
        <v>30</v>
      </c>
      <c r="D4" s="128" t="s">
        <v>42</v>
      </c>
      <c r="E4" s="151" t="s">
        <v>259</v>
      </c>
      <c r="F4" s="129" t="s">
        <v>33</v>
      </c>
      <c r="G4" s="147" t="s">
        <v>34</v>
      </c>
      <c r="H4" s="189">
        <f t="shared" si="0"/>
        <v>2.585</v>
      </c>
      <c r="I4" s="210" t="s">
        <v>2223</v>
      </c>
      <c r="J4" s="146">
        <v>0</v>
      </c>
      <c r="K4" s="147">
        <v>5</v>
      </c>
      <c r="L4" s="147">
        <v>1</v>
      </c>
      <c r="M4" s="147">
        <v>6</v>
      </c>
      <c r="N4" s="275">
        <v>8994.768</v>
      </c>
      <c r="O4" s="194">
        <v>2.2669999999999999</v>
      </c>
      <c r="P4" s="179">
        <v>44974</v>
      </c>
      <c r="Q4" s="173">
        <v>2.585</v>
      </c>
      <c r="R4" s="271">
        <v>0</v>
      </c>
      <c r="S4" s="164"/>
      <c r="T4" s="129" t="s">
        <v>44</v>
      </c>
      <c r="U4" s="147" t="s">
        <v>37</v>
      </c>
      <c r="V4" s="129"/>
      <c r="W4" s="176" t="s">
        <v>54</v>
      </c>
      <c r="X4" s="205"/>
      <c r="Y4" s="251"/>
      <c r="Z4" s="290"/>
      <c r="AA4" s="286"/>
    </row>
    <row r="5" spans="1:27" ht="24" x14ac:dyDescent="0.25">
      <c r="A5" s="131">
        <v>1</v>
      </c>
      <c r="B5" s="129">
        <v>1101044</v>
      </c>
      <c r="C5" s="127" t="s">
        <v>30</v>
      </c>
      <c r="D5" s="136" t="s">
        <v>45</v>
      </c>
      <c r="E5" s="151" t="s">
        <v>46</v>
      </c>
      <c r="F5" s="129" t="s">
        <v>47</v>
      </c>
      <c r="G5" s="147" t="s">
        <v>34</v>
      </c>
      <c r="H5" s="189">
        <f t="shared" si="0"/>
        <v>2.66</v>
      </c>
      <c r="I5" s="210" t="s">
        <v>2223</v>
      </c>
      <c r="J5" s="146">
        <v>30</v>
      </c>
      <c r="K5" s="147">
        <v>9</v>
      </c>
      <c r="L5" s="147">
        <v>1</v>
      </c>
      <c r="M5" s="147">
        <v>10</v>
      </c>
      <c r="N5" s="275">
        <v>6400</v>
      </c>
      <c r="O5" s="193">
        <v>2.66</v>
      </c>
      <c r="P5" s="179">
        <v>45947</v>
      </c>
      <c r="Q5" s="173">
        <v>2.66</v>
      </c>
      <c r="R5" s="345">
        <v>0</v>
      </c>
      <c r="S5" s="164" t="s">
        <v>35</v>
      </c>
      <c r="T5" s="129" t="s">
        <v>36</v>
      </c>
      <c r="U5" s="147" t="s">
        <v>37</v>
      </c>
      <c r="V5" s="129"/>
      <c r="W5" s="147" t="s">
        <v>2208</v>
      </c>
      <c r="X5" s="205" t="s">
        <v>1903</v>
      </c>
      <c r="Y5" s="251"/>
      <c r="Z5" s="290"/>
      <c r="AA5" s="286" t="s">
        <v>47</v>
      </c>
    </row>
    <row r="6" spans="1:27" ht="36" x14ac:dyDescent="0.25">
      <c r="A6" s="131">
        <v>1</v>
      </c>
      <c r="B6" s="129">
        <v>1101045</v>
      </c>
      <c r="C6" s="127" t="s">
        <v>30</v>
      </c>
      <c r="D6" s="128" t="s">
        <v>2404</v>
      </c>
      <c r="E6" s="147" t="s">
        <v>545</v>
      </c>
      <c r="F6" s="129" t="s">
        <v>1886</v>
      </c>
      <c r="G6" s="147" t="s">
        <v>34</v>
      </c>
      <c r="H6" s="189">
        <f t="shared" si="0"/>
        <v>5.75</v>
      </c>
      <c r="I6" s="210" t="s">
        <v>2347</v>
      </c>
      <c r="J6" s="146">
        <v>0</v>
      </c>
      <c r="K6" s="147">
        <v>8</v>
      </c>
      <c r="L6" s="147">
        <v>2</v>
      </c>
      <c r="M6" s="147">
        <v>10</v>
      </c>
      <c r="N6" s="275">
        <v>220</v>
      </c>
      <c r="O6" s="193">
        <v>7.77</v>
      </c>
      <c r="P6" s="179">
        <v>45434</v>
      </c>
      <c r="Q6" s="173">
        <v>5.7</v>
      </c>
      <c r="R6" s="271">
        <v>0.05</v>
      </c>
      <c r="S6" s="164"/>
      <c r="T6" s="129" t="s">
        <v>36</v>
      </c>
      <c r="U6" s="147" t="s">
        <v>37</v>
      </c>
      <c r="V6" s="129"/>
      <c r="W6" s="147" t="s">
        <v>2208</v>
      </c>
      <c r="X6" s="205" t="s">
        <v>1912</v>
      </c>
      <c r="Y6" s="251"/>
      <c r="Z6" s="290"/>
      <c r="AA6" s="286" t="s">
        <v>2689</v>
      </c>
    </row>
    <row r="7" spans="1:27" ht="24" hidden="1" x14ac:dyDescent="0.25">
      <c r="A7" s="131">
        <v>1</v>
      </c>
      <c r="B7" s="129">
        <v>1101046</v>
      </c>
      <c r="C7" s="127" t="s">
        <v>30</v>
      </c>
      <c r="D7" s="128" t="s">
        <v>53</v>
      </c>
      <c r="E7" s="151" t="s">
        <v>32</v>
      </c>
      <c r="F7" s="129" t="s">
        <v>33</v>
      </c>
      <c r="G7" s="147" t="s">
        <v>34</v>
      </c>
      <c r="H7" s="189">
        <f t="shared" si="0"/>
        <v>0</v>
      </c>
      <c r="I7" s="210" t="s">
        <v>2223</v>
      </c>
      <c r="J7" s="146">
        <v>0</v>
      </c>
      <c r="K7" s="147">
        <v>5</v>
      </c>
      <c r="L7" s="147">
        <v>1</v>
      </c>
      <c r="M7" s="147">
        <v>6</v>
      </c>
      <c r="N7" s="275"/>
      <c r="O7" s="194"/>
      <c r="P7" s="179"/>
      <c r="Q7" s="173"/>
      <c r="R7" s="260">
        <v>0</v>
      </c>
      <c r="S7" s="164"/>
      <c r="T7" s="129" t="s">
        <v>55</v>
      </c>
      <c r="U7" s="147" t="s">
        <v>37</v>
      </c>
      <c r="V7" s="129"/>
      <c r="W7" s="162" t="s">
        <v>54</v>
      </c>
      <c r="X7" s="205"/>
      <c r="Y7" s="251"/>
      <c r="Z7" s="290"/>
      <c r="AA7" s="286"/>
    </row>
    <row r="8" spans="1:27" s="181" customFormat="1" ht="24" hidden="1" x14ac:dyDescent="0.25">
      <c r="A8" s="131">
        <v>1</v>
      </c>
      <c r="B8" s="129">
        <v>1101047</v>
      </c>
      <c r="C8" s="127" t="s">
        <v>30</v>
      </c>
      <c r="D8" s="128" t="s">
        <v>56</v>
      </c>
      <c r="E8" s="151" t="s">
        <v>32</v>
      </c>
      <c r="F8" s="138" t="s">
        <v>57</v>
      </c>
      <c r="G8" s="147" t="s">
        <v>34</v>
      </c>
      <c r="H8" s="189">
        <f t="shared" si="0"/>
        <v>0</v>
      </c>
      <c r="I8" s="213"/>
      <c r="J8" s="149"/>
      <c r="K8" s="147">
        <v>12</v>
      </c>
      <c r="L8" s="147">
        <v>1</v>
      </c>
      <c r="M8" s="147">
        <v>13</v>
      </c>
      <c r="N8" s="275"/>
      <c r="O8" s="194"/>
      <c r="P8" s="179"/>
      <c r="Q8" s="173"/>
      <c r="R8" s="260">
        <v>0</v>
      </c>
      <c r="S8" s="164"/>
      <c r="T8" s="129" t="s">
        <v>58</v>
      </c>
      <c r="U8" s="147" t="s">
        <v>35</v>
      </c>
      <c r="V8" s="129"/>
      <c r="W8" s="162" t="s">
        <v>54</v>
      </c>
      <c r="X8" s="205"/>
      <c r="Y8" s="251"/>
      <c r="Z8" s="290"/>
      <c r="AA8" s="286"/>
    </row>
    <row r="9" spans="1:27" s="181" customFormat="1" hidden="1" x14ac:dyDescent="0.25">
      <c r="A9" s="131">
        <v>1</v>
      </c>
      <c r="B9" s="129">
        <v>1101049</v>
      </c>
      <c r="C9" s="127" t="s">
        <v>30</v>
      </c>
      <c r="D9" s="128" t="s">
        <v>59</v>
      </c>
      <c r="E9" s="151" t="s">
        <v>32</v>
      </c>
      <c r="F9" s="138" t="s">
        <v>57</v>
      </c>
      <c r="G9" s="147" t="s">
        <v>34</v>
      </c>
      <c r="H9" s="189">
        <f t="shared" si="0"/>
        <v>0</v>
      </c>
      <c r="I9" s="213"/>
      <c r="J9" s="149"/>
      <c r="K9" s="147">
        <v>12</v>
      </c>
      <c r="L9" s="147">
        <v>1</v>
      </c>
      <c r="M9" s="147">
        <v>13</v>
      </c>
      <c r="N9" s="275"/>
      <c r="O9" s="194"/>
      <c r="P9" s="179"/>
      <c r="Q9" s="173"/>
      <c r="R9" s="260">
        <v>0</v>
      </c>
      <c r="S9" s="164"/>
      <c r="T9" s="129" t="s">
        <v>58</v>
      </c>
      <c r="U9" s="147" t="s">
        <v>35</v>
      </c>
      <c r="V9" s="129"/>
      <c r="W9" s="162" t="s">
        <v>54</v>
      </c>
      <c r="X9" s="205"/>
      <c r="Y9" s="251"/>
      <c r="Z9" s="290"/>
      <c r="AA9" s="286"/>
    </row>
    <row r="10" spans="1:27" s="181" customFormat="1" ht="24" hidden="1" x14ac:dyDescent="0.25">
      <c r="A10" s="131">
        <v>1</v>
      </c>
      <c r="B10" s="129">
        <v>1101050</v>
      </c>
      <c r="C10" s="127" t="s">
        <v>30</v>
      </c>
      <c r="D10" s="128" t="s">
        <v>60</v>
      </c>
      <c r="E10" s="151" t="s">
        <v>32</v>
      </c>
      <c r="F10" s="138" t="s">
        <v>57</v>
      </c>
      <c r="G10" s="147" t="s">
        <v>34</v>
      </c>
      <c r="H10" s="189">
        <f t="shared" si="0"/>
        <v>0</v>
      </c>
      <c r="I10" s="213"/>
      <c r="J10" s="149"/>
      <c r="K10" s="147">
        <v>12</v>
      </c>
      <c r="L10" s="147">
        <v>1</v>
      </c>
      <c r="M10" s="147">
        <v>13</v>
      </c>
      <c r="N10" s="275"/>
      <c r="O10" s="194"/>
      <c r="P10" s="179"/>
      <c r="Q10" s="173"/>
      <c r="R10" s="260">
        <v>0</v>
      </c>
      <c r="S10" s="164"/>
      <c r="T10" s="129" t="s">
        <v>58</v>
      </c>
      <c r="U10" s="147" t="s">
        <v>35</v>
      </c>
      <c r="V10" s="129"/>
      <c r="W10" s="162" t="s">
        <v>54</v>
      </c>
      <c r="X10" s="205"/>
      <c r="Y10" s="251"/>
      <c r="Z10" s="290"/>
      <c r="AA10" s="286"/>
    </row>
    <row r="11" spans="1:27" x14ac:dyDescent="0.25">
      <c r="A11" s="131">
        <v>1</v>
      </c>
      <c r="B11" s="129">
        <v>1101051</v>
      </c>
      <c r="C11" s="127" t="s">
        <v>30</v>
      </c>
      <c r="D11" s="128" t="s">
        <v>1684</v>
      </c>
      <c r="E11" s="151" t="s">
        <v>259</v>
      </c>
      <c r="F11" s="129" t="s">
        <v>307</v>
      </c>
      <c r="G11" s="147" t="s">
        <v>34</v>
      </c>
      <c r="H11" s="189">
        <f t="shared" si="0"/>
        <v>6.49</v>
      </c>
      <c r="I11" s="210" t="s">
        <v>2082</v>
      </c>
      <c r="J11" s="146">
        <v>0</v>
      </c>
      <c r="K11" s="147">
        <v>9</v>
      </c>
      <c r="L11" s="147">
        <v>1</v>
      </c>
      <c r="M11" s="147">
        <v>10</v>
      </c>
      <c r="N11" s="275">
        <v>400</v>
      </c>
      <c r="O11" s="193">
        <v>6.87</v>
      </c>
      <c r="P11" s="179">
        <v>45072</v>
      </c>
      <c r="Q11" s="173">
        <v>6.44</v>
      </c>
      <c r="R11" s="271">
        <v>0.05</v>
      </c>
      <c r="S11" s="164"/>
      <c r="T11" s="129" t="s">
        <v>284</v>
      </c>
      <c r="U11" s="147" t="s">
        <v>35</v>
      </c>
      <c r="V11" s="129"/>
      <c r="W11" s="147" t="s">
        <v>2208</v>
      </c>
      <c r="X11" s="205" t="s">
        <v>1009</v>
      </c>
      <c r="Y11" s="253" t="s">
        <v>2129</v>
      </c>
      <c r="Z11" s="290"/>
      <c r="AA11" s="286" t="s">
        <v>33</v>
      </c>
    </row>
    <row r="12" spans="1:27" ht="24" hidden="1" x14ac:dyDescent="0.25">
      <c r="A12" s="131">
        <v>1</v>
      </c>
      <c r="B12" s="129">
        <v>1101052</v>
      </c>
      <c r="C12" s="127" t="s">
        <v>30</v>
      </c>
      <c r="D12" s="128" t="s">
        <v>63</v>
      </c>
      <c r="E12" s="151" t="s">
        <v>259</v>
      </c>
      <c r="F12" s="129" t="s">
        <v>33</v>
      </c>
      <c r="G12" s="147" t="s">
        <v>34</v>
      </c>
      <c r="H12" s="189">
        <f t="shared" si="0"/>
        <v>0</v>
      </c>
      <c r="I12" s="210" t="s">
        <v>2223</v>
      </c>
      <c r="J12" s="146">
        <v>0</v>
      </c>
      <c r="K12" s="147">
        <v>5</v>
      </c>
      <c r="L12" s="147">
        <v>1</v>
      </c>
      <c r="M12" s="147">
        <v>6</v>
      </c>
      <c r="N12" s="275"/>
      <c r="O12" s="194"/>
      <c r="P12" s="179"/>
      <c r="Q12" s="173"/>
      <c r="R12" s="260">
        <v>0</v>
      </c>
      <c r="S12" s="164"/>
      <c r="T12" s="129" t="s">
        <v>64</v>
      </c>
      <c r="U12" s="147" t="s">
        <v>37</v>
      </c>
      <c r="V12" s="129"/>
      <c r="W12" s="162" t="s">
        <v>54</v>
      </c>
      <c r="X12" s="205"/>
      <c r="Y12" s="251"/>
      <c r="Z12" s="290"/>
      <c r="AA12" s="286"/>
    </row>
    <row r="13" spans="1:27" hidden="1" x14ac:dyDescent="0.25">
      <c r="A13" s="131">
        <v>1</v>
      </c>
      <c r="B13" s="129">
        <v>1101053</v>
      </c>
      <c r="C13" s="127" t="s">
        <v>30</v>
      </c>
      <c r="D13" s="128" t="s">
        <v>65</v>
      </c>
      <c r="E13" s="151" t="s">
        <v>66</v>
      </c>
      <c r="F13" s="129" t="s">
        <v>1791</v>
      </c>
      <c r="G13" s="147" t="s">
        <v>34</v>
      </c>
      <c r="H13" s="189">
        <f t="shared" si="0"/>
        <v>0</v>
      </c>
      <c r="I13" s="180" t="s">
        <v>2082</v>
      </c>
      <c r="J13" s="148">
        <v>30</v>
      </c>
      <c r="K13" s="147">
        <v>5</v>
      </c>
      <c r="L13" s="147">
        <v>2</v>
      </c>
      <c r="M13" s="147">
        <v>7</v>
      </c>
      <c r="N13" s="275"/>
      <c r="O13" s="194"/>
      <c r="P13" s="179"/>
      <c r="Q13" s="173"/>
      <c r="R13" s="260">
        <v>0</v>
      </c>
      <c r="S13" s="164"/>
      <c r="T13" s="129" t="s">
        <v>36</v>
      </c>
      <c r="U13" s="147" t="s">
        <v>37</v>
      </c>
      <c r="V13" s="129"/>
      <c r="W13" s="162" t="s">
        <v>54</v>
      </c>
      <c r="X13" s="205"/>
      <c r="Y13" s="251"/>
      <c r="Z13" s="290"/>
      <c r="AA13" s="286"/>
    </row>
    <row r="14" spans="1:27" s="181" customFormat="1" hidden="1" x14ac:dyDescent="0.25">
      <c r="A14" s="131">
        <v>1</v>
      </c>
      <c r="B14" s="129">
        <v>1101054</v>
      </c>
      <c r="C14" s="127" t="s">
        <v>30</v>
      </c>
      <c r="D14" s="128" t="s">
        <v>70</v>
      </c>
      <c r="E14" s="151" t="s">
        <v>32</v>
      </c>
      <c r="F14" s="129" t="s">
        <v>71</v>
      </c>
      <c r="G14" s="147" t="s">
        <v>34</v>
      </c>
      <c r="H14" s="189">
        <f t="shared" si="0"/>
        <v>0</v>
      </c>
      <c r="I14" s="134"/>
      <c r="J14" s="150"/>
      <c r="K14" s="147"/>
      <c r="L14" s="147"/>
      <c r="M14" s="147">
        <v>6</v>
      </c>
      <c r="N14" s="275"/>
      <c r="O14" s="194"/>
      <c r="P14" s="179"/>
      <c r="Q14" s="173"/>
      <c r="R14" s="271"/>
      <c r="S14" s="164"/>
      <c r="T14" s="129" t="s">
        <v>58</v>
      </c>
      <c r="U14" s="147" t="s">
        <v>35</v>
      </c>
      <c r="V14" s="129"/>
      <c r="W14" s="176" t="s">
        <v>54</v>
      </c>
      <c r="X14" s="205"/>
      <c r="Y14" s="251"/>
      <c r="Z14" s="290"/>
      <c r="AA14" s="230"/>
    </row>
    <row r="15" spans="1:27" s="181" customFormat="1" hidden="1" x14ac:dyDescent="0.25">
      <c r="A15" s="131">
        <v>1</v>
      </c>
      <c r="B15" s="129">
        <v>1101055</v>
      </c>
      <c r="C15" s="127" t="s">
        <v>30</v>
      </c>
      <c r="D15" s="128" t="s">
        <v>72</v>
      </c>
      <c r="E15" s="151" t="s">
        <v>66</v>
      </c>
      <c r="F15" s="129" t="s">
        <v>73</v>
      </c>
      <c r="G15" s="147" t="s">
        <v>34</v>
      </c>
      <c r="H15" s="189">
        <f t="shared" si="0"/>
        <v>0</v>
      </c>
      <c r="I15" s="213"/>
      <c r="J15" s="149"/>
      <c r="K15" s="147">
        <v>12</v>
      </c>
      <c r="L15" s="147">
        <v>1</v>
      </c>
      <c r="M15" s="147">
        <v>13</v>
      </c>
      <c r="N15" s="275"/>
      <c r="O15" s="194"/>
      <c r="P15" s="179"/>
      <c r="Q15" s="173"/>
      <c r="R15" s="260">
        <v>0</v>
      </c>
      <c r="S15" s="165"/>
      <c r="T15" s="129" t="s">
        <v>74</v>
      </c>
      <c r="U15" s="147" t="s">
        <v>37</v>
      </c>
      <c r="V15" s="129"/>
      <c r="W15" s="162" t="s">
        <v>54</v>
      </c>
      <c r="X15" s="205"/>
      <c r="Y15" s="251"/>
      <c r="Z15" s="290"/>
      <c r="AA15" s="286"/>
    </row>
    <row r="16" spans="1:27" s="181" customFormat="1" hidden="1" x14ac:dyDescent="0.25">
      <c r="A16" s="131">
        <v>1</v>
      </c>
      <c r="B16" s="129">
        <v>1101056</v>
      </c>
      <c r="C16" s="127" t="s">
        <v>30</v>
      </c>
      <c r="D16" s="128" t="s">
        <v>75</v>
      </c>
      <c r="E16" s="151" t="s">
        <v>66</v>
      </c>
      <c r="F16" s="129" t="s">
        <v>74</v>
      </c>
      <c r="G16" s="147" t="s">
        <v>34</v>
      </c>
      <c r="H16" s="189">
        <f t="shared" si="0"/>
        <v>0</v>
      </c>
      <c r="I16" s="213"/>
      <c r="J16" s="149"/>
      <c r="K16" s="147">
        <v>12</v>
      </c>
      <c r="L16" s="147">
        <v>1</v>
      </c>
      <c r="M16" s="147">
        <v>13</v>
      </c>
      <c r="N16" s="275"/>
      <c r="O16" s="194"/>
      <c r="P16" s="179"/>
      <c r="Q16" s="173"/>
      <c r="R16" s="260">
        <v>0</v>
      </c>
      <c r="S16" s="165"/>
      <c r="T16" s="129" t="s">
        <v>74</v>
      </c>
      <c r="U16" s="147" t="s">
        <v>37</v>
      </c>
      <c r="V16" s="129"/>
      <c r="W16" s="162" t="s">
        <v>54</v>
      </c>
      <c r="X16" s="205"/>
      <c r="Y16" s="251"/>
      <c r="Z16" s="290"/>
      <c r="AA16" s="286"/>
    </row>
    <row r="17" spans="1:27" s="181" customFormat="1" hidden="1" x14ac:dyDescent="0.25">
      <c r="A17" s="131">
        <v>1</v>
      </c>
      <c r="B17" s="129">
        <v>1101057</v>
      </c>
      <c r="C17" s="127" t="s">
        <v>30</v>
      </c>
      <c r="D17" s="128" t="s">
        <v>76</v>
      </c>
      <c r="E17" s="151" t="s">
        <v>77</v>
      </c>
      <c r="F17" s="129" t="s">
        <v>78</v>
      </c>
      <c r="G17" s="147" t="s">
        <v>34</v>
      </c>
      <c r="H17" s="189">
        <f t="shared" si="0"/>
        <v>0</v>
      </c>
      <c r="I17" s="213"/>
      <c r="J17" s="149"/>
      <c r="K17" s="147">
        <v>12</v>
      </c>
      <c r="L17" s="147">
        <v>1</v>
      </c>
      <c r="M17" s="147">
        <v>13</v>
      </c>
      <c r="N17" s="275"/>
      <c r="O17" s="194"/>
      <c r="P17" s="179"/>
      <c r="Q17" s="173"/>
      <c r="R17" s="260">
        <v>0</v>
      </c>
      <c r="S17" s="165"/>
      <c r="T17" s="129" t="s">
        <v>74</v>
      </c>
      <c r="U17" s="147" t="s">
        <v>37</v>
      </c>
      <c r="V17" s="129"/>
      <c r="W17" s="162" t="s">
        <v>54</v>
      </c>
      <c r="X17" s="205"/>
      <c r="Y17" s="251"/>
      <c r="Z17" s="290"/>
      <c r="AA17" s="286"/>
    </row>
    <row r="18" spans="1:27" s="181" customFormat="1" ht="24" hidden="1" x14ac:dyDescent="0.25">
      <c r="A18" s="131">
        <v>1</v>
      </c>
      <c r="B18" s="129">
        <v>1101058</v>
      </c>
      <c r="C18" s="127" t="s">
        <v>30</v>
      </c>
      <c r="D18" s="128" t="s">
        <v>79</v>
      </c>
      <c r="E18" s="151" t="s">
        <v>80</v>
      </c>
      <c r="F18" s="129" t="s">
        <v>81</v>
      </c>
      <c r="G18" s="147" t="s">
        <v>34</v>
      </c>
      <c r="H18" s="189">
        <f t="shared" si="0"/>
        <v>0</v>
      </c>
      <c r="I18" s="213"/>
      <c r="J18" s="149"/>
      <c r="K18" s="147">
        <v>12</v>
      </c>
      <c r="L18" s="147">
        <v>1</v>
      </c>
      <c r="M18" s="147">
        <v>13</v>
      </c>
      <c r="N18" s="275"/>
      <c r="O18" s="194"/>
      <c r="P18" s="179"/>
      <c r="Q18" s="173"/>
      <c r="R18" s="260">
        <v>0</v>
      </c>
      <c r="S18" s="165"/>
      <c r="T18" s="129" t="s">
        <v>74</v>
      </c>
      <c r="U18" s="147" t="s">
        <v>37</v>
      </c>
      <c r="V18" s="129"/>
      <c r="W18" s="162" t="s">
        <v>54</v>
      </c>
      <c r="X18" s="205"/>
      <c r="Y18" s="251"/>
      <c r="Z18" s="290"/>
      <c r="AA18" s="286"/>
    </row>
    <row r="19" spans="1:27" s="181" customFormat="1" hidden="1" x14ac:dyDescent="0.25">
      <c r="A19" s="131">
        <v>1</v>
      </c>
      <c r="B19" s="129">
        <v>1101059</v>
      </c>
      <c r="C19" s="127" t="s">
        <v>30</v>
      </c>
      <c r="D19" s="128" t="s">
        <v>82</v>
      </c>
      <c r="E19" s="151" t="s">
        <v>32</v>
      </c>
      <c r="F19" s="129" t="s">
        <v>71</v>
      </c>
      <c r="G19" s="147" t="s">
        <v>34</v>
      </c>
      <c r="H19" s="189">
        <f t="shared" si="0"/>
        <v>0</v>
      </c>
      <c r="I19" s="134"/>
      <c r="J19" s="150"/>
      <c r="K19" s="147"/>
      <c r="L19" s="147"/>
      <c r="M19" s="147">
        <v>6</v>
      </c>
      <c r="N19" s="275"/>
      <c r="O19" s="194"/>
      <c r="P19" s="179"/>
      <c r="Q19" s="173"/>
      <c r="R19" s="271"/>
      <c r="S19" s="165"/>
      <c r="T19" s="129" t="s">
        <v>58</v>
      </c>
      <c r="U19" s="147" t="s">
        <v>35</v>
      </c>
      <c r="V19" s="129"/>
      <c r="W19" s="176" t="s">
        <v>54</v>
      </c>
      <c r="X19" s="205"/>
      <c r="Y19" s="251"/>
      <c r="Z19" s="290"/>
      <c r="AA19" s="230"/>
    </row>
    <row r="20" spans="1:27" ht="24" hidden="1" x14ac:dyDescent="0.25">
      <c r="A20" s="131">
        <v>1</v>
      </c>
      <c r="B20" s="129">
        <v>1101060</v>
      </c>
      <c r="C20" s="127" t="s">
        <v>30</v>
      </c>
      <c r="D20" s="128" t="s">
        <v>83</v>
      </c>
      <c r="E20" s="151" t="s">
        <v>84</v>
      </c>
      <c r="F20" s="129" t="s">
        <v>47</v>
      </c>
      <c r="G20" s="147" t="s">
        <v>34</v>
      </c>
      <c r="H20" s="189">
        <f t="shared" si="0"/>
        <v>2.4700000000000002</v>
      </c>
      <c r="I20" s="210" t="s">
        <v>2223</v>
      </c>
      <c r="J20" s="146">
        <v>30</v>
      </c>
      <c r="K20" s="147">
        <v>9</v>
      </c>
      <c r="L20" s="147">
        <v>1</v>
      </c>
      <c r="M20" s="147">
        <v>10</v>
      </c>
      <c r="N20" s="275">
        <v>6400</v>
      </c>
      <c r="O20" s="194"/>
      <c r="P20" s="179"/>
      <c r="Q20" s="173">
        <v>2.4700000000000002</v>
      </c>
      <c r="R20" s="271">
        <v>0</v>
      </c>
      <c r="S20" s="164" t="s">
        <v>35</v>
      </c>
      <c r="T20" s="129" t="s">
        <v>36</v>
      </c>
      <c r="U20" s="147" t="s">
        <v>37</v>
      </c>
      <c r="V20" s="129"/>
      <c r="W20" s="176" t="s">
        <v>54</v>
      </c>
      <c r="X20" s="205"/>
      <c r="Y20" s="251"/>
      <c r="Z20" s="290"/>
      <c r="AA20" s="286"/>
    </row>
    <row r="21" spans="1:27" ht="24" hidden="1" x14ac:dyDescent="0.25">
      <c r="A21" s="131">
        <v>1</v>
      </c>
      <c r="B21" s="129">
        <v>1101061</v>
      </c>
      <c r="C21" s="127" t="s">
        <v>30</v>
      </c>
      <c r="D21" s="128" t="s">
        <v>85</v>
      </c>
      <c r="E21" s="151" t="s">
        <v>86</v>
      </c>
      <c r="F21" s="129" t="s">
        <v>33</v>
      </c>
      <c r="G21" s="147" t="s">
        <v>607</v>
      </c>
      <c r="H21" s="189">
        <f t="shared" si="0"/>
        <v>0</v>
      </c>
      <c r="I21" s="210" t="s">
        <v>2223</v>
      </c>
      <c r="J21" s="146">
        <v>0</v>
      </c>
      <c r="K21" s="147">
        <v>11</v>
      </c>
      <c r="L21" s="147">
        <v>1</v>
      </c>
      <c r="M21" s="147">
        <v>12</v>
      </c>
      <c r="N21" s="275"/>
      <c r="O21" s="194"/>
      <c r="P21" s="179"/>
      <c r="Q21" s="173"/>
      <c r="R21" s="260">
        <v>0</v>
      </c>
      <c r="S21" s="164"/>
      <c r="T21" s="129" t="s">
        <v>89</v>
      </c>
      <c r="U21" s="147" t="s">
        <v>37</v>
      </c>
      <c r="V21" s="129"/>
      <c r="W21" s="162" t="s">
        <v>54</v>
      </c>
      <c r="X21" s="205"/>
      <c r="Y21" s="251"/>
      <c r="Z21" s="290"/>
      <c r="AA21" s="286"/>
    </row>
    <row r="22" spans="1:27" ht="24" hidden="1" x14ac:dyDescent="0.25">
      <c r="A22" s="131">
        <v>1</v>
      </c>
      <c r="B22" s="129">
        <v>1101062</v>
      </c>
      <c r="C22" s="127" t="s">
        <v>30</v>
      </c>
      <c r="D22" s="128" t="s">
        <v>90</v>
      </c>
      <c r="E22" s="151" t="s">
        <v>86</v>
      </c>
      <c r="F22" s="129" t="s">
        <v>33</v>
      </c>
      <c r="G22" s="147" t="s">
        <v>34</v>
      </c>
      <c r="H22" s="189">
        <f t="shared" si="0"/>
        <v>0</v>
      </c>
      <c r="I22" s="210" t="s">
        <v>2223</v>
      </c>
      <c r="J22" s="146">
        <v>0</v>
      </c>
      <c r="K22" s="147">
        <v>11</v>
      </c>
      <c r="L22" s="147">
        <v>1</v>
      </c>
      <c r="M22" s="147">
        <v>12</v>
      </c>
      <c r="N22" s="275"/>
      <c r="O22" s="194"/>
      <c r="P22" s="179"/>
      <c r="Q22" s="173"/>
      <c r="R22" s="260">
        <v>0</v>
      </c>
      <c r="S22" s="164"/>
      <c r="T22" s="129" t="s">
        <v>89</v>
      </c>
      <c r="U22" s="147" t="s">
        <v>37</v>
      </c>
      <c r="V22" s="129"/>
      <c r="W22" s="162" t="s">
        <v>54</v>
      </c>
      <c r="X22" s="205"/>
      <c r="Y22" s="251"/>
      <c r="Z22" s="290"/>
      <c r="AA22" s="286"/>
    </row>
    <row r="23" spans="1:27" ht="24" hidden="1" x14ac:dyDescent="0.25">
      <c r="A23" s="131">
        <v>1</v>
      </c>
      <c r="B23" s="129">
        <v>1101063</v>
      </c>
      <c r="C23" s="127" t="s">
        <v>30</v>
      </c>
      <c r="D23" s="128" t="s">
        <v>91</v>
      </c>
      <c r="E23" s="151" t="s">
        <v>86</v>
      </c>
      <c r="F23" s="129" t="s">
        <v>33</v>
      </c>
      <c r="G23" s="147" t="s">
        <v>34</v>
      </c>
      <c r="H23" s="189">
        <f t="shared" si="0"/>
        <v>0</v>
      </c>
      <c r="I23" s="210" t="s">
        <v>2223</v>
      </c>
      <c r="J23" s="146">
        <v>0</v>
      </c>
      <c r="K23" s="147">
        <v>11</v>
      </c>
      <c r="L23" s="147">
        <v>1</v>
      </c>
      <c r="M23" s="147">
        <v>12</v>
      </c>
      <c r="N23" s="275"/>
      <c r="O23" s="194"/>
      <c r="P23" s="179"/>
      <c r="Q23" s="173"/>
      <c r="R23" s="260">
        <v>0</v>
      </c>
      <c r="S23" s="164"/>
      <c r="T23" s="129" t="s">
        <v>89</v>
      </c>
      <c r="U23" s="147" t="s">
        <v>37</v>
      </c>
      <c r="V23" s="129"/>
      <c r="W23" s="162" t="s">
        <v>54</v>
      </c>
      <c r="X23" s="205"/>
      <c r="Y23" s="251"/>
      <c r="Z23" s="290"/>
      <c r="AA23" s="286"/>
    </row>
    <row r="24" spans="1:27" s="181" customFormat="1" hidden="1" x14ac:dyDescent="0.25">
      <c r="A24" s="131">
        <v>1</v>
      </c>
      <c r="B24" s="129">
        <v>1101064</v>
      </c>
      <c r="C24" s="127" t="s">
        <v>30</v>
      </c>
      <c r="D24" s="128" t="s">
        <v>93</v>
      </c>
      <c r="E24" s="151" t="s">
        <v>32</v>
      </c>
      <c r="F24" s="129" t="s">
        <v>71</v>
      </c>
      <c r="G24" s="147" t="s">
        <v>34</v>
      </c>
      <c r="H24" s="189">
        <f t="shared" si="0"/>
        <v>0</v>
      </c>
      <c r="I24" s="134"/>
      <c r="J24" s="150"/>
      <c r="K24" s="147"/>
      <c r="L24" s="147"/>
      <c r="M24" s="147">
        <v>6</v>
      </c>
      <c r="N24" s="275"/>
      <c r="O24" s="194"/>
      <c r="P24" s="179"/>
      <c r="Q24" s="173"/>
      <c r="R24" s="271"/>
      <c r="S24" s="164"/>
      <c r="T24" s="129" t="s">
        <v>58</v>
      </c>
      <c r="U24" s="147" t="s">
        <v>35</v>
      </c>
      <c r="V24" s="129"/>
      <c r="W24" s="176" t="s">
        <v>54</v>
      </c>
      <c r="X24" s="205"/>
      <c r="Y24" s="251"/>
      <c r="Z24" s="290"/>
      <c r="AA24" s="230"/>
    </row>
    <row r="25" spans="1:27" s="181" customFormat="1" ht="24" hidden="1" x14ac:dyDescent="0.25">
      <c r="A25" s="131">
        <v>1</v>
      </c>
      <c r="B25" s="129">
        <v>1101065</v>
      </c>
      <c r="C25" s="127" t="s">
        <v>30</v>
      </c>
      <c r="D25" s="136" t="s">
        <v>94</v>
      </c>
      <c r="E25" s="151" t="s">
        <v>32</v>
      </c>
      <c r="F25" s="129" t="s">
        <v>71</v>
      </c>
      <c r="G25" s="147" t="s">
        <v>34</v>
      </c>
      <c r="H25" s="189">
        <f t="shared" si="0"/>
        <v>0</v>
      </c>
      <c r="I25" s="134"/>
      <c r="J25" s="150"/>
      <c r="K25" s="147"/>
      <c r="L25" s="147"/>
      <c r="M25" s="147">
        <v>6</v>
      </c>
      <c r="N25" s="275"/>
      <c r="O25" s="194"/>
      <c r="P25" s="179"/>
      <c r="Q25" s="173"/>
      <c r="R25" s="271"/>
      <c r="S25" s="164"/>
      <c r="T25" s="129" t="s">
        <v>58</v>
      </c>
      <c r="U25" s="147" t="s">
        <v>35</v>
      </c>
      <c r="V25" s="129"/>
      <c r="W25" s="176" t="s">
        <v>54</v>
      </c>
      <c r="X25" s="205"/>
      <c r="Y25" s="251"/>
      <c r="Z25" s="290"/>
      <c r="AA25" s="230"/>
    </row>
    <row r="26" spans="1:27" s="181" customFormat="1" hidden="1" x14ac:dyDescent="0.25">
      <c r="A26" s="131">
        <v>1</v>
      </c>
      <c r="B26" s="129">
        <v>1101066</v>
      </c>
      <c r="C26" s="127" t="s">
        <v>30</v>
      </c>
      <c r="D26" s="136" t="s">
        <v>95</v>
      </c>
      <c r="E26" s="151" t="s">
        <v>32</v>
      </c>
      <c r="F26" s="129" t="s">
        <v>71</v>
      </c>
      <c r="G26" s="147" t="s">
        <v>34</v>
      </c>
      <c r="H26" s="189">
        <f t="shared" si="0"/>
        <v>0</v>
      </c>
      <c r="I26" s="134"/>
      <c r="J26" s="150"/>
      <c r="K26" s="147"/>
      <c r="L26" s="147"/>
      <c r="M26" s="147">
        <v>6</v>
      </c>
      <c r="N26" s="275"/>
      <c r="O26" s="194"/>
      <c r="P26" s="179"/>
      <c r="Q26" s="173"/>
      <c r="R26" s="271"/>
      <c r="S26" s="164"/>
      <c r="T26" s="129" t="s">
        <v>58</v>
      </c>
      <c r="U26" s="147" t="s">
        <v>35</v>
      </c>
      <c r="V26" s="129"/>
      <c r="W26" s="176" t="s">
        <v>54</v>
      </c>
      <c r="X26" s="205"/>
      <c r="Y26" s="251"/>
      <c r="Z26" s="290"/>
      <c r="AA26" s="230"/>
    </row>
    <row r="27" spans="1:27" s="181" customFormat="1" hidden="1" x14ac:dyDescent="0.25">
      <c r="A27" s="131">
        <v>1</v>
      </c>
      <c r="B27" s="129">
        <v>1101067</v>
      </c>
      <c r="C27" s="127" t="s">
        <v>30</v>
      </c>
      <c r="D27" s="136" t="s">
        <v>96</v>
      </c>
      <c r="E27" s="151" t="s">
        <v>32</v>
      </c>
      <c r="F27" s="129" t="s">
        <v>71</v>
      </c>
      <c r="G27" s="147" t="s">
        <v>34</v>
      </c>
      <c r="H27" s="189">
        <f t="shared" si="0"/>
        <v>0</v>
      </c>
      <c r="I27" s="134"/>
      <c r="J27" s="150"/>
      <c r="K27" s="147"/>
      <c r="L27" s="147"/>
      <c r="M27" s="147">
        <v>6</v>
      </c>
      <c r="N27" s="275"/>
      <c r="O27" s="194"/>
      <c r="P27" s="179"/>
      <c r="Q27" s="173"/>
      <c r="R27" s="271"/>
      <c r="S27" s="164"/>
      <c r="T27" s="129" t="s">
        <v>58</v>
      </c>
      <c r="U27" s="147" t="s">
        <v>35</v>
      </c>
      <c r="V27" s="129"/>
      <c r="W27" s="176" t="s">
        <v>54</v>
      </c>
      <c r="X27" s="205"/>
      <c r="Y27" s="251"/>
      <c r="Z27" s="290"/>
      <c r="AA27" s="230"/>
    </row>
    <row r="28" spans="1:27" s="181" customFormat="1" hidden="1" x14ac:dyDescent="0.25">
      <c r="A28" s="131">
        <v>1</v>
      </c>
      <c r="B28" s="129">
        <v>1101068</v>
      </c>
      <c r="C28" s="127" t="s">
        <v>30</v>
      </c>
      <c r="D28" s="136" t="s">
        <v>97</v>
      </c>
      <c r="E28" s="151" t="s">
        <v>32</v>
      </c>
      <c r="F28" s="129" t="s">
        <v>71</v>
      </c>
      <c r="G28" s="147" t="s">
        <v>34</v>
      </c>
      <c r="H28" s="189">
        <f t="shared" si="0"/>
        <v>0</v>
      </c>
      <c r="I28" s="134"/>
      <c r="J28" s="150"/>
      <c r="K28" s="147"/>
      <c r="L28" s="147"/>
      <c r="M28" s="147">
        <v>6</v>
      </c>
      <c r="N28" s="275"/>
      <c r="O28" s="194"/>
      <c r="P28" s="179"/>
      <c r="Q28" s="173"/>
      <c r="R28" s="271"/>
      <c r="S28" s="164"/>
      <c r="T28" s="129" t="s">
        <v>58</v>
      </c>
      <c r="U28" s="147" t="s">
        <v>35</v>
      </c>
      <c r="V28" s="129"/>
      <c r="W28" s="176" t="s">
        <v>54</v>
      </c>
      <c r="X28" s="205"/>
      <c r="Y28" s="251"/>
      <c r="Z28" s="290"/>
      <c r="AA28" s="230"/>
    </row>
    <row r="29" spans="1:27" ht="24" hidden="1" x14ac:dyDescent="0.25">
      <c r="A29" s="131">
        <v>1</v>
      </c>
      <c r="B29" s="129">
        <v>1101069</v>
      </c>
      <c r="C29" s="127" t="s">
        <v>30</v>
      </c>
      <c r="D29" s="136" t="s">
        <v>98</v>
      </c>
      <c r="E29" s="151" t="s">
        <v>32</v>
      </c>
      <c r="F29" s="129" t="s">
        <v>33</v>
      </c>
      <c r="G29" s="147" t="s">
        <v>34</v>
      </c>
      <c r="H29" s="189">
        <f t="shared" si="0"/>
        <v>17.82</v>
      </c>
      <c r="I29" s="210" t="s">
        <v>2223</v>
      </c>
      <c r="J29" s="146">
        <v>0</v>
      </c>
      <c r="K29" s="147">
        <v>5</v>
      </c>
      <c r="L29" s="147">
        <v>1</v>
      </c>
      <c r="M29" s="147">
        <v>6</v>
      </c>
      <c r="N29" s="275">
        <v>55</v>
      </c>
      <c r="O29" s="194"/>
      <c r="P29" s="179"/>
      <c r="Q29" s="173">
        <v>17.82</v>
      </c>
      <c r="R29" s="271">
        <v>0</v>
      </c>
      <c r="S29" s="164"/>
      <c r="T29" s="129" t="s">
        <v>58</v>
      </c>
      <c r="U29" s="147" t="s">
        <v>35</v>
      </c>
      <c r="V29" s="129"/>
      <c r="W29" s="176" t="s">
        <v>54</v>
      </c>
      <c r="X29" s="205"/>
      <c r="Y29" s="251"/>
      <c r="Z29" s="290"/>
      <c r="AA29" s="286"/>
    </row>
    <row r="30" spans="1:27" ht="24" hidden="1" x14ac:dyDescent="0.25">
      <c r="A30" s="131">
        <v>1</v>
      </c>
      <c r="B30" s="129">
        <v>1101070</v>
      </c>
      <c r="C30" s="127" t="s">
        <v>30</v>
      </c>
      <c r="D30" s="136" t="s">
        <v>99</v>
      </c>
      <c r="E30" s="151" t="s">
        <v>32</v>
      </c>
      <c r="F30" s="129" t="s">
        <v>33</v>
      </c>
      <c r="G30" s="147" t="s">
        <v>34</v>
      </c>
      <c r="H30" s="189">
        <f t="shared" si="0"/>
        <v>0</v>
      </c>
      <c r="I30" s="210" t="s">
        <v>2223</v>
      </c>
      <c r="J30" s="146">
        <v>0</v>
      </c>
      <c r="K30" s="147">
        <v>11</v>
      </c>
      <c r="L30" s="147">
        <v>1</v>
      </c>
      <c r="M30" s="147">
        <v>12</v>
      </c>
      <c r="N30" s="275"/>
      <c r="O30" s="194"/>
      <c r="P30" s="179"/>
      <c r="Q30" s="173"/>
      <c r="R30" s="260">
        <v>0</v>
      </c>
      <c r="S30" s="164"/>
      <c r="T30" s="129"/>
      <c r="U30" s="147" t="s">
        <v>37</v>
      </c>
      <c r="V30" s="129"/>
      <c r="W30" s="162" t="s">
        <v>54</v>
      </c>
      <c r="X30" s="205"/>
      <c r="Y30" s="251"/>
      <c r="Z30" s="290"/>
      <c r="AA30" s="286"/>
    </row>
    <row r="31" spans="1:27" hidden="1" x14ac:dyDescent="0.25">
      <c r="A31" s="131">
        <v>1</v>
      </c>
      <c r="B31" s="129">
        <v>1101071</v>
      </c>
      <c r="C31" s="127" t="s">
        <v>30</v>
      </c>
      <c r="D31" s="136" t="s">
        <v>100</v>
      </c>
      <c r="E31" s="151" t="s">
        <v>32</v>
      </c>
      <c r="F31" s="129" t="s">
        <v>1748</v>
      </c>
      <c r="G31" s="147" t="s">
        <v>34</v>
      </c>
      <c r="H31" s="189">
        <f t="shared" si="0"/>
        <v>17.5</v>
      </c>
      <c r="I31" s="134" t="s">
        <v>2082</v>
      </c>
      <c r="J31" s="146">
        <v>0</v>
      </c>
      <c r="K31" s="147">
        <v>2</v>
      </c>
      <c r="L31" s="147">
        <v>2</v>
      </c>
      <c r="M31" s="147">
        <v>4</v>
      </c>
      <c r="N31" s="275">
        <v>110</v>
      </c>
      <c r="O31" s="194"/>
      <c r="P31" s="179"/>
      <c r="Q31" s="173">
        <v>17.5</v>
      </c>
      <c r="R31" s="271">
        <v>0</v>
      </c>
      <c r="S31" s="164"/>
      <c r="T31" s="129" t="s">
        <v>102</v>
      </c>
      <c r="U31" s="147" t="s">
        <v>35</v>
      </c>
      <c r="V31" s="129"/>
      <c r="W31" s="176" t="s">
        <v>54</v>
      </c>
      <c r="X31" s="205"/>
      <c r="Y31" s="251"/>
      <c r="Z31" s="290"/>
      <c r="AA31" s="286"/>
    </row>
    <row r="32" spans="1:27" ht="24" hidden="1" x14ac:dyDescent="0.25">
      <c r="A32" s="131">
        <v>1</v>
      </c>
      <c r="B32" s="129">
        <v>1101072</v>
      </c>
      <c r="C32" s="127" t="s">
        <v>30</v>
      </c>
      <c r="D32" s="136" t="s">
        <v>106</v>
      </c>
      <c r="E32" s="151" t="s">
        <v>32</v>
      </c>
      <c r="F32" s="129" t="s">
        <v>33</v>
      </c>
      <c r="G32" s="147" t="s">
        <v>34</v>
      </c>
      <c r="H32" s="189">
        <f t="shared" si="0"/>
        <v>0</v>
      </c>
      <c r="I32" s="210" t="s">
        <v>2223</v>
      </c>
      <c r="J32" s="146">
        <v>0</v>
      </c>
      <c r="K32" s="147">
        <v>5</v>
      </c>
      <c r="L32" s="147">
        <v>1</v>
      </c>
      <c r="M32" s="147">
        <v>6</v>
      </c>
      <c r="N32" s="275">
        <v>55</v>
      </c>
      <c r="O32" s="194"/>
      <c r="P32" s="179"/>
      <c r="Q32" s="173"/>
      <c r="R32" s="271">
        <v>0</v>
      </c>
      <c r="S32" s="164"/>
      <c r="T32" s="129" t="s">
        <v>58</v>
      </c>
      <c r="U32" s="147" t="s">
        <v>35</v>
      </c>
      <c r="V32" s="129"/>
      <c r="W32" s="176" t="s">
        <v>54</v>
      </c>
      <c r="X32" s="205"/>
      <c r="Y32" s="251"/>
      <c r="Z32" s="290"/>
      <c r="AA32" s="286"/>
    </row>
    <row r="33" spans="1:27" ht="24" hidden="1" x14ac:dyDescent="0.25">
      <c r="A33" s="131">
        <v>1</v>
      </c>
      <c r="B33" s="129">
        <v>1101073</v>
      </c>
      <c r="C33" s="127" t="s">
        <v>30</v>
      </c>
      <c r="D33" s="136" t="s">
        <v>107</v>
      </c>
      <c r="E33" s="151" t="s">
        <v>32</v>
      </c>
      <c r="F33" s="129" t="s">
        <v>33</v>
      </c>
      <c r="G33" s="147" t="s">
        <v>34</v>
      </c>
      <c r="H33" s="189">
        <f t="shared" si="0"/>
        <v>0</v>
      </c>
      <c r="I33" s="210" t="s">
        <v>2223</v>
      </c>
      <c r="J33" s="146">
        <v>0</v>
      </c>
      <c r="K33" s="147">
        <v>5</v>
      </c>
      <c r="L33" s="147">
        <v>1</v>
      </c>
      <c r="M33" s="147">
        <v>6</v>
      </c>
      <c r="N33" s="275"/>
      <c r="O33" s="194"/>
      <c r="P33" s="179"/>
      <c r="Q33" s="173"/>
      <c r="R33" s="271">
        <v>0</v>
      </c>
      <c r="S33" s="164"/>
      <c r="T33" s="129" t="s">
        <v>58</v>
      </c>
      <c r="U33" s="147" t="s">
        <v>35</v>
      </c>
      <c r="V33" s="129"/>
      <c r="W33" s="176" t="s">
        <v>54</v>
      </c>
      <c r="X33" s="205"/>
      <c r="Y33" s="251"/>
      <c r="Z33" s="290"/>
      <c r="AA33" s="286"/>
    </row>
    <row r="34" spans="1:27" ht="24" hidden="1" x14ac:dyDescent="0.25">
      <c r="A34" s="131">
        <v>1</v>
      </c>
      <c r="B34" s="129">
        <v>1101074</v>
      </c>
      <c r="C34" s="127" t="s">
        <v>30</v>
      </c>
      <c r="D34" s="136" t="s">
        <v>108</v>
      </c>
      <c r="E34" s="151" t="s">
        <v>32</v>
      </c>
      <c r="F34" s="129" t="s">
        <v>33</v>
      </c>
      <c r="G34" s="147" t="s">
        <v>34</v>
      </c>
      <c r="H34" s="189">
        <f t="shared" si="0"/>
        <v>0</v>
      </c>
      <c r="I34" s="210" t="s">
        <v>2223</v>
      </c>
      <c r="J34" s="146">
        <v>0</v>
      </c>
      <c r="K34" s="147">
        <v>5</v>
      </c>
      <c r="L34" s="147">
        <v>1</v>
      </c>
      <c r="M34" s="147">
        <v>6</v>
      </c>
      <c r="N34" s="275"/>
      <c r="O34" s="194"/>
      <c r="P34" s="179"/>
      <c r="Q34" s="173"/>
      <c r="R34" s="271">
        <v>0</v>
      </c>
      <c r="S34" s="164"/>
      <c r="T34" s="129" t="s">
        <v>58</v>
      </c>
      <c r="U34" s="147" t="s">
        <v>35</v>
      </c>
      <c r="V34" s="129"/>
      <c r="W34" s="176" t="s">
        <v>54</v>
      </c>
      <c r="X34" s="205"/>
      <c r="Y34" s="251"/>
      <c r="Z34" s="290"/>
      <c r="AA34" s="286"/>
    </row>
    <row r="35" spans="1:27" ht="24" hidden="1" x14ac:dyDescent="0.25">
      <c r="A35" s="131">
        <v>1</v>
      </c>
      <c r="B35" s="129">
        <v>1101075</v>
      </c>
      <c r="C35" s="127" t="s">
        <v>30</v>
      </c>
      <c r="D35" s="136" t="s">
        <v>109</v>
      </c>
      <c r="E35" s="151" t="s">
        <v>32</v>
      </c>
      <c r="F35" s="129" t="s">
        <v>33</v>
      </c>
      <c r="G35" s="147" t="s">
        <v>34</v>
      </c>
      <c r="H35" s="189">
        <f t="shared" si="0"/>
        <v>0</v>
      </c>
      <c r="I35" s="210" t="s">
        <v>2223</v>
      </c>
      <c r="J35" s="146">
        <v>0</v>
      </c>
      <c r="K35" s="147">
        <v>5</v>
      </c>
      <c r="L35" s="147">
        <v>1</v>
      </c>
      <c r="M35" s="147">
        <v>6</v>
      </c>
      <c r="N35" s="275"/>
      <c r="O35" s="194"/>
      <c r="P35" s="179"/>
      <c r="Q35" s="173"/>
      <c r="R35" s="271">
        <v>0</v>
      </c>
      <c r="S35" s="164"/>
      <c r="T35" s="129" t="s">
        <v>58</v>
      </c>
      <c r="U35" s="147" t="s">
        <v>35</v>
      </c>
      <c r="V35" s="129"/>
      <c r="W35" s="176" t="s">
        <v>54</v>
      </c>
      <c r="X35" s="205"/>
      <c r="Y35" s="251"/>
      <c r="Z35" s="290"/>
      <c r="AA35" s="286"/>
    </row>
    <row r="36" spans="1:27" ht="24" hidden="1" x14ac:dyDescent="0.25">
      <c r="A36" s="131">
        <v>1</v>
      </c>
      <c r="B36" s="129">
        <v>1101076</v>
      </c>
      <c r="C36" s="127" t="s">
        <v>30</v>
      </c>
      <c r="D36" s="136" t="s">
        <v>110</v>
      </c>
      <c r="E36" s="151" t="s">
        <v>32</v>
      </c>
      <c r="F36" s="129" t="s">
        <v>33</v>
      </c>
      <c r="G36" s="147" t="s">
        <v>34</v>
      </c>
      <c r="H36" s="189">
        <f t="shared" si="0"/>
        <v>0</v>
      </c>
      <c r="I36" s="210" t="s">
        <v>2223</v>
      </c>
      <c r="J36" s="146">
        <v>0</v>
      </c>
      <c r="K36" s="147">
        <v>5</v>
      </c>
      <c r="L36" s="147">
        <v>1</v>
      </c>
      <c r="M36" s="147">
        <v>6</v>
      </c>
      <c r="N36" s="275"/>
      <c r="O36" s="194"/>
      <c r="P36" s="179"/>
      <c r="Q36" s="173"/>
      <c r="R36" s="271">
        <v>0</v>
      </c>
      <c r="S36" s="164"/>
      <c r="T36" s="129" t="s">
        <v>58</v>
      </c>
      <c r="U36" s="147" t="s">
        <v>35</v>
      </c>
      <c r="V36" s="129"/>
      <c r="W36" s="176" t="s">
        <v>54</v>
      </c>
      <c r="X36" s="205"/>
      <c r="Y36" s="251"/>
      <c r="Z36" s="290"/>
      <c r="AA36" s="286"/>
    </row>
    <row r="37" spans="1:27" ht="24" hidden="1" x14ac:dyDescent="0.25">
      <c r="A37" s="131">
        <v>1</v>
      </c>
      <c r="B37" s="129">
        <v>1101077</v>
      </c>
      <c r="C37" s="127" t="s">
        <v>30</v>
      </c>
      <c r="D37" s="136" t="s">
        <v>111</v>
      </c>
      <c r="E37" s="151" t="s">
        <v>32</v>
      </c>
      <c r="F37" s="129" t="s">
        <v>33</v>
      </c>
      <c r="G37" s="147" t="s">
        <v>34</v>
      </c>
      <c r="H37" s="189">
        <f t="shared" si="0"/>
        <v>0</v>
      </c>
      <c r="I37" s="210" t="s">
        <v>2223</v>
      </c>
      <c r="J37" s="146">
        <v>0</v>
      </c>
      <c r="K37" s="147">
        <v>5</v>
      </c>
      <c r="L37" s="147">
        <v>1</v>
      </c>
      <c r="M37" s="147">
        <v>6</v>
      </c>
      <c r="N37" s="275"/>
      <c r="O37" s="194"/>
      <c r="P37" s="179"/>
      <c r="Q37" s="173"/>
      <c r="R37" s="271">
        <v>0</v>
      </c>
      <c r="S37" s="164"/>
      <c r="T37" s="129" t="s">
        <v>58</v>
      </c>
      <c r="U37" s="147" t="s">
        <v>35</v>
      </c>
      <c r="V37" s="129"/>
      <c r="W37" s="176" t="s">
        <v>54</v>
      </c>
      <c r="X37" s="205"/>
      <c r="Y37" s="251"/>
      <c r="Z37" s="290"/>
      <c r="AA37" s="286"/>
    </row>
    <row r="38" spans="1:27" ht="24" hidden="1" x14ac:dyDescent="0.25">
      <c r="A38" s="131">
        <v>1</v>
      </c>
      <c r="B38" s="129">
        <v>1101078</v>
      </c>
      <c r="C38" s="127" t="s">
        <v>30</v>
      </c>
      <c r="D38" s="136" t="s">
        <v>112</v>
      </c>
      <c r="E38" s="151" t="s">
        <v>32</v>
      </c>
      <c r="F38" s="129" t="s">
        <v>33</v>
      </c>
      <c r="G38" s="147" t="s">
        <v>34</v>
      </c>
      <c r="H38" s="189">
        <f t="shared" si="0"/>
        <v>0</v>
      </c>
      <c r="I38" s="210" t="s">
        <v>2223</v>
      </c>
      <c r="J38" s="146">
        <v>0</v>
      </c>
      <c r="K38" s="147">
        <v>5</v>
      </c>
      <c r="L38" s="147">
        <v>1</v>
      </c>
      <c r="M38" s="147">
        <v>6</v>
      </c>
      <c r="N38" s="275"/>
      <c r="O38" s="194"/>
      <c r="P38" s="179"/>
      <c r="Q38" s="173"/>
      <c r="R38" s="271">
        <v>0</v>
      </c>
      <c r="S38" s="164"/>
      <c r="T38" s="129" t="s">
        <v>58</v>
      </c>
      <c r="U38" s="147" t="s">
        <v>35</v>
      </c>
      <c r="V38" s="129"/>
      <c r="W38" s="176" t="s">
        <v>54</v>
      </c>
      <c r="X38" s="205"/>
      <c r="Y38" s="251"/>
      <c r="Z38" s="290"/>
      <c r="AA38" s="286"/>
    </row>
    <row r="39" spans="1:27" ht="24" hidden="1" x14ac:dyDescent="0.25">
      <c r="A39" s="131">
        <v>1</v>
      </c>
      <c r="B39" s="129">
        <v>1101079</v>
      </c>
      <c r="C39" s="127" t="s">
        <v>30</v>
      </c>
      <c r="D39" s="136" t="s">
        <v>113</v>
      </c>
      <c r="E39" s="151" t="s">
        <v>32</v>
      </c>
      <c r="F39" s="129" t="s">
        <v>33</v>
      </c>
      <c r="G39" s="147" t="s">
        <v>34</v>
      </c>
      <c r="H39" s="189">
        <f t="shared" si="0"/>
        <v>0</v>
      </c>
      <c r="I39" s="210" t="s">
        <v>2223</v>
      </c>
      <c r="J39" s="146">
        <v>0</v>
      </c>
      <c r="K39" s="147">
        <v>5</v>
      </c>
      <c r="L39" s="147">
        <v>1</v>
      </c>
      <c r="M39" s="147">
        <v>6</v>
      </c>
      <c r="N39" s="275"/>
      <c r="O39" s="194"/>
      <c r="P39" s="179"/>
      <c r="Q39" s="173"/>
      <c r="R39" s="271">
        <v>0</v>
      </c>
      <c r="S39" s="164"/>
      <c r="T39" s="129" t="s">
        <v>58</v>
      </c>
      <c r="U39" s="147" t="s">
        <v>35</v>
      </c>
      <c r="V39" s="129"/>
      <c r="W39" s="176" t="s">
        <v>54</v>
      </c>
      <c r="X39" s="205"/>
      <c r="Y39" s="251"/>
      <c r="Z39" s="290"/>
      <c r="AA39" s="286"/>
    </row>
    <row r="40" spans="1:27" x14ac:dyDescent="0.25">
      <c r="A40" s="131">
        <v>1</v>
      </c>
      <c r="B40" s="129">
        <v>1101080</v>
      </c>
      <c r="C40" s="127" t="s">
        <v>30</v>
      </c>
      <c r="D40" s="128" t="s">
        <v>114</v>
      </c>
      <c r="E40" s="151" t="s">
        <v>66</v>
      </c>
      <c r="F40" s="129" t="s">
        <v>307</v>
      </c>
      <c r="G40" s="147" t="s">
        <v>34</v>
      </c>
      <c r="H40" s="189">
        <f t="shared" si="0"/>
        <v>4.12</v>
      </c>
      <c r="I40" s="210" t="s">
        <v>2082</v>
      </c>
      <c r="J40" s="146">
        <v>0</v>
      </c>
      <c r="K40" s="147">
        <v>9</v>
      </c>
      <c r="L40" s="147">
        <v>1</v>
      </c>
      <c r="M40" s="147">
        <v>10</v>
      </c>
      <c r="N40" s="275">
        <v>4409</v>
      </c>
      <c r="O40" s="193">
        <v>1.6329</v>
      </c>
      <c r="P40" s="179">
        <v>45484</v>
      </c>
      <c r="Q40" s="173">
        <v>4.07</v>
      </c>
      <c r="R40" s="271">
        <v>0.05</v>
      </c>
      <c r="S40" s="164" t="s">
        <v>35</v>
      </c>
      <c r="T40" s="129" t="s">
        <v>36</v>
      </c>
      <c r="U40" s="147" t="s">
        <v>37</v>
      </c>
      <c r="V40" s="129"/>
      <c r="W40" s="147" t="s">
        <v>2208</v>
      </c>
      <c r="X40" s="205" t="s">
        <v>1901</v>
      </c>
      <c r="Y40" s="251"/>
      <c r="Z40" s="290"/>
      <c r="AA40" s="286" t="s">
        <v>33</v>
      </c>
    </row>
    <row r="41" spans="1:27" ht="24" hidden="1" x14ac:dyDescent="0.25">
      <c r="A41" s="131">
        <v>1</v>
      </c>
      <c r="B41" s="129">
        <v>1101081</v>
      </c>
      <c r="C41" s="127" t="s">
        <v>30</v>
      </c>
      <c r="D41" s="128" t="s">
        <v>115</v>
      </c>
      <c r="E41" s="151" t="s">
        <v>66</v>
      </c>
      <c r="F41" s="129" t="s">
        <v>33</v>
      </c>
      <c r="G41" s="147" t="s">
        <v>34</v>
      </c>
      <c r="H41" s="189">
        <f t="shared" si="0"/>
        <v>1.89</v>
      </c>
      <c r="I41" s="210" t="s">
        <v>2223</v>
      </c>
      <c r="J41" s="146">
        <v>0</v>
      </c>
      <c r="K41" s="147">
        <v>5</v>
      </c>
      <c r="L41" s="147">
        <v>1</v>
      </c>
      <c r="M41" s="147">
        <v>6</v>
      </c>
      <c r="N41" s="275">
        <v>8800</v>
      </c>
      <c r="O41" s="194"/>
      <c r="P41" s="179"/>
      <c r="Q41" s="173">
        <v>1.89</v>
      </c>
      <c r="R41" s="271">
        <v>0</v>
      </c>
      <c r="S41" s="164"/>
      <c r="T41" s="129" t="s">
        <v>116</v>
      </c>
      <c r="U41" s="147" t="s">
        <v>35</v>
      </c>
      <c r="V41" s="129"/>
      <c r="W41" s="176" t="s">
        <v>54</v>
      </c>
      <c r="X41" s="205"/>
      <c r="Y41" s="251"/>
      <c r="Z41" s="290"/>
      <c r="AA41" s="286"/>
    </row>
    <row r="42" spans="1:27" ht="24" hidden="1" x14ac:dyDescent="0.25">
      <c r="A42" s="131">
        <v>1</v>
      </c>
      <c r="B42" s="129">
        <v>1101082</v>
      </c>
      <c r="C42" s="127" t="s">
        <v>30</v>
      </c>
      <c r="D42" s="128" t="s">
        <v>117</v>
      </c>
      <c r="E42" s="151" t="s">
        <v>66</v>
      </c>
      <c r="F42" s="129" t="s">
        <v>33</v>
      </c>
      <c r="G42" s="147" t="s">
        <v>34</v>
      </c>
      <c r="H42" s="189">
        <f t="shared" si="0"/>
        <v>1.89</v>
      </c>
      <c r="I42" s="210" t="s">
        <v>2223</v>
      </c>
      <c r="J42" s="146">
        <v>0</v>
      </c>
      <c r="K42" s="147">
        <v>5</v>
      </c>
      <c r="L42" s="147">
        <v>1</v>
      </c>
      <c r="M42" s="147">
        <v>6</v>
      </c>
      <c r="N42" s="275">
        <v>8800</v>
      </c>
      <c r="O42" s="194"/>
      <c r="P42" s="179"/>
      <c r="Q42" s="173">
        <v>1.89</v>
      </c>
      <c r="R42" s="271">
        <v>0</v>
      </c>
      <c r="S42" s="164"/>
      <c r="T42" s="129" t="s">
        <v>116</v>
      </c>
      <c r="U42" s="147" t="s">
        <v>35</v>
      </c>
      <c r="V42" s="129"/>
      <c r="W42" s="176" t="s">
        <v>54</v>
      </c>
      <c r="X42" s="205"/>
      <c r="Y42" s="251"/>
      <c r="Z42" s="290"/>
      <c r="AA42" s="286"/>
    </row>
    <row r="43" spans="1:27" x14ac:dyDescent="0.25">
      <c r="A43" s="131">
        <v>1</v>
      </c>
      <c r="B43" s="129">
        <v>1101083</v>
      </c>
      <c r="C43" s="127" t="s">
        <v>30</v>
      </c>
      <c r="D43" s="128" t="s">
        <v>118</v>
      </c>
      <c r="E43" s="151" t="s">
        <v>119</v>
      </c>
      <c r="F43" s="129" t="s">
        <v>1797</v>
      </c>
      <c r="G43" s="147" t="s">
        <v>34</v>
      </c>
      <c r="H43" s="189">
        <f t="shared" si="0"/>
        <v>2.73</v>
      </c>
      <c r="I43" s="210" t="s">
        <v>2082</v>
      </c>
      <c r="J43" s="146">
        <v>0</v>
      </c>
      <c r="K43" s="147">
        <v>4</v>
      </c>
      <c r="L43" s="147">
        <v>2</v>
      </c>
      <c r="M43" s="147">
        <v>6</v>
      </c>
      <c r="N43" s="275">
        <v>4500</v>
      </c>
      <c r="O43" s="193">
        <v>2.7250000000000001</v>
      </c>
      <c r="P43" s="179">
        <v>45049</v>
      </c>
      <c r="Q43" s="173">
        <v>2.68</v>
      </c>
      <c r="R43" s="271">
        <v>0.05</v>
      </c>
      <c r="S43" s="164"/>
      <c r="T43" s="129" t="s">
        <v>2089</v>
      </c>
      <c r="U43" s="147" t="s">
        <v>37</v>
      </c>
      <c r="V43" s="129"/>
      <c r="W43" s="147" t="s">
        <v>2208</v>
      </c>
      <c r="X43" s="205" t="s">
        <v>1009</v>
      </c>
      <c r="Y43" s="251"/>
      <c r="Z43" s="290"/>
      <c r="AA43" s="286" t="s">
        <v>1797</v>
      </c>
    </row>
    <row r="44" spans="1:27" ht="24" hidden="1" x14ac:dyDescent="0.25">
      <c r="A44" s="131">
        <v>1</v>
      </c>
      <c r="B44" s="129">
        <v>1101084</v>
      </c>
      <c r="C44" s="127" t="s">
        <v>30</v>
      </c>
      <c r="D44" s="128" t="s">
        <v>1508</v>
      </c>
      <c r="E44" s="151" t="s">
        <v>32</v>
      </c>
      <c r="F44" s="129" t="s">
        <v>33</v>
      </c>
      <c r="G44" s="147" t="s">
        <v>34</v>
      </c>
      <c r="H44" s="189">
        <f t="shared" si="0"/>
        <v>0</v>
      </c>
      <c r="I44" s="210" t="s">
        <v>2223</v>
      </c>
      <c r="J44" s="146">
        <v>0</v>
      </c>
      <c r="K44" s="147">
        <v>5</v>
      </c>
      <c r="L44" s="147">
        <v>1</v>
      </c>
      <c r="M44" s="147">
        <v>6</v>
      </c>
      <c r="N44" s="275">
        <v>55</v>
      </c>
      <c r="O44" s="194"/>
      <c r="P44" s="179"/>
      <c r="Q44" s="173"/>
      <c r="R44" s="271">
        <v>0</v>
      </c>
      <c r="S44" s="164"/>
      <c r="T44" s="129"/>
      <c r="U44" s="147" t="s">
        <v>37</v>
      </c>
      <c r="V44" s="129"/>
      <c r="W44" s="176" t="s">
        <v>54</v>
      </c>
      <c r="X44" s="205"/>
      <c r="Y44" s="251"/>
      <c r="Z44" s="290"/>
      <c r="AA44" s="286"/>
    </row>
    <row r="45" spans="1:27" ht="24" hidden="1" x14ac:dyDescent="0.25">
      <c r="A45" s="131">
        <v>1</v>
      </c>
      <c r="B45" s="129">
        <v>1101090</v>
      </c>
      <c r="C45" s="127" t="s">
        <v>30</v>
      </c>
      <c r="D45" s="128" t="s">
        <v>125</v>
      </c>
      <c r="E45" s="151" t="s">
        <v>46</v>
      </c>
      <c r="F45" s="129" t="s">
        <v>47</v>
      </c>
      <c r="G45" s="147" t="s">
        <v>34</v>
      </c>
      <c r="H45" s="189">
        <f t="shared" si="0"/>
        <v>0</v>
      </c>
      <c r="I45" s="210" t="s">
        <v>2223</v>
      </c>
      <c r="J45" s="148">
        <v>30</v>
      </c>
      <c r="K45" s="147">
        <v>9</v>
      </c>
      <c r="L45" s="147">
        <v>1</v>
      </c>
      <c r="M45" s="147">
        <v>10</v>
      </c>
      <c r="N45" s="275">
        <v>6400</v>
      </c>
      <c r="O45" s="194"/>
      <c r="P45" s="179"/>
      <c r="Q45" s="173"/>
      <c r="R45" s="260">
        <v>0</v>
      </c>
      <c r="S45" s="166" t="s">
        <v>35</v>
      </c>
      <c r="T45" s="129" t="s">
        <v>36</v>
      </c>
      <c r="U45" s="147" t="s">
        <v>37</v>
      </c>
      <c r="V45" s="129"/>
      <c r="W45" s="162" t="s">
        <v>54</v>
      </c>
      <c r="X45" s="205"/>
      <c r="Y45" s="251"/>
      <c r="Z45" s="290"/>
      <c r="AA45" s="286"/>
    </row>
    <row r="46" spans="1:27" hidden="1" x14ac:dyDescent="0.25">
      <c r="A46" s="131">
        <v>1</v>
      </c>
      <c r="B46" s="129">
        <v>1101200</v>
      </c>
      <c r="C46" s="127" t="s">
        <v>30</v>
      </c>
      <c r="D46" s="128" t="s">
        <v>126</v>
      </c>
      <c r="E46" s="151" t="s">
        <v>127</v>
      </c>
      <c r="F46" s="129" t="s">
        <v>1791</v>
      </c>
      <c r="G46" s="147" t="s">
        <v>34</v>
      </c>
      <c r="H46" s="189">
        <f t="shared" si="0"/>
        <v>6.8400000000000007</v>
      </c>
      <c r="I46" s="180" t="s">
        <v>2082</v>
      </c>
      <c r="J46" s="146">
        <v>30</v>
      </c>
      <c r="K46" s="147">
        <v>8</v>
      </c>
      <c r="L46" s="147">
        <v>2</v>
      </c>
      <c r="M46" s="147">
        <v>10</v>
      </c>
      <c r="N46" s="275">
        <v>2204</v>
      </c>
      <c r="O46" s="194"/>
      <c r="P46" s="179">
        <v>44684</v>
      </c>
      <c r="Q46" s="173">
        <v>6.48</v>
      </c>
      <c r="R46" s="271">
        <v>0.36</v>
      </c>
      <c r="S46" s="164"/>
      <c r="T46" s="129" t="s">
        <v>36</v>
      </c>
      <c r="U46" s="147" t="s">
        <v>37</v>
      </c>
      <c r="V46" s="129"/>
      <c r="W46" s="176" t="s">
        <v>54</v>
      </c>
      <c r="X46" s="205"/>
      <c r="Y46" s="251"/>
      <c r="Z46" s="290"/>
      <c r="AA46" s="286"/>
    </row>
    <row r="47" spans="1:27" ht="24" hidden="1" x14ac:dyDescent="0.25">
      <c r="A47" s="131">
        <v>1</v>
      </c>
      <c r="B47" s="129">
        <v>1101210</v>
      </c>
      <c r="C47" s="127" t="s">
        <v>30</v>
      </c>
      <c r="D47" s="128" t="s">
        <v>128</v>
      </c>
      <c r="E47" s="151" t="s">
        <v>46</v>
      </c>
      <c r="F47" s="129" t="s">
        <v>47</v>
      </c>
      <c r="G47" s="147" t="s">
        <v>34</v>
      </c>
      <c r="H47" s="189">
        <f t="shared" si="0"/>
        <v>0</v>
      </c>
      <c r="I47" s="210" t="s">
        <v>2223</v>
      </c>
      <c r="J47" s="148">
        <v>30</v>
      </c>
      <c r="K47" s="147">
        <v>9</v>
      </c>
      <c r="L47" s="147">
        <v>1</v>
      </c>
      <c r="M47" s="147">
        <v>10</v>
      </c>
      <c r="N47" s="275">
        <v>6400</v>
      </c>
      <c r="O47" s="194"/>
      <c r="P47" s="179"/>
      <c r="Q47" s="173"/>
      <c r="R47" s="260">
        <v>0</v>
      </c>
      <c r="S47" s="166" t="s">
        <v>35</v>
      </c>
      <c r="T47" s="129" t="s">
        <v>36</v>
      </c>
      <c r="U47" s="147" t="s">
        <v>37</v>
      </c>
      <c r="V47" s="129"/>
      <c r="W47" s="162" t="s">
        <v>54</v>
      </c>
      <c r="X47" s="205"/>
      <c r="Y47" s="251"/>
      <c r="Z47" s="290"/>
      <c r="AA47" s="286"/>
    </row>
    <row r="48" spans="1:27" ht="24" x14ac:dyDescent="0.25">
      <c r="A48" s="131">
        <v>1</v>
      </c>
      <c r="B48" s="129">
        <v>1101220</v>
      </c>
      <c r="C48" s="127" t="s">
        <v>30</v>
      </c>
      <c r="D48" s="128" t="s">
        <v>129</v>
      </c>
      <c r="E48" s="151" t="s">
        <v>46</v>
      </c>
      <c r="F48" s="129" t="s">
        <v>47</v>
      </c>
      <c r="G48" s="147" t="s">
        <v>34</v>
      </c>
      <c r="H48" s="189">
        <f t="shared" si="0"/>
        <v>3.0118842420393719</v>
      </c>
      <c r="I48" s="210" t="s">
        <v>2223</v>
      </c>
      <c r="J48" s="146">
        <v>30</v>
      </c>
      <c r="K48" s="147">
        <v>9</v>
      </c>
      <c r="L48" s="147">
        <v>1</v>
      </c>
      <c r="M48" s="147">
        <v>10</v>
      </c>
      <c r="N48" s="275">
        <v>6400</v>
      </c>
      <c r="O48" s="309">
        <v>3.01</v>
      </c>
      <c r="P48" s="179">
        <v>46107</v>
      </c>
      <c r="Q48" s="260">
        <f>6.64/2.2046</f>
        <v>3.0118842420393719</v>
      </c>
      <c r="R48" s="345">
        <v>0</v>
      </c>
      <c r="S48" s="164" t="s">
        <v>35</v>
      </c>
      <c r="T48" s="129" t="s">
        <v>36</v>
      </c>
      <c r="U48" s="147" t="s">
        <v>37</v>
      </c>
      <c r="V48" s="129"/>
      <c r="W48" s="147" t="s">
        <v>2208</v>
      </c>
      <c r="X48" s="205" t="s">
        <v>1009</v>
      </c>
      <c r="Y48" s="251"/>
      <c r="Z48" s="290"/>
      <c r="AA48" s="353" t="s">
        <v>47</v>
      </c>
    </row>
    <row r="49" spans="1:27" s="181" customFormat="1" ht="24" hidden="1" x14ac:dyDescent="0.25">
      <c r="A49" s="131">
        <v>1</v>
      </c>
      <c r="B49" s="129">
        <v>1101223</v>
      </c>
      <c r="C49" s="127" t="s">
        <v>30</v>
      </c>
      <c r="D49" s="128" t="s">
        <v>130</v>
      </c>
      <c r="E49" s="151" t="s">
        <v>131</v>
      </c>
      <c r="F49" s="136" t="s">
        <v>1791</v>
      </c>
      <c r="G49" s="147" t="s">
        <v>34</v>
      </c>
      <c r="H49" s="189">
        <f t="shared" si="0"/>
        <v>6.16</v>
      </c>
      <c r="I49" s="210" t="s">
        <v>2223</v>
      </c>
      <c r="J49" s="146">
        <v>30</v>
      </c>
      <c r="K49" s="147">
        <v>8</v>
      </c>
      <c r="L49" s="147">
        <v>1</v>
      </c>
      <c r="M49" s="147">
        <v>9</v>
      </c>
      <c r="N49" s="275">
        <v>55</v>
      </c>
      <c r="O49" s="173">
        <v>6.08</v>
      </c>
      <c r="P49" s="179">
        <v>46120</v>
      </c>
      <c r="Q49" s="173">
        <v>6.11</v>
      </c>
      <c r="R49" s="260">
        <v>0.05</v>
      </c>
      <c r="S49" s="166" t="s">
        <v>37</v>
      </c>
      <c r="T49" s="129" t="s">
        <v>36</v>
      </c>
      <c r="U49" s="147" t="s">
        <v>37</v>
      </c>
      <c r="V49" s="129"/>
      <c r="W49" s="308" t="s">
        <v>2209</v>
      </c>
      <c r="X49" s="205" t="s">
        <v>1009</v>
      </c>
      <c r="Y49" s="251"/>
      <c r="Z49" s="290"/>
      <c r="AA49" s="286"/>
    </row>
    <row r="50" spans="1:27" x14ac:dyDescent="0.25">
      <c r="A50" s="131">
        <v>1</v>
      </c>
      <c r="B50" s="129">
        <v>1101224</v>
      </c>
      <c r="C50" s="127" t="s">
        <v>30</v>
      </c>
      <c r="D50" s="128" t="s">
        <v>136</v>
      </c>
      <c r="E50" s="151" t="s">
        <v>131</v>
      </c>
      <c r="F50" s="129" t="s">
        <v>1642</v>
      </c>
      <c r="G50" s="147" t="s">
        <v>34</v>
      </c>
      <c r="H50" s="189">
        <f t="shared" si="0"/>
        <v>4.0999999999999996</v>
      </c>
      <c r="I50" s="223" t="s">
        <v>2082</v>
      </c>
      <c r="J50" s="146">
        <v>45</v>
      </c>
      <c r="K50" s="147">
        <v>8</v>
      </c>
      <c r="L50" s="147">
        <v>2</v>
      </c>
      <c r="M50" s="147">
        <v>10</v>
      </c>
      <c r="N50" s="275">
        <v>1103</v>
      </c>
      <c r="O50" s="193">
        <f>4.22+0.05</f>
        <v>4.2699999999999996</v>
      </c>
      <c r="P50" s="179">
        <v>46181</v>
      </c>
      <c r="Q50" s="173">
        <v>4.05</v>
      </c>
      <c r="R50" s="271">
        <v>0.05</v>
      </c>
      <c r="S50" s="164"/>
      <c r="T50" s="129" t="s">
        <v>36</v>
      </c>
      <c r="U50" s="147" t="s">
        <v>37</v>
      </c>
      <c r="V50" s="129"/>
      <c r="W50" s="147" t="s">
        <v>2208</v>
      </c>
      <c r="X50" s="205" t="s">
        <v>1009</v>
      </c>
      <c r="Y50" s="251"/>
      <c r="Z50" s="290"/>
      <c r="AA50" s="286" t="s">
        <v>2693</v>
      </c>
    </row>
    <row r="51" spans="1:27" ht="24" hidden="1" x14ac:dyDescent="0.25">
      <c r="A51" s="131">
        <v>1</v>
      </c>
      <c r="B51" s="129">
        <v>1101225</v>
      </c>
      <c r="C51" s="127" t="s">
        <v>30</v>
      </c>
      <c r="D51" s="128" t="s">
        <v>137</v>
      </c>
      <c r="E51" s="151" t="s">
        <v>138</v>
      </c>
      <c r="F51" s="129" t="s">
        <v>33</v>
      </c>
      <c r="G51" s="147" t="s">
        <v>34</v>
      </c>
      <c r="H51" s="189">
        <f t="shared" si="0"/>
        <v>19.079999999999998</v>
      </c>
      <c r="I51" s="210" t="s">
        <v>2223</v>
      </c>
      <c r="J51" s="146">
        <v>0</v>
      </c>
      <c r="K51" s="147">
        <v>5</v>
      </c>
      <c r="L51" s="147">
        <v>1</v>
      </c>
      <c r="M51" s="147">
        <v>6</v>
      </c>
      <c r="N51" s="275">
        <v>110</v>
      </c>
      <c r="O51" s="194"/>
      <c r="P51" s="179"/>
      <c r="Q51" s="173">
        <v>19.079999999999998</v>
      </c>
      <c r="R51" s="271">
        <v>0</v>
      </c>
      <c r="S51" s="164" t="s">
        <v>35</v>
      </c>
      <c r="T51" s="129" t="s">
        <v>36</v>
      </c>
      <c r="U51" s="147" t="s">
        <v>37</v>
      </c>
      <c r="V51" s="129"/>
      <c r="W51" s="176" t="s">
        <v>54</v>
      </c>
      <c r="X51" s="205"/>
      <c r="Y51" s="251"/>
      <c r="Z51" s="290"/>
      <c r="AA51" s="286"/>
    </row>
    <row r="52" spans="1:27" ht="24" hidden="1" x14ac:dyDescent="0.25">
      <c r="A52" s="131">
        <v>1</v>
      </c>
      <c r="B52" s="129">
        <v>1101226</v>
      </c>
      <c r="C52" s="127" t="s">
        <v>30</v>
      </c>
      <c r="D52" s="128" t="s">
        <v>139</v>
      </c>
      <c r="E52" s="151" t="s">
        <v>140</v>
      </c>
      <c r="F52" s="129" t="s">
        <v>47</v>
      </c>
      <c r="G52" s="147" t="s">
        <v>34</v>
      </c>
      <c r="H52" s="189">
        <f t="shared" si="0"/>
        <v>0</v>
      </c>
      <c r="I52" s="210" t="s">
        <v>2223</v>
      </c>
      <c r="J52" s="148">
        <v>30</v>
      </c>
      <c r="K52" s="147">
        <v>9</v>
      </c>
      <c r="L52" s="147">
        <v>1</v>
      </c>
      <c r="M52" s="147">
        <v>10</v>
      </c>
      <c r="N52" s="275">
        <v>6400</v>
      </c>
      <c r="O52" s="194"/>
      <c r="P52" s="179"/>
      <c r="Q52" s="173"/>
      <c r="R52" s="260">
        <v>0</v>
      </c>
      <c r="S52" s="166" t="s">
        <v>35</v>
      </c>
      <c r="T52" s="129" t="s">
        <v>36</v>
      </c>
      <c r="U52" s="147" t="s">
        <v>37</v>
      </c>
      <c r="V52" s="129"/>
      <c r="W52" s="162" t="s">
        <v>54</v>
      </c>
      <c r="X52" s="205"/>
      <c r="Y52" s="251"/>
      <c r="Z52" s="290"/>
      <c r="AA52" s="286"/>
    </row>
    <row r="53" spans="1:27" ht="24" hidden="1" x14ac:dyDescent="0.25">
      <c r="A53" s="131">
        <v>1</v>
      </c>
      <c r="B53" s="129">
        <v>1101227</v>
      </c>
      <c r="C53" s="127" t="s">
        <v>30</v>
      </c>
      <c r="D53" s="128" t="s">
        <v>142</v>
      </c>
      <c r="E53" s="151" t="s">
        <v>143</v>
      </c>
      <c r="F53" s="129" t="s">
        <v>33</v>
      </c>
      <c r="G53" s="147" t="s">
        <v>34</v>
      </c>
      <c r="H53" s="189">
        <f t="shared" si="0"/>
        <v>0</v>
      </c>
      <c r="I53" s="210" t="s">
        <v>2223</v>
      </c>
      <c r="J53" s="146">
        <v>0</v>
      </c>
      <c r="K53" s="147">
        <v>5</v>
      </c>
      <c r="L53" s="147">
        <v>1</v>
      </c>
      <c r="M53" s="147">
        <v>6</v>
      </c>
      <c r="N53" s="275"/>
      <c r="O53" s="194"/>
      <c r="P53" s="179"/>
      <c r="Q53" s="173"/>
      <c r="R53" s="260">
        <v>0</v>
      </c>
      <c r="S53" s="164" t="s">
        <v>35</v>
      </c>
      <c r="T53" s="129" t="s">
        <v>36</v>
      </c>
      <c r="U53" s="147" t="s">
        <v>37</v>
      </c>
      <c r="V53" s="129"/>
      <c r="W53" s="162" t="s">
        <v>54</v>
      </c>
      <c r="X53" s="205"/>
      <c r="Y53" s="251"/>
      <c r="Z53" s="290"/>
      <c r="AA53" s="286"/>
    </row>
    <row r="54" spans="1:27" ht="24" x14ac:dyDescent="0.25">
      <c r="A54" s="131">
        <v>1</v>
      </c>
      <c r="B54" s="129">
        <v>1101228</v>
      </c>
      <c r="C54" s="127" t="s">
        <v>30</v>
      </c>
      <c r="D54" s="128" t="s">
        <v>144</v>
      </c>
      <c r="E54" s="151" t="s">
        <v>143</v>
      </c>
      <c r="F54" s="129" t="s">
        <v>33</v>
      </c>
      <c r="G54" s="147" t="s">
        <v>34</v>
      </c>
      <c r="H54" s="189">
        <f t="shared" si="0"/>
        <v>3.0480999999999998</v>
      </c>
      <c r="I54" s="210" t="s">
        <v>2223</v>
      </c>
      <c r="J54" s="146">
        <v>0</v>
      </c>
      <c r="K54" s="147">
        <v>11</v>
      </c>
      <c r="L54" s="147">
        <v>1</v>
      </c>
      <c r="M54" s="147">
        <v>12</v>
      </c>
      <c r="N54" s="275">
        <v>4500</v>
      </c>
      <c r="O54" s="193">
        <v>3.266</v>
      </c>
      <c r="P54" s="179">
        <v>45189</v>
      </c>
      <c r="Q54" s="173">
        <v>3.0480999999999998</v>
      </c>
      <c r="R54" s="271">
        <v>0</v>
      </c>
      <c r="S54" s="164" t="s">
        <v>35</v>
      </c>
      <c r="T54" s="129" t="s">
        <v>36</v>
      </c>
      <c r="U54" s="147" t="s">
        <v>37</v>
      </c>
      <c r="V54" s="129"/>
      <c r="W54" s="147" t="s">
        <v>2208</v>
      </c>
      <c r="X54" s="205" t="s">
        <v>1009</v>
      </c>
      <c r="Y54" s="251"/>
      <c r="Z54" s="290"/>
      <c r="AA54" s="286" t="s">
        <v>33</v>
      </c>
    </row>
    <row r="55" spans="1:27" hidden="1" x14ac:dyDescent="0.25">
      <c r="A55" s="131">
        <v>1</v>
      </c>
      <c r="B55" s="129">
        <v>1101229</v>
      </c>
      <c r="C55" s="127" t="s">
        <v>30</v>
      </c>
      <c r="D55" s="128" t="s">
        <v>145</v>
      </c>
      <c r="E55" s="151" t="s">
        <v>146</v>
      </c>
      <c r="F55" s="129" t="s">
        <v>1791</v>
      </c>
      <c r="G55" s="147" t="s">
        <v>34</v>
      </c>
      <c r="H55" s="189">
        <f t="shared" si="0"/>
        <v>2.7457000000000003</v>
      </c>
      <c r="I55" s="180" t="s">
        <v>2082</v>
      </c>
      <c r="J55" s="146">
        <v>30</v>
      </c>
      <c r="K55" s="147">
        <v>2</v>
      </c>
      <c r="L55" s="147">
        <v>2</v>
      </c>
      <c r="M55" s="147">
        <v>4</v>
      </c>
      <c r="N55" s="275">
        <v>1100</v>
      </c>
      <c r="O55" s="194"/>
      <c r="P55" s="179"/>
      <c r="Q55" s="173">
        <v>2.35</v>
      </c>
      <c r="R55" s="271">
        <v>0.3957</v>
      </c>
      <c r="S55" s="164"/>
      <c r="T55" s="129" t="s">
        <v>36</v>
      </c>
      <c r="U55" s="147" t="s">
        <v>37</v>
      </c>
      <c r="V55" s="129"/>
      <c r="W55" s="176" t="s">
        <v>54</v>
      </c>
      <c r="X55" s="205"/>
      <c r="Y55" s="251"/>
      <c r="Z55" s="290"/>
      <c r="AA55" s="286"/>
    </row>
    <row r="56" spans="1:27" ht="24" hidden="1" x14ac:dyDescent="0.25">
      <c r="A56" s="131">
        <v>1</v>
      </c>
      <c r="B56" s="129">
        <v>1101230</v>
      </c>
      <c r="C56" s="127" t="s">
        <v>30</v>
      </c>
      <c r="D56" s="128" t="s">
        <v>150</v>
      </c>
      <c r="E56" s="151" t="s">
        <v>151</v>
      </c>
      <c r="F56" s="129" t="s">
        <v>33</v>
      </c>
      <c r="G56" s="147" t="s">
        <v>34</v>
      </c>
      <c r="H56" s="189">
        <f t="shared" si="0"/>
        <v>5.6835707157761037</v>
      </c>
      <c r="I56" s="210" t="s">
        <v>2223</v>
      </c>
      <c r="J56" s="146">
        <v>0</v>
      </c>
      <c r="K56" s="147">
        <v>11</v>
      </c>
      <c r="L56" s="147">
        <v>1</v>
      </c>
      <c r="M56" s="147">
        <v>12</v>
      </c>
      <c r="N56" s="275"/>
      <c r="O56" s="194"/>
      <c r="P56" s="179"/>
      <c r="Q56" s="269">
        <f>12.53/2.2046</f>
        <v>5.6835707157761037</v>
      </c>
      <c r="R56" s="260">
        <v>0</v>
      </c>
      <c r="S56" s="164" t="s">
        <v>35</v>
      </c>
      <c r="T56" s="129" t="s">
        <v>36</v>
      </c>
      <c r="U56" s="147" t="s">
        <v>37</v>
      </c>
      <c r="V56" s="129"/>
      <c r="W56" s="162" t="s">
        <v>54</v>
      </c>
      <c r="X56" s="205"/>
      <c r="Y56" s="251"/>
      <c r="Z56" s="290"/>
      <c r="AA56" s="286"/>
    </row>
    <row r="57" spans="1:27" x14ac:dyDescent="0.25">
      <c r="A57" s="131">
        <v>1</v>
      </c>
      <c r="B57" s="129">
        <v>1101231</v>
      </c>
      <c r="C57" s="127" t="s">
        <v>30</v>
      </c>
      <c r="D57" s="128" t="s">
        <v>152</v>
      </c>
      <c r="E57" s="151" t="s">
        <v>66</v>
      </c>
      <c r="F57" s="129" t="s">
        <v>1791</v>
      </c>
      <c r="G57" s="147" t="s">
        <v>34</v>
      </c>
      <c r="H57" s="189">
        <f t="shared" si="0"/>
        <v>2.7449999999999997</v>
      </c>
      <c r="I57" s="223" t="s">
        <v>2082</v>
      </c>
      <c r="J57" s="146">
        <v>30</v>
      </c>
      <c r="K57" s="147">
        <v>10</v>
      </c>
      <c r="L57" s="147">
        <v>2</v>
      </c>
      <c r="M57" s="147">
        <v>12</v>
      </c>
      <c r="N57" s="275">
        <v>1500</v>
      </c>
      <c r="O57" s="193">
        <v>2.74</v>
      </c>
      <c r="P57" s="179">
        <v>45490</v>
      </c>
      <c r="Q57" s="173">
        <v>2.6949999999999998</v>
      </c>
      <c r="R57" s="271">
        <v>0.05</v>
      </c>
      <c r="S57" s="164"/>
      <c r="T57" s="129" t="s">
        <v>36</v>
      </c>
      <c r="U57" s="147" t="s">
        <v>37</v>
      </c>
      <c r="V57" s="129"/>
      <c r="W57" s="147" t="s">
        <v>2208</v>
      </c>
      <c r="X57" s="205" t="s">
        <v>1009</v>
      </c>
      <c r="Y57" s="251"/>
      <c r="Z57" s="290"/>
      <c r="AA57" s="286" t="s">
        <v>2701</v>
      </c>
    </row>
    <row r="58" spans="1:27" x14ac:dyDescent="0.25">
      <c r="A58" s="131">
        <v>1</v>
      </c>
      <c r="B58" s="129">
        <v>1101232</v>
      </c>
      <c r="C58" s="127" t="s">
        <v>30</v>
      </c>
      <c r="D58" s="128" t="s">
        <v>153</v>
      </c>
      <c r="E58" s="151" t="s">
        <v>143</v>
      </c>
      <c r="F58" s="129" t="s">
        <v>307</v>
      </c>
      <c r="G58" s="147" t="s">
        <v>34</v>
      </c>
      <c r="H58" s="189">
        <f t="shared" si="0"/>
        <v>3.0713999999999997</v>
      </c>
      <c r="I58" s="210" t="s">
        <v>2082</v>
      </c>
      <c r="J58" s="146">
        <v>0</v>
      </c>
      <c r="K58" s="147">
        <v>11</v>
      </c>
      <c r="L58" s="147">
        <v>1</v>
      </c>
      <c r="M58" s="147">
        <v>12</v>
      </c>
      <c r="N58" s="275">
        <v>8994</v>
      </c>
      <c r="O58" s="173">
        <f>3.785+0.0278</f>
        <v>3.8128000000000002</v>
      </c>
      <c r="P58" s="179">
        <v>46146</v>
      </c>
      <c r="Q58" s="173">
        <f>2.83+0.1914</f>
        <v>3.0213999999999999</v>
      </c>
      <c r="R58" s="271">
        <v>0.05</v>
      </c>
      <c r="S58" s="164"/>
      <c r="T58" s="129" t="s">
        <v>36</v>
      </c>
      <c r="U58" s="147" t="s">
        <v>37</v>
      </c>
      <c r="V58" s="129"/>
      <c r="W58" s="147" t="s">
        <v>2208</v>
      </c>
      <c r="X58" s="205" t="s">
        <v>1009</v>
      </c>
      <c r="Y58" s="251"/>
      <c r="Z58" s="290"/>
      <c r="AA58" s="286" t="s">
        <v>33</v>
      </c>
    </row>
    <row r="59" spans="1:27" hidden="1" x14ac:dyDescent="0.25">
      <c r="A59" s="131">
        <v>1</v>
      </c>
      <c r="B59" s="129">
        <v>1101233</v>
      </c>
      <c r="C59" s="127" t="s">
        <v>30</v>
      </c>
      <c r="D59" s="128" t="s">
        <v>154</v>
      </c>
      <c r="E59" s="151" t="s">
        <v>155</v>
      </c>
      <c r="F59" s="129" t="s">
        <v>1791</v>
      </c>
      <c r="G59" s="147" t="s">
        <v>34</v>
      </c>
      <c r="H59" s="189">
        <f t="shared" si="0"/>
        <v>6.6</v>
      </c>
      <c r="I59" s="180" t="s">
        <v>2082</v>
      </c>
      <c r="J59" s="146">
        <v>30</v>
      </c>
      <c r="K59" s="147">
        <v>8</v>
      </c>
      <c r="L59" s="147">
        <v>2</v>
      </c>
      <c r="M59" s="147">
        <v>10</v>
      </c>
      <c r="N59" s="275">
        <v>1102</v>
      </c>
      <c r="O59" s="194">
        <v>6.5949999999999998</v>
      </c>
      <c r="P59" s="179">
        <v>45055</v>
      </c>
      <c r="Q59" s="173">
        <v>6.55</v>
      </c>
      <c r="R59" s="271">
        <v>0.05</v>
      </c>
      <c r="S59" s="164"/>
      <c r="T59" s="129" t="s">
        <v>36</v>
      </c>
      <c r="U59" s="147" t="s">
        <v>37</v>
      </c>
      <c r="V59" s="129"/>
      <c r="W59" s="176" t="s">
        <v>54</v>
      </c>
      <c r="X59" s="205"/>
      <c r="Y59" s="251"/>
      <c r="Z59" s="290"/>
      <c r="AA59" s="286"/>
    </row>
    <row r="60" spans="1:27" hidden="1" x14ac:dyDescent="0.25">
      <c r="A60" s="131">
        <v>1</v>
      </c>
      <c r="B60" s="129">
        <v>1101234</v>
      </c>
      <c r="C60" s="127" t="s">
        <v>30</v>
      </c>
      <c r="D60" s="128" t="s">
        <v>156</v>
      </c>
      <c r="E60" s="151" t="s">
        <v>49</v>
      </c>
      <c r="F60" s="129" t="s">
        <v>1791</v>
      </c>
      <c r="G60" s="147" t="s">
        <v>34</v>
      </c>
      <c r="H60" s="189">
        <f t="shared" si="0"/>
        <v>6.4</v>
      </c>
      <c r="I60" s="180" t="s">
        <v>2082</v>
      </c>
      <c r="J60" s="146">
        <v>30</v>
      </c>
      <c r="K60" s="147">
        <v>8</v>
      </c>
      <c r="L60" s="147">
        <v>2</v>
      </c>
      <c r="M60" s="147">
        <v>10</v>
      </c>
      <c r="N60" s="275">
        <v>1102</v>
      </c>
      <c r="O60" s="194">
        <v>3.9350000000000001</v>
      </c>
      <c r="P60" s="179">
        <v>44684</v>
      </c>
      <c r="Q60" s="173">
        <v>6.4</v>
      </c>
      <c r="R60" s="271">
        <v>0</v>
      </c>
      <c r="S60" s="164"/>
      <c r="T60" s="129" t="s">
        <v>36</v>
      </c>
      <c r="U60" s="147" t="s">
        <v>37</v>
      </c>
      <c r="V60" s="129"/>
      <c r="W60" s="176" t="s">
        <v>54</v>
      </c>
      <c r="X60" s="205"/>
      <c r="Y60" s="251"/>
      <c r="Z60" s="290"/>
      <c r="AA60" s="286"/>
    </row>
    <row r="61" spans="1:27" ht="24" hidden="1" x14ac:dyDescent="0.25">
      <c r="A61" s="131">
        <v>1</v>
      </c>
      <c r="B61" s="129">
        <v>1101235</v>
      </c>
      <c r="C61" s="127" t="s">
        <v>30</v>
      </c>
      <c r="D61" s="136" t="s">
        <v>157</v>
      </c>
      <c r="E61" s="151" t="s">
        <v>1935</v>
      </c>
      <c r="F61" s="129" t="s">
        <v>33</v>
      </c>
      <c r="G61" s="147" t="s">
        <v>34</v>
      </c>
      <c r="H61" s="189">
        <f t="shared" si="0"/>
        <v>0</v>
      </c>
      <c r="I61" s="210" t="s">
        <v>2223</v>
      </c>
      <c r="J61" s="146">
        <v>0</v>
      </c>
      <c r="K61" s="147">
        <v>8</v>
      </c>
      <c r="L61" s="147">
        <v>1</v>
      </c>
      <c r="M61" s="147">
        <v>9</v>
      </c>
      <c r="N61" s="275" t="s">
        <v>158</v>
      </c>
      <c r="O61" s="194"/>
      <c r="P61" s="179"/>
      <c r="Q61" s="173"/>
      <c r="R61" s="260">
        <v>0</v>
      </c>
      <c r="S61" s="164" t="s">
        <v>35</v>
      </c>
      <c r="T61" s="129" t="s">
        <v>36</v>
      </c>
      <c r="U61" s="147" t="s">
        <v>37</v>
      </c>
      <c r="V61" s="129"/>
      <c r="W61" s="162" t="s">
        <v>54</v>
      </c>
      <c r="X61" s="205"/>
      <c r="Y61" s="251"/>
      <c r="Z61" s="290"/>
      <c r="AA61" s="286"/>
    </row>
    <row r="62" spans="1:27" ht="24" hidden="1" x14ac:dyDescent="0.25">
      <c r="A62" s="131">
        <v>1</v>
      </c>
      <c r="B62" s="129">
        <v>1101236</v>
      </c>
      <c r="C62" s="127" t="s">
        <v>30</v>
      </c>
      <c r="D62" s="128" t="s">
        <v>159</v>
      </c>
      <c r="E62" s="151" t="s">
        <v>143</v>
      </c>
      <c r="F62" s="129" t="s">
        <v>33</v>
      </c>
      <c r="G62" s="147" t="s">
        <v>34</v>
      </c>
      <c r="H62" s="189">
        <f t="shared" si="0"/>
        <v>0</v>
      </c>
      <c r="I62" s="210" t="s">
        <v>2223</v>
      </c>
      <c r="J62" s="146">
        <v>0</v>
      </c>
      <c r="K62" s="147">
        <v>8</v>
      </c>
      <c r="L62" s="147">
        <v>1</v>
      </c>
      <c r="M62" s="147">
        <v>9</v>
      </c>
      <c r="N62" s="275"/>
      <c r="O62" s="194"/>
      <c r="P62" s="179"/>
      <c r="Q62" s="173"/>
      <c r="R62" s="260">
        <v>0</v>
      </c>
      <c r="S62" s="164" t="s">
        <v>35</v>
      </c>
      <c r="T62" s="129" t="s">
        <v>36</v>
      </c>
      <c r="U62" s="147" t="s">
        <v>37</v>
      </c>
      <c r="V62" s="129"/>
      <c r="W62" s="162" t="s">
        <v>54</v>
      </c>
      <c r="X62" s="205"/>
      <c r="Y62" s="251"/>
      <c r="Z62" s="290"/>
      <c r="AA62" s="286"/>
    </row>
    <row r="63" spans="1:27" ht="24" hidden="1" x14ac:dyDescent="0.25">
      <c r="A63" s="131">
        <v>1</v>
      </c>
      <c r="B63" s="129">
        <v>1101237</v>
      </c>
      <c r="C63" s="127" t="s">
        <v>30</v>
      </c>
      <c r="D63" s="128" t="s">
        <v>160</v>
      </c>
      <c r="E63" s="151" t="s">
        <v>143</v>
      </c>
      <c r="F63" s="129" t="s">
        <v>33</v>
      </c>
      <c r="G63" s="147" t="s">
        <v>34</v>
      </c>
      <c r="H63" s="189">
        <f t="shared" si="0"/>
        <v>0</v>
      </c>
      <c r="I63" s="210" t="s">
        <v>2223</v>
      </c>
      <c r="J63" s="146">
        <v>0</v>
      </c>
      <c r="K63" s="147">
        <v>8</v>
      </c>
      <c r="L63" s="147">
        <v>1</v>
      </c>
      <c r="M63" s="147">
        <v>9</v>
      </c>
      <c r="N63" s="275">
        <v>1500</v>
      </c>
      <c r="O63" s="194"/>
      <c r="P63" s="179"/>
      <c r="Q63" s="173"/>
      <c r="R63" s="260">
        <v>0</v>
      </c>
      <c r="S63" s="164" t="s">
        <v>35</v>
      </c>
      <c r="T63" s="129" t="s">
        <v>36</v>
      </c>
      <c r="U63" s="147" t="s">
        <v>37</v>
      </c>
      <c r="V63" s="129"/>
      <c r="W63" s="162" t="s">
        <v>54</v>
      </c>
      <c r="X63" s="205"/>
      <c r="Y63" s="251"/>
      <c r="Z63" s="290"/>
      <c r="AA63" s="286"/>
    </row>
    <row r="64" spans="1:27" ht="24" hidden="1" x14ac:dyDescent="0.25">
      <c r="A64" s="131">
        <v>1</v>
      </c>
      <c r="B64" s="129">
        <v>1101238</v>
      </c>
      <c r="C64" s="127" t="s">
        <v>30</v>
      </c>
      <c r="D64" s="128" t="s">
        <v>161</v>
      </c>
      <c r="E64" s="151" t="s">
        <v>143</v>
      </c>
      <c r="F64" s="129" t="s">
        <v>33</v>
      </c>
      <c r="G64" s="147" t="s">
        <v>34</v>
      </c>
      <c r="H64" s="189">
        <f t="shared" si="0"/>
        <v>3.33</v>
      </c>
      <c r="I64" s="210" t="s">
        <v>2223</v>
      </c>
      <c r="J64" s="146">
        <v>0</v>
      </c>
      <c r="K64" s="147">
        <v>7</v>
      </c>
      <c r="L64" s="147">
        <v>1</v>
      </c>
      <c r="M64" s="147">
        <v>8</v>
      </c>
      <c r="N64" s="275">
        <v>1100</v>
      </c>
      <c r="O64" s="194"/>
      <c r="P64" s="179"/>
      <c r="Q64" s="173">
        <v>3.33</v>
      </c>
      <c r="R64" s="271">
        <v>0</v>
      </c>
      <c r="S64" s="164"/>
      <c r="T64" s="129" t="s">
        <v>162</v>
      </c>
      <c r="U64" s="147" t="s">
        <v>35</v>
      </c>
      <c r="V64" s="129"/>
      <c r="W64" s="176" t="s">
        <v>54</v>
      </c>
      <c r="X64" s="205"/>
      <c r="Y64" s="251"/>
      <c r="Z64" s="290"/>
      <c r="AA64" s="286"/>
    </row>
    <row r="65" spans="1:27" ht="24" hidden="1" x14ac:dyDescent="0.25">
      <c r="A65" s="131">
        <v>1</v>
      </c>
      <c r="B65" s="136">
        <v>1101239</v>
      </c>
      <c r="C65" s="127" t="s">
        <v>30</v>
      </c>
      <c r="D65" s="136" t="s">
        <v>163</v>
      </c>
      <c r="E65" s="147" t="s">
        <v>143</v>
      </c>
      <c r="F65" s="129" t="s">
        <v>164</v>
      </c>
      <c r="G65" s="147" t="s">
        <v>34</v>
      </c>
      <c r="H65" s="189">
        <f t="shared" si="0"/>
        <v>1.7976000000000001</v>
      </c>
      <c r="I65" s="210" t="s">
        <v>2211</v>
      </c>
      <c r="J65" s="146">
        <v>0</v>
      </c>
      <c r="K65" s="147">
        <v>8</v>
      </c>
      <c r="L65" s="147">
        <v>6</v>
      </c>
      <c r="M65" s="147">
        <v>14</v>
      </c>
      <c r="N65" s="275">
        <v>10000</v>
      </c>
      <c r="O65" s="177">
        <v>1.4932000000000001</v>
      </c>
      <c r="P65" s="179">
        <v>46126</v>
      </c>
      <c r="Q65" s="177">
        <v>1.7976000000000001</v>
      </c>
      <c r="R65" s="271"/>
      <c r="S65" s="164" t="s">
        <v>35</v>
      </c>
      <c r="T65" s="129" t="s">
        <v>36</v>
      </c>
      <c r="U65" s="147" t="s">
        <v>37</v>
      </c>
      <c r="V65" s="129"/>
      <c r="W65" s="176" t="s">
        <v>54</v>
      </c>
      <c r="X65" s="205" t="s">
        <v>1918</v>
      </c>
      <c r="Y65" s="251"/>
      <c r="Z65" s="290"/>
      <c r="AA65" s="286"/>
    </row>
    <row r="66" spans="1:27" ht="24" hidden="1" x14ac:dyDescent="0.25">
      <c r="A66" s="131">
        <v>1</v>
      </c>
      <c r="B66" s="129">
        <v>1101240</v>
      </c>
      <c r="C66" s="127" t="s">
        <v>30</v>
      </c>
      <c r="D66" s="136" t="s">
        <v>168</v>
      </c>
      <c r="E66" s="147" t="s">
        <v>143</v>
      </c>
      <c r="F66" s="129" t="s">
        <v>164</v>
      </c>
      <c r="G66" s="147" t="s">
        <v>34</v>
      </c>
      <c r="H66" s="189">
        <f t="shared" si="0"/>
        <v>1.4932000000000001</v>
      </c>
      <c r="I66" s="210" t="s">
        <v>2211</v>
      </c>
      <c r="J66" s="146">
        <v>30</v>
      </c>
      <c r="K66" s="147">
        <v>8</v>
      </c>
      <c r="L66" s="147">
        <v>6</v>
      </c>
      <c r="M66" s="147">
        <v>14</v>
      </c>
      <c r="N66" s="275">
        <v>10000</v>
      </c>
      <c r="O66" s="193">
        <v>1.6519999999999999</v>
      </c>
      <c r="P66" s="179">
        <v>45363</v>
      </c>
      <c r="Q66" s="177">
        <v>1.4932000000000001</v>
      </c>
      <c r="R66" s="271"/>
      <c r="S66" s="164" t="s">
        <v>35</v>
      </c>
      <c r="T66" s="129" t="s">
        <v>36</v>
      </c>
      <c r="U66" s="147" t="s">
        <v>37</v>
      </c>
      <c r="V66" s="129"/>
      <c r="W66" s="176" t="s">
        <v>54</v>
      </c>
      <c r="X66" s="205" t="s">
        <v>1918</v>
      </c>
      <c r="Y66" s="251"/>
      <c r="Z66" s="290"/>
      <c r="AA66" s="286"/>
    </row>
    <row r="67" spans="1:27" x14ac:dyDescent="0.25">
      <c r="A67" s="131">
        <v>1</v>
      </c>
      <c r="B67" s="129">
        <v>1101241</v>
      </c>
      <c r="C67" s="127" t="s">
        <v>30</v>
      </c>
      <c r="D67" s="136" t="s">
        <v>171</v>
      </c>
      <c r="E67" s="147" t="s">
        <v>143</v>
      </c>
      <c r="F67" s="129" t="s">
        <v>1998</v>
      </c>
      <c r="G67" s="147" t="s">
        <v>34</v>
      </c>
      <c r="H67" s="189">
        <f t="shared" ref="H67:H130" si="1">Q67+R67</f>
        <v>2.44</v>
      </c>
      <c r="I67" s="210" t="s">
        <v>2082</v>
      </c>
      <c r="J67" s="146">
        <v>60</v>
      </c>
      <c r="K67" s="147">
        <v>4</v>
      </c>
      <c r="L67" s="147">
        <v>8</v>
      </c>
      <c r="M67" s="147">
        <v>12</v>
      </c>
      <c r="N67" s="275">
        <v>35274</v>
      </c>
      <c r="O67" s="193">
        <v>1.66</v>
      </c>
      <c r="P67" s="179">
        <v>44888</v>
      </c>
      <c r="Q67" s="173">
        <v>2.39</v>
      </c>
      <c r="R67" s="271">
        <v>0.05</v>
      </c>
      <c r="S67" s="164"/>
      <c r="T67" s="129" t="s">
        <v>36</v>
      </c>
      <c r="U67" s="147" t="s">
        <v>37</v>
      </c>
      <c r="V67" s="129"/>
      <c r="W67" s="147" t="s">
        <v>2208</v>
      </c>
      <c r="X67" s="205" t="s">
        <v>1915</v>
      </c>
      <c r="Y67" s="251"/>
      <c r="Z67" s="290"/>
      <c r="AA67" s="286" t="s">
        <v>1998</v>
      </c>
    </row>
    <row r="68" spans="1:27" ht="24" hidden="1" x14ac:dyDescent="0.25">
      <c r="A68" s="131">
        <v>1</v>
      </c>
      <c r="B68" s="129">
        <v>1101242</v>
      </c>
      <c r="C68" s="127" t="s">
        <v>30</v>
      </c>
      <c r="D68" s="136" t="s">
        <v>176</v>
      </c>
      <c r="E68" s="147" t="s">
        <v>143</v>
      </c>
      <c r="F68" s="129" t="s">
        <v>33</v>
      </c>
      <c r="G68" s="147" t="s">
        <v>34</v>
      </c>
      <c r="H68" s="189">
        <f t="shared" si="1"/>
        <v>0</v>
      </c>
      <c r="I68" s="210" t="s">
        <v>2223</v>
      </c>
      <c r="J68" s="146">
        <v>0</v>
      </c>
      <c r="K68" s="147">
        <v>11</v>
      </c>
      <c r="L68" s="147">
        <v>1</v>
      </c>
      <c r="M68" s="147">
        <v>12</v>
      </c>
      <c r="N68" s="275"/>
      <c r="O68" s="194"/>
      <c r="P68" s="179"/>
      <c r="Q68" s="173"/>
      <c r="R68" s="271">
        <v>0</v>
      </c>
      <c r="S68" s="164"/>
      <c r="T68" s="129"/>
      <c r="U68" s="147" t="s">
        <v>37</v>
      </c>
      <c r="V68" s="129"/>
      <c r="W68" s="176" t="s">
        <v>54</v>
      </c>
      <c r="X68" s="205"/>
      <c r="Y68" s="251"/>
      <c r="Z68" s="290"/>
      <c r="AA68" s="286"/>
    </row>
    <row r="69" spans="1:27" x14ac:dyDescent="0.25">
      <c r="A69" s="131">
        <v>1</v>
      </c>
      <c r="B69" s="129">
        <v>1101260</v>
      </c>
      <c r="C69" s="127" t="s">
        <v>30</v>
      </c>
      <c r="D69" s="128" t="s">
        <v>177</v>
      </c>
      <c r="E69" s="151" t="s">
        <v>46</v>
      </c>
      <c r="F69" s="129" t="s">
        <v>1642</v>
      </c>
      <c r="G69" s="147" t="s">
        <v>34</v>
      </c>
      <c r="H69" s="189">
        <f t="shared" si="1"/>
        <v>4.46</v>
      </c>
      <c r="I69" s="223" t="s">
        <v>2082</v>
      </c>
      <c r="J69" s="146">
        <v>45</v>
      </c>
      <c r="K69" s="147">
        <v>8</v>
      </c>
      <c r="L69" s="147">
        <v>2</v>
      </c>
      <c r="M69" s="147">
        <v>10</v>
      </c>
      <c r="N69" s="275">
        <v>2200</v>
      </c>
      <c r="O69" s="193">
        <v>4.8600000000000003</v>
      </c>
      <c r="P69" s="179">
        <v>46178</v>
      </c>
      <c r="Q69" s="173">
        <v>4.41</v>
      </c>
      <c r="R69" s="271">
        <v>0.05</v>
      </c>
      <c r="S69" s="164"/>
      <c r="T69" s="129" t="s">
        <v>36</v>
      </c>
      <c r="U69" s="147" t="s">
        <v>37</v>
      </c>
      <c r="V69" s="129"/>
      <c r="W69" s="147" t="s">
        <v>2208</v>
      </c>
      <c r="X69" s="205" t="s">
        <v>1009</v>
      </c>
      <c r="Y69" s="251"/>
      <c r="Z69" s="290"/>
      <c r="AA69" s="286" t="s">
        <v>2689</v>
      </c>
    </row>
    <row r="70" spans="1:27" hidden="1" x14ac:dyDescent="0.25">
      <c r="A70" s="131">
        <v>1</v>
      </c>
      <c r="B70" s="129">
        <v>1101261</v>
      </c>
      <c r="C70" s="127" t="s">
        <v>30</v>
      </c>
      <c r="D70" s="128" t="s">
        <v>178</v>
      </c>
      <c r="E70" s="151" t="s">
        <v>179</v>
      </c>
      <c r="F70" s="129" t="s">
        <v>1791</v>
      </c>
      <c r="G70" s="147" t="s">
        <v>34</v>
      </c>
      <c r="H70" s="189">
        <f t="shared" si="1"/>
        <v>6.8000000000000007</v>
      </c>
      <c r="I70" s="180" t="s">
        <v>2082</v>
      </c>
      <c r="J70" s="146">
        <v>30</v>
      </c>
      <c r="K70" s="147">
        <v>7</v>
      </c>
      <c r="L70" s="147">
        <v>2</v>
      </c>
      <c r="M70" s="147">
        <v>9</v>
      </c>
      <c r="N70" s="275">
        <v>1102</v>
      </c>
      <c r="O70" s="194"/>
      <c r="P70" s="179">
        <v>44684</v>
      </c>
      <c r="Q70" s="173">
        <v>6.44</v>
      </c>
      <c r="R70" s="271">
        <v>0.36</v>
      </c>
      <c r="S70" s="164"/>
      <c r="T70" s="129" t="s">
        <v>36</v>
      </c>
      <c r="U70" s="147" t="s">
        <v>37</v>
      </c>
      <c r="V70" s="129"/>
      <c r="W70" s="176" t="s">
        <v>54</v>
      </c>
      <c r="X70" s="205"/>
      <c r="Y70" s="251"/>
      <c r="Z70" s="290"/>
      <c r="AA70" s="286"/>
    </row>
    <row r="71" spans="1:27" x14ac:dyDescent="0.25">
      <c r="A71" s="131">
        <v>1</v>
      </c>
      <c r="B71" s="136">
        <v>1101265</v>
      </c>
      <c r="C71" s="127" t="s">
        <v>657</v>
      </c>
      <c r="D71" s="128" t="s">
        <v>180</v>
      </c>
      <c r="E71" s="282" t="s">
        <v>181</v>
      </c>
      <c r="F71" s="129" t="s">
        <v>1616</v>
      </c>
      <c r="G71" s="147" t="s">
        <v>34</v>
      </c>
      <c r="H71" s="189">
        <f t="shared" si="1"/>
        <v>6.93</v>
      </c>
      <c r="I71" s="210" t="s">
        <v>2082</v>
      </c>
      <c r="J71" s="146">
        <v>0</v>
      </c>
      <c r="K71" s="147">
        <v>4</v>
      </c>
      <c r="L71" s="147">
        <v>2</v>
      </c>
      <c r="M71" s="147">
        <v>6</v>
      </c>
      <c r="N71" s="275">
        <v>250</v>
      </c>
      <c r="O71" s="193">
        <v>2.76</v>
      </c>
      <c r="P71" s="179">
        <v>45940</v>
      </c>
      <c r="Q71" s="173">
        <v>6.88</v>
      </c>
      <c r="R71" s="271">
        <v>0.05</v>
      </c>
      <c r="S71" s="164"/>
      <c r="T71" s="129" t="s">
        <v>36</v>
      </c>
      <c r="U71" s="147" t="s">
        <v>37</v>
      </c>
      <c r="V71" s="129"/>
      <c r="W71" s="147" t="s">
        <v>2208</v>
      </c>
      <c r="X71" s="205" t="s">
        <v>1009</v>
      </c>
      <c r="Y71" s="251"/>
      <c r="Z71" s="290"/>
      <c r="AA71" s="286"/>
    </row>
    <row r="72" spans="1:27" x14ac:dyDescent="0.25">
      <c r="A72" s="131">
        <v>1</v>
      </c>
      <c r="B72" s="136">
        <v>1101266</v>
      </c>
      <c r="C72" s="127" t="s">
        <v>657</v>
      </c>
      <c r="D72" s="128" t="s">
        <v>185</v>
      </c>
      <c r="E72" s="282" t="s">
        <v>181</v>
      </c>
      <c r="F72" s="129" t="s">
        <v>1616</v>
      </c>
      <c r="G72" s="147" t="s">
        <v>34</v>
      </c>
      <c r="H72" s="189">
        <f t="shared" si="1"/>
        <v>2.86</v>
      </c>
      <c r="I72" s="210" t="s">
        <v>2082</v>
      </c>
      <c r="J72" s="146">
        <v>0</v>
      </c>
      <c r="K72" s="147">
        <v>2</v>
      </c>
      <c r="L72" s="147">
        <v>2</v>
      </c>
      <c r="M72" s="147">
        <v>4</v>
      </c>
      <c r="N72" s="275">
        <v>1650</v>
      </c>
      <c r="O72" s="193">
        <v>2.5568</v>
      </c>
      <c r="P72" s="179">
        <v>44974</v>
      </c>
      <c r="Q72" s="173">
        <v>2.81</v>
      </c>
      <c r="R72" s="271">
        <v>0.05</v>
      </c>
      <c r="S72" s="164"/>
      <c r="T72" s="137" t="s">
        <v>36</v>
      </c>
      <c r="U72" s="147" t="s">
        <v>37</v>
      </c>
      <c r="V72" s="136"/>
      <c r="W72" s="147" t="s">
        <v>2208</v>
      </c>
      <c r="X72" s="205" t="s">
        <v>1009</v>
      </c>
      <c r="Y72" s="251"/>
      <c r="Z72" s="290"/>
      <c r="AA72" s="286" t="s">
        <v>1616</v>
      </c>
    </row>
    <row r="73" spans="1:27" s="181" customFormat="1" hidden="1" x14ac:dyDescent="0.25">
      <c r="A73" s="131">
        <v>1</v>
      </c>
      <c r="B73" s="129">
        <v>1101267</v>
      </c>
      <c r="C73" s="127" t="s">
        <v>30</v>
      </c>
      <c r="D73" s="136" t="s">
        <v>187</v>
      </c>
      <c r="E73" s="147" t="s">
        <v>32</v>
      </c>
      <c r="F73" s="129" t="s">
        <v>188</v>
      </c>
      <c r="G73" s="147" t="s">
        <v>34</v>
      </c>
      <c r="H73" s="189">
        <f t="shared" si="1"/>
        <v>0</v>
      </c>
      <c r="I73" s="213"/>
      <c r="J73" s="149"/>
      <c r="K73" s="147"/>
      <c r="L73" s="147"/>
      <c r="M73" s="147">
        <v>1</v>
      </c>
      <c r="N73" s="275"/>
      <c r="O73" s="194"/>
      <c r="P73" s="179"/>
      <c r="Q73" s="173"/>
      <c r="R73" s="260">
        <v>0</v>
      </c>
      <c r="S73" s="164"/>
      <c r="T73" s="129" t="s">
        <v>189</v>
      </c>
      <c r="U73" s="147" t="s">
        <v>35</v>
      </c>
      <c r="V73" s="136"/>
      <c r="W73" s="162" t="s">
        <v>54</v>
      </c>
      <c r="X73" s="205"/>
      <c r="Y73" s="251"/>
      <c r="Z73" s="290"/>
      <c r="AA73" s="286"/>
    </row>
    <row r="74" spans="1:27" ht="24" hidden="1" x14ac:dyDescent="0.25">
      <c r="A74" s="131">
        <v>1</v>
      </c>
      <c r="B74" s="129">
        <v>1102003</v>
      </c>
      <c r="C74" s="127" t="s">
        <v>30</v>
      </c>
      <c r="D74" s="128" t="s">
        <v>193</v>
      </c>
      <c r="E74" s="151" t="s">
        <v>66</v>
      </c>
      <c r="F74" s="129" t="s">
        <v>1788</v>
      </c>
      <c r="G74" s="147" t="s">
        <v>34</v>
      </c>
      <c r="H74" s="189">
        <f t="shared" si="1"/>
        <v>1.02</v>
      </c>
      <c r="I74" s="210" t="s">
        <v>2212</v>
      </c>
      <c r="J74" s="146">
        <v>0</v>
      </c>
      <c r="K74" s="147">
        <v>6</v>
      </c>
      <c r="L74" s="147">
        <v>2</v>
      </c>
      <c r="M74" s="147">
        <v>8</v>
      </c>
      <c r="N74" s="275">
        <v>1650</v>
      </c>
      <c r="O74" s="194"/>
      <c r="P74" s="179"/>
      <c r="Q74" s="173">
        <v>1.01</v>
      </c>
      <c r="R74" s="271">
        <v>0.01</v>
      </c>
      <c r="S74" s="166"/>
      <c r="T74" s="129" t="s">
        <v>36</v>
      </c>
      <c r="U74" s="147" t="s">
        <v>37</v>
      </c>
      <c r="V74" s="136"/>
      <c r="W74" s="176" t="s">
        <v>54</v>
      </c>
      <c r="X74" s="205"/>
      <c r="Y74" s="251"/>
      <c r="Z74" s="290"/>
      <c r="AA74" s="286"/>
    </row>
    <row r="75" spans="1:27" hidden="1" x14ac:dyDescent="0.25">
      <c r="A75" s="131">
        <v>1</v>
      </c>
      <c r="B75" s="136">
        <v>1102004</v>
      </c>
      <c r="C75" s="127" t="s">
        <v>30</v>
      </c>
      <c r="D75" s="128" t="s">
        <v>198</v>
      </c>
      <c r="E75" s="282" t="s">
        <v>66</v>
      </c>
      <c r="F75" s="129" t="s">
        <v>36</v>
      </c>
      <c r="G75" s="147" t="s">
        <v>34</v>
      </c>
      <c r="H75" s="189">
        <f t="shared" si="1"/>
        <v>0</v>
      </c>
      <c r="I75" s="134" t="s">
        <v>2213</v>
      </c>
      <c r="J75" s="149"/>
      <c r="K75" s="147"/>
      <c r="L75" s="147"/>
      <c r="M75" s="147">
        <v>7</v>
      </c>
      <c r="N75" s="275">
        <v>1100</v>
      </c>
      <c r="O75" s="194"/>
      <c r="P75" s="179"/>
      <c r="Q75" s="173"/>
      <c r="R75" s="260">
        <v>0</v>
      </c>
      <c r="S75" s="166"/>
      <c r="T75" s="129" t="s">
        <v>36</v>
      </c>
      <c r="U75" s="147" t="s">
        <v>37</v>
      </c>
      <c r="V75" s="136"/>
      <c r="W75" s="162" t="s">
        <v>2519</v>
      </c>
      <c r="X75" s="205"/>
      <c r="Y75" s="251"/>
      <c r="Z75" s="290"/>
      <c r="AA75" s="286"/>
    </row>
    <row r="76" spans="1:27" ht="24" hidden="1" x14ac:dyDescent="0.25">
      <c r="A76" s="131">
        <v>1</v>
      </c>
      <c r="B76" s="136">
        <v>1102005</v>
      </c>
      <c r="C76" s="127" t="s">
        <v>30</v>
      </c>
      <c r="D76" s="128" t="s">
        <v>199</v>
      </c>
      <c r="E76" s="282" t="s">
        <v>66</v>
      </c>
      <c r="F76" s="129" t="s">
        <v>33</v>
      </c>
      <c r="G76" s="147" t="s">
        <v>34</v>
      </c>
      <c r="H76" s="189">
        <f t="shared" si="1"/>
        <v>0</v>
      </c>
      <c r="I76" s="210" t="s">
        <v>2223</v>
      </c>
      <c r="J76" s="146">
        <v>0</v>
      </c>
      <c r="K76" s="147">
        <v>5</v>
      </c>
      <c r="L76" s="147">
        <v>1</v>
      </c>
      <c r="M76" s="147">
        <v>6</v>
      </c>
      <c r="N76" s="275"/>
      <c r="O76" s="194"/>
      <c r="P76" s="179"/>
      <c r="Q76" s="173"/>
      <c r="R76" s="260">
        <v>0</v>
      </c>
      <c r="S76" s="164"/>
      <c r="T76" s="129" t="s">
        <v>189</v>
      </c>
      <c r="U76" s="147" t="s">
        <v>37</v>
      </c>
      <c r="V76" s="136"/>
      <c r="W76" s="162" t="s">
        <v>54</v>
      </c>
      <c r="X76" s="205"/>
      <c r="Y76" s="251"/>
      <c r="Z76" s="290"/>
      <c r="AA76" s="286"/>
    </row>
    <row r="77" spans="1:27" hidden="1" x14ac:dyDescent="0.25">
      <c r="A77" s="131">
        <v>1</v>
      </c>
      <c r="B77" s="136">
        <v>1102006</v>
      </c>
      <c r="C77" s="127" t="s">
        <v>30</v>
      </c>
      <c r="D77" s="128" t="s">
        <v>200</v>
      </c>
      <c r="E77" s="282" t="s">
        <v>66</v>
      </c>
      <c r="F77" s="129" t="s">
        <v>1788</v>
      </c>
      <c r="G77" s="147" t="s">
        <v>34</v>
      </c>
      <c r="H77" s="189">
        <f t="shared" si="1"/>
        <v>0</v>
      </c>
      <c r="I77" s="180" t="s">
        <v>2082</v>
      </c>
      <c r="J77" s="146">
        <v>0</v>
      </c>
      <c r="K77" s="147">
        <v>8</v>
      </c>
      <c r="L77" s="147">
        <v>2</v>
      </c>
      <c r="M77" s="147">
        <v>10</v>
      </c>
      <c r="N77" s="275">
        <v>1650</v>
      </c>
      <c r="O77" s="194"/>
      <c r="P77" s="179"/>
      <c r="Q77" s="173"/>
      <c r="R77" s="260">
        <v>0</v>
      </c>
      <c r="S77" s="167"/>
      <c r="T77" s="129" t="s">
        <v>36</v>
      </c>
      <c r="U77" s="147" t="s">
        <v>37</v>
      </c>
      <c r="V77" s="136"/>
      <c r="W77" s="162" t="s">
        <v>54</v>
      </c>
      <c r="X77" s="205"/>
      <c r="Y77" s="251"/>
      <c r="Z77" s="290"/>
      <c r="AA77" s="286"/>
    </row>
    <row r="78" spans="1:27" s="181" customFormat="1" hidden="1" x14ac:dyDescent="0.25">
      <c r="A78" s="131">
        <v>1</v>
      </c>
      <c r="B78" s="136">
        <v>1102007</v>
      </c>
      <c r="C78" s="127" t="s">
        <v>30</v>
      </c>
      <c r="D78" s="128" t="s">
        <v>204</v>
      </c>
      <c r="E78" s="282" t="s">
        <v>66</v>
      </c>
      <c r="F78" s="129" t="s">
        <v>205</v>
      </c>
      <c r="G78" s="147" t="s">
        <v>34</v>
      </c>
      <c r="H78" s="189">
        <f t="shared" si="1"/>
        <v>0</v>
      </c>
      <c r="I78" s="213"/>
      <c r="J78" s="149"/>
      <c r="K78" s="147">
        <v>11</v>
      </c>
      <c r="L78" s="147">
        <v>1</v>
      </c>
      <c r="M78" s="147">
        <v>12</v>
      </c>
      <c r="N78" s="275">
        <v>10000</v>
      </c>
      <c r="O78" s="194"/>
      <c r="P78" s="179"/>
      <c r="Q78" s="173"/>
      <c r="R78" s="260">
        <v>0</v>
      </c>
      <c r="S78" s="167"/>
      <c r="T78" s="129" t="s">
        <v>206</v>
      </c>
      <c r="U78" s="147" t="s">
        <v>37</v>
      </c>
      <c r="V78" s="129"/>
      <c r="W78" s="162" t="s">
        <v>54</v>
      </c>
      <c r="X78" s="205"/>
      <c r="Y78" s="251"/>
      <c r="Z78" s="290"/>
      <c r="AA78" s="286"/>
    </row>
    <row r="79" spans="1:27" ht="24" hidden="1" x14ac:dyDescent="0.25">
      <c r="A79" s="131">
        <v>1</v>
      </c>
      <c r="B79" s="136">
        <v>1102008</v>
      </c>
      <c r="C79" s="127" t="s">
        <v>30</v>
      </c>
      <c r="D79" s="128" t="s">
        <v>210</v>
      </c>
      <c r="E79" s="282" t="s">
        <v>66</v>
      </c>
      <c r="F79" s="129" t="s">
        <v>1788</v>
      </c>
      <c r="G79" s="147" t="s">
        <v>34</v>
      </c>
      <c r="H79" s="189">
        <f t="shared" si="1"/>
        <v>0</v>
      </c>
      <c r="I79" s="180" t="s">
        <v>2082</v>
      </c>
      <c r="J79" s="146">
        <v>0</v>
      </c>
      <c r="K79" s="147">
        <v>8</v>
      </c>
      <c r="L79" s="147">
        <v>2</v>
      </c>
      <c r="M79" s="147">
        <v>10</v>
      </c>
      <c r="N79" s="275">
        <v>55</v>
      </c>
      <c r="O79" s="194"/>
      <c r="P79" s="179"/>
      <c r="Q79" s="173"/>
      <c r="R79" s="260">
        <v>0</v>
      </c>
      <c r="S79" s="167"/>
      <c r="T79" s="129" t="s">
        <v>206</v>
      </c>
      <c r="U79" s="147" t="s">
        <v>37</v>
      </c>
      <c r="V79" s="129"/>
      <c r="W79" s="162" t="s">
        <v>54</v>
      </c>
      <c r="X79" s="205"/>
      <c r="Y79" s="251"/>
      <c r="Z79" s="290"/>
      <c r="AA79" s="286"/>
    </row>
    <row r="80" spans="1:27" s="181" customFormat="1" ht="24" hidden="1" x14ac:dyDescent="0.25">
      <c r="A80" s="131">
        <v>1</v>
      </c>
      <c r="B80" s="136">
        <v>1102009</v>
      </c>
      <c r="C80" s="127" t="s">
        <v>30</v>
      </c>
      <c r="D80" s="128" t="s">
        <v>211</v>
      </c>
      <c r="E80" s="282" t="s">
        <v>66</v>
      </c>
      <c r="F80" s="136" t="s">
        <v>1979</v>
      </c>
      <c r="G80" s="147" t="s">
        <v>34</v>
      </c>
      <c r="H80" s="189">
        <f t="shared" si="1"/>
        <v>1.45</v>
      </c>
      <c r="I80" s="210" t="s">
        <v>2223</v>
      </c>
      <c r="J80" s="150"/>
      <c r="K80" s="147"/>
      <c r="L80" s="147"/>
      <c r="M80" s="147">
        <v>10</v>
      </c>
      <c r="N80" s="275">
        <v>55</v>
      </c>
      <c r="O80" s="194"/>
      <c r="P80" s="179"/>
      <c r="Q80" s="173">
        <v>1.45</v>
      </c>
      <c r="R80" s="271">
        <v>0</v>
      </c>
      <c r="S80" s="164"/>
      <c r="T80" s="129" t="s">
        <v>36</v>
      </c>
      <c r="U80" s="147" t="s">
        <v>37</v>
      </c>
      <c r="V80" s="129"/>
      <c r="W80" s="176" t="s">
        <v>54</v>
      </c>
      <c r="X80" s="205"/>
      <c r="Y80" s="251"/>
      <c r="Z80" s="290"/>
      <c r="AA80" s="286"/>
    </row>
    <row r="81" spans="1:27" x14ac:dyDescent="0.25">
      <c r="A81" s="131">
        <v>1</v>
      </c>
      <c r="B81" s="136">
        <v>1102010</v>
      </c>
      <c r="C81" s="127" t="s">
        <v>30</v>
      </c>
      <c r="D81" s="128" t="s">
        <v>1671</v>
      </c>
      <c r="E81" s="282" t="s">
        <v>66</v>
      </c>
      <c r="F81" s="129" t="s">
        <v>1998</v>
      </c>
      <c r="G81" s="147" t="s">
        <v>34</v>
      </c>
      <c r="H81" s="189">
        <f t="shared" si="1"/>
        <v>1.1400000000000001</v>
      </c>
      <c r="I81" s="210" t="s">
        <v>2082</v>
      </c>
      <c r="J81" s="146">
        <v>60</v>
      </c>
      <c r="K81" s="147">
        <v>4</v>
      </c>
      <c r="L81" s="147">
        <v>8</v>
      </c>
      <c r="M81" s="147">
        <v>12</v>
      </c>
      <c r="N81" s="275">
        <v>35724</v>
      </c>
      <c r="O81" s="193">
        <v>1</v>
      </c>
      <c r="P81" s="179">
        <v>45498</v>
      </c>
      <c r="Q81" s="173">
        <v>1.0900000000000001</v>
      </c>
      <c r="R81" s="271">
        <v>0.05</v>
      </c>
      <c r="S81" s="164"/>
      <c r="T81" s="129" t="s">
        <v>2441</v>
      </c>
      <c r="U81" s="147" t="s">
        <v>37</v>
      </c>
      <c r="V81" s="129"/>
      <c r="W81" s="147" t="s">
        <v>2208</v>
      </c>
      <c r="X81" s="205" t="s">
        <v>1915</v>
      </c>
      <c r="Y81" s="251"/>
      <c r="Z81" s="290"/>
      <c r="AA81" s="286" t="s">
        <v>1998</v>
      </c>
    </row>
    <row r="82" spans="1:27" ht="24" x14ac:dyDescent="0.25">
      <c r="B82" s="136">
        <v>1102011</v>
      </c>
      <c r="C82" s="127" t="s">
        <v>30</v>
      </c>
      <c r="D82" s="128" t="s">
        <v>213</v>
      </c>
      <c r="E82" s="282" t="s">
        <v>66</v>
      </c>
      <c r="F82" s="129" t="s">
        <v>2501</v>
      </c>
      <c r="G82" s="147" t="s">
        <v>34</v>
      </c>
      <c r="H82" s="189">
        <f t="shared" si="1"/>
        <v>1.2602</v>
      </c>
      <c r="I82" s="210" t="s">
        <v>2650</v>
      </c>
      <c r="J82" s="146">
        <v>0</v>
      </c>
      <c r="K82" s="147">
        <v>4</v>
      </c>
      <c r="L82" s="147">
        <v>8</v>
      </c>
      <c r="M82" s="147">
        <v>12</v>
      </c>
      <c r="N82" s="275">
        <v>35000</v>
      </c>
      <c r="O82" s="173">
        <f>0.83+0.2571+0.05</f>
        <v>1.1371</v>
      </c>
      <c r="P82" s="179">
        <v>46185</v>
      </c>
      <c r="Q82" s="173">
        <v>1.25</v>
      </c>
      <c r="R82" s="175">
        <f>357/35000</f>
        <v>1.0200000000000001E-2</v>
      </c>
      <c r="S82" s="164"/>
      <c r="T82" s="129" t="s">
        <v>2441</v>
      </c>
      <c r="U82" s="147" t="s">
        <v>37</v>
      </c>
      <c r="V82" s="129"/>
      <c r="W82" s="147" t="s">
        <v>2208</v>
      </c>
      <c r="X82" s="207" t="s">
        <v>1854</v>
      </c>
      <c r="Y82" s="251"/>
      <c r="Z82" s="290"/>
      <c r="AA82" s="286" t="s">
        <v>1685</v>
      </c>
    </row>
    <row r="83" spans="1:27" hidden="1" x14ac:dyDescent="0.25">
      <c r="A83" s="131">
        <v>1</v>
      </c>
      <c r="B83" s="136">
        <v>1102012</v>
      </c>
      <c r="C83" s="127" t="s">
        <v>30</v>
      </c>
      <c r="D83" s="128" t="s">
        <v>216</v>
      </c>
      <c r="E83" s="282" t="s">
        <v>66</v>
      </c>
      <c r="F83" s="129" t="s">
        <v>1998</v>
      </c>
      <c r="G83" s="147" t="s">
        <v>34</v>
      </c>
      <c r="H83" s="189">
        <f t="shared" si="1"/>
        <v>1.07</v>
      </c>
      <c r="I83" s="134" t="s">
        <v>2082</v>
      </c>
      <c r="J83" s="146">
        <v>60</v>
      </c>
      <c r="K83" s="147">
        <v>4</v>
      </c>
      <c r="L83" s="147">
        <v>8</v>
      </c>
      <c r="M83" s="147">
        <v>12</v>
      </c>
      <c r="N83" s="275">
        <v>35724</v>
      </c>
      <c r="O83" s="194">
        <v>1.7783977158212967</v>
      </c>
      <c r="P83" s="179">
        <v>44974</v>
      </c>
      <c r="Q83" s="173">
        <v>1.02</v>
      </c>
      <c r="R83" s="271">
        <v>0.05</v>
      </c>
      <c r="S83" s="164"/>
      <c r="T83" s="129" t="s">
        <v>468</v>
      </c>
      <c r="U83" s="147" t="s">
        <v>37</v>
      </c>
      <c r="V83" s="129"/>
      <c r="W83" s="176" t="s">
        <v>54</v>
      </c>
      <c r="X83" s="205" t="s">
        <v>1915</v>
      </c>
      <c r="Y83" s="251"/>
      <c r="Z83" s="290"/>
      <c r="AA83" s="286"/>
    </row>
    <row r="84" spans="1:27" ht="24" x14ac:dyDescent="0.25">
      <c r="A84" s="131">
        <v>1</v>
      </c>
      <c r="B84" s="136">
        <v>1102013</v>
      </c>
      <c r="C84" s="127" t="s">
        <v>30</v>
      </c>
      <c r="D84" s="128" t="s">
        <v>217</v>
      </c>
      <c r="E84" s="282" t="s">
        <v>66</v>
      </c>
      <c r="F84" s="129" t="s">
        <v>2501</v>
      </c>
      <c r="G84" s="147" t="s">
        <v>34</v>
      </c>
      <c r="H84" s="189">
        <f t="shared" si="1"/>
        <v>1.3602000000000001</v>
      </c>
      <c r="I84" s="210" t="s">
        <v>2650</v>
      </c>
      <c r="J84" s="146">
        <v>0</v>
      </c>
      <c r="K84" s="147">
        <v>4</v>
      </c>
      <c r="L84" s="147">
        <v>8</v>
      </c>
      <c r="M84" s="147">
        <v>12</v>
      </c>
      <c r="N84" s="275">
        <v>35000</v>
      </c>
      <c r="O84" s="193">
        <f>1.78+0.05</f>
        <v>1.83</v>
      </c>
      <c r="P84" s="179">
        <v>46185</v>
      </c>
      <c r="Q84" s="173">
        <v>1.35</v>
      </c>
      <c r="R84" s="175">
        <f>357/35000</f>
        <v>1.0200000000000001E-2</v>
      </c>
      <c r="S84" s="164"/>
      <c r="T84" s="129" t="s">
        <v>2441</v>
      </c>
      <c r="U84" s="147" t="s">
        <v>37</v>
      </c>
      <c r="V84" s="129"/>
      <c r="W84" s="147" t="s">
        <v>2208</v>
      </c>
      <c r="X84" s="205" t="s">
        <v>1854</v>
      </c>
      <c r="Y84" s="251"/>
      <c r="Z84" s="290"/>
      <c r="AA84" s="286" t="s">
        <v>1685</v>
      </c>
    </row>
    <row r="85" spans="1:27" x14ac:dyDescent="0.25">
      <c r="A85" s="131">
        <v>1</v>
      </c>
      <c r="B85" s="136">
        <v>1102014</v>
      </c>
      <c r="C85" s="127" t="s">
        <v>30</v>
      </c>
      <c r="D85" s="128" t="s">
        <v>218</v>
      </c>
      <c r="E85" s="282" t="s">
        <v>66</v>
      </c>
      <c r="F85" s="129" t="s">
        <v>1545</v>
      </c>
      <c r="G85" s="147" t="s">
        <v>34</v>
      </c>
      <c r="H85" s="189">
        <f t="shared" si="1"/>
        <v>4.7</v>
      </c>
      <c r="I85" s="210" t="s">
        <v>2082</v>
      </c>
      <c r="J85" s="146">
        <v>0</v>
      </c>
      <c r="K85" s="147">
        <v>6</v>
      </c>
      <c r="L85" s="147">
        <v>2</v>
      </c>
      <c r="M85" s="147">
        <v>8</v>
      </c>
      <c r="N85" s="275">
        <v>3000</v>
      </c>
      <c r="O85" s="193">
        <v>3.43</v>
      </c>
      <c r="P85" s="179">
        <v>46111</v>
      </c>
      <c r="Q85" s="173">
        <v>4.6500000000000004</v>
      </c>
      <c r="R85" s="271">
        <v>0.05</v>
      </c>
      <c r="S85" s="164"/>
      <c r="T85" s="129" t="s">
        <v>2441</v>
      </c>
      <c r="U85" s="147" t="s">
        <v>37</v>
      </c>
      <c r="V85" s="129"/>
      <c r="W85" s="147" t="s">
        <v>2208</v>
      </c>
      <c r="X85" s="205" t="s">
        <v>1901</v>
      </c>
      <c r="Y85" s="251"/>
      <c r="Z85" s="290"/>
      <c r="AA85" s="286" t="s">
        <v>33</v>
      </c>
    </row>
    <row r="86" spans="1:27" hidden="1" x14ac:dyDescent="0.25">
      <c r="A86" s="131">
        <v>1</v>
      </c>
      <c r="B86" s="136">
        <v>1102015</v>
      </c>
      <c r="C86" s="127" t="s">
        <v>30</v>
      </c>
      <c r="D86" s="128" t="s">
        <v>1501</v>
      </c>
      <c r="E86" s="282" t="s">
        <v>66</v>
      </c>
      <c r="F86" s="129" t="s">
        <v>1998</v>
      </c>
      <c r="G86" s="147" t="s">
        <v>34</v>
      </c>
      <c r="H86" s="189">
        <f t="shared" si="1"/>
        <v>0.05</v>
      </c>
      <c r="I86" s="134" t="s">
        <v>2082</v>
      </c>
      <c r="J86" s="146">
        <v>60</v>
      </c>
      <c r="K86" s="147">
        <v>4</v>
      </c>
      <c r="L86" s="147">
        <v>8</v>
      </c>
      <c r="M86" s="147">
        <v>12</v>
      </c>
      <c r="N86" s="275">
        <v>35724</v>
      </c>
      <c r="O86" s="194"/>
      <c r="P86" s="179"/>
      <c r="Q86" s="173"/>
      <c r="R86" s="271">
        <v>0.05</v>
      </c>
      <c r="S86" s="164"/>
      <c r="T86" s="129" t="s">
        <v>468</v>
      </c>
      <c r="U86" s="147" t="s">
        <v>37</v>
      </c>
      <c r="V86" s="129"/>
      <c r="W86" s="176" t="s">
        <v>54</v>
      </c>
      <c r="X86" s="205" t="s">
        <v>1915</v>
      </c>
      <c r="Y86" s="251"/>
      <c r="Z86" s="290"/>
      <c r="AA86" s="286"/>
    </row>
    <row r="87" spans="1:27" ht="24" x14ac:dyDescent="0.25">
      <c r="A87" s="131">
        <v>1</v>
      </c>
      <c r="B87" s="136">
        <v>1102016</v>
      </c>
      <c r="C87" s="127" t="s">
        <v>30</v>
      </c>
      <c r="D87" s="128" t="s">
        <v>1514</v>
      </c>
      <c r="E87" s="282" t="s">
        <v>66</v>
      </c>
      <c r="F87" s="129" t="s">
        <v>1998</v>
      </c>
      <c r="G87" s="147" t="s">
        <v>34</v>
      </c>
      <c r="H87" s="189">
        <f t="shared" si="1"/>
        <v>1.35</v>
      </c>
      <c r="I87" s="210" t="s">
        <v>2212</v>
      </c>
      <c r="J87" s="146">
        <v>60</v>
      </c>
      <c r="K87" s="147">
        <v>4</v>
      </c>
      <c r="L87" s="147">
        <v>8</v>
      </c>
      <c r="M87" s="147">
        <v>12</v>
      </c>
      <c r="N87" s="275">
        <v>17637</v>
      </c>
      <c r="O87" s="193">
        <v>1.37</v>
      </c>
      <c r="P87" s="179">
        <v>45749</v>
      </c>
      <c r="Q87" s="173">
        <v>1.3</v>
      </c>
      <c r="R87" s="271">
        <v>0.05</v>
      </c>
      <c r="S87" s="164"/>
      <c r="T87" s="129" t="s">
        <v>2441</v>
      </c>
      <c r="U87" s="147" t="s">
        <v>37</v>
      </c>
      <c r="V87" s="129"/>
      <c r="W87" s="147" t="s">
        <v>2208</v>
      </c>
      <c r="X87" s="205" t="s">
        <v>1915</v>
      </c>
      <c r="Y87" s="251"/>
      <c r="Z87" s="290"/>
      <c r="AA87" s="286" t="s">
        <v>1998</v>
      </c>
    </row>
    <row r="88" spans="1:27" ht="36" x14ac:dyDescent="0.25">
      <c r="A88" s="131">
        <v>1</v>
      </c>
      <c r="B88" s="136">
        <v>1102017</v>
      </c>
      <c r="C88" s="127" t="s">
        <v>30</v>
      </c>
      <c r="D88" s="128" t="s">
        <v>1571</v>
      </c>
      <c r="E88" s="282" t="s">
        <v>66</v>
      </c>
      <c r="F88" s="129" t="s">
        <v>2501</v>
      </c>
      <c r="G88" s="147" t="s">
        <v>34</v>
      </c>
      <c r="H88" s="189">
        <f t="shared" si="1"/>
        <v>0.89969999999999994</v>
      </c>
      <c r="I88" s="210" t="s">
        <v>2549</v>
      </c>
      <c r="J88" s="146">
        <v>0</v>
      </c>
      <c r="K88" s="147">
        <v>4</v>
      </c>
      <c r="L88" s="147">
        <v>8</v>
      </c>
      <c r="M88" s="147">
        <v>12</v>
      </c>
      <c r="N88" s="275">
        <v>35000</v>
      </c>
      <c r="O88" s="173">
        <f>1.039+0.2571+0.05</f>
        <v>1.3461000000000001</v>
      </c>
      <c r="P88" s="179">
        <v>46063</v>
      </c>
      <c r="Q88" s="173">
        <v>0.87</v>
      </c>
      <c r="R88" s="271">
        <v>2.9700000000000001E-2</v>
      </c>
      <c r="S88" s="164"/>
      <c r="T88" s="129" t="s">
        <v>2441</v>
      </c>
      <c r="U88" s="147" t="s">
        <v>37</v>
      </c>
      <c r="V88" s="129"/>
      <c r="W88" s="147" t="s">
        <v>2208</v>
      </c>
      <c r="X88" s="207" t="s">
        <v>1854</v>
      </c>
      <c r="Y88" s="251"/>
      <c r="Z88" s="290"/>
      <c r="AA88" s="286" t="s">
        <v>1685</v>
      </c>
    </row>
    <row r="89" spans="1:27" ht="24" x14ac:dyDescent="0.25">
      <c r="A89" s="131">
        <v>1</v>
      </c>
      <c r="B89" s="136">
        <v>1103001</v>
      </c>
      <c r="C89" s="127" t="s">
        <v>30</v>
      </c>
      <c r="D89" s="128" t="s">
        <v>219</v>
      </c>
      <c r="E89" s="151" t="s">
        <v>32</v>
      </c>
      <c r="F89" s="129" t="s">
        <v>1836</v>
      </c>
      <c r="G89" s="147" t="s">
        <v>34</v>
      </c>
      <c r="H89" s="189">
        <f t="shared" si="1"/>
        <v>4.24</v>
      </c>
      <c r="I89" s="210" t="s">
        <v>2214</v>
      </c>
      <c r="J89" s="146">
        <v>0</v>
      </c>
      <c r="K89" s="147">
        <v>9</v>
      </c>
      <c r="L89" s="147">
        <v>1</v>
      </c>
      <c r="M89" s="147">
        <v>10</v>
      </c>
      <c r="N89" s="275">
        <v>4400</v>
      </c>
      <c r="O89" s="193">
        <v>4.3449999999999998</v>
      </c>
      <c r="P89" s="179">
        <v>45097</v>
      </c>
      <c r="Q89" s="173">
        <v>4.1900000000000004</v>
      </c>
      <c r="R89" s="271">
        <v>0.05</v>
      </c>
      <c r="S89" s="164"/>
      <c r="T89" s="129" t="s">
        <v>36</v>
      </c>
      <c r="U89" s="147" t="s">
        <v>37</v>
      </c>
      <c r="V89" s="129"/>
      <c r="W89" s="147" t="s">
        <v>2208</v>
      </c>
      <c r="X89" s="205" t="s">
        <v>1009</v>
      </c>
      <c r="Y89" s="251"/>
      <c r="Z89" s="290"/>
      <c r="AA89" s="286" t="s">
        <v>33</v>
      </c>
    </row>
    <row r="90" spans="1:27" s="181" customFormat="1" hidden="1" x14ac:dyDescent="0.25">
      <c r="A90" s="131">
        <v>1</v>
      </c>
      <c r="B90" s="136">
        <v>1103003</v>
      </c>
      <c r="C90" s="127" t="s">
        <v>30</v>
      </c>
      <c r="D90" s="128" t="s">
        <v>224</v>
      </c>
      <c r="E90" s="151" t="s">
        <v>32</v>
      </c>
      <c r="F90" s="129" t="s">
        <v>225</v>
      </c>
      <c r="G90" s="147" t="s">
        <v>34</v>
      </c>
      <c r="H90" s="189">
        <f t="shared" si="1"/>
        <v>0</v>
      </c>
      <c r="I90" s="213"/>
      <c r="J90" s="149"/>
      <c r="K90" s="147"/>
      <c r="L90" s="147"/>
      <c r="M90" s="147">
        <v>12</v>
      </c>
      <c r="N90" s="275"/>
      <c r="O90" s="194"/>
      <c r="P90" s="179"/>
      <c r="Q90" s="173"/>
      <c r="R90" s="260">
        <v>0</v>
      </c>
      <c r="S90" s="167"/>
      <c r="T90" s="129" t="s">
        <v>64</v>
      </c>
      <c r="U90" s="147" t="s">
        <v>37</v>
      </c>
      <c r="V90" s="129"/>
      <c r="W90" s="162" t="s">
        <v>54</v>
      </c>
      <c r="X90" s="205"/>
      <c r="Y90" s="251"/>
      <c r="Z90" s="290"/>
      <c r="AA90" s="286"/>
    </row>
    <row r="91" spans="1:27" s="181" customFormat="1" hidden="1" x14ac:dyDescent="0.25">
      <c r="A91" s="131">
        <v>1</v>
      </c>
      <c r="B91" s="136">
        <v>1103004</v>
      </c>
      <c r="C91" s="127" t="s">
        <v>30</v>
      </c>
      <c r="D91" s="128" t="s">
        <v>229</v>
      </c>
      <c r="E91" s="151" t="s">
        <v>32</v>
      </c>
      <c r="F91" s="129" t="s">
        <v>230</v>
      </c>
      <c r="G91" s="147" t="s">
        <v>34</v>
      </c>
      <c r="H91" s="189">
        <f t="shared" si="1"/>
        <v>0</v>
      </c>
      <c r="I91" s="213"/>
      <c r="J91" s="149"/>
      <c r="K91" s="147"/>
      <c r="L91" s="147"/>
      <c r="M91" s="147">
        <v>12</v>
      </c>
      <c r="N91" s="275"/>
      <c r="O91" s="194"/>
      <c r="P91" s="179"/>
      <c r="Q91" s="173"/>
      <c r="R91" s="260">
        <v>0</v>
      </c>
      <c r="S91" s="167"/>
      <c r="T91" s="129" t="s">
        <v>64</v>
      </c>
      <c r="U91" s="147" t="s">
        <v>37</v>
      </c>
      <c r="V91" s="129"/>
      <c r="W91" s="162" t="s">
        <v>54</v>
      </c>
      <c r="X91" s="205"/>
      <c r="Y91" s="251"/>
      <c r="Z91" s="290"/>
      <c r="AA91" s="286"/>
    </row>
    <row r="92" spans="1:27" ht="24" hidden="1" x14ac:dyDescent="0.25">
      <c r="A92" s="131">
        <v>1</v>
      </c>
      <c r="B92" s="136">
        <v>1103005</v>
      </c>
      <c r="C92" s="127" t="s">
        <v>30</v>
      </c>
      <c r="D92" s="128" t="s">
        <v>231</v>
      </c>
      <c r="E92" s="151" t="s">
        <v>32</v>
      </c>
      <c r="F92" s="129" t="s">
        <v>33</v>
      </c>
      <c r="G92" s="147" t="s">
        <v>34</v>
      </c>
      <c r="H92" s="189">
        <f t="shared" si="1"/>
        <v>18.309999999999999</v>
      </c>
      <c r="I92" s="210" t="s">
        <v>2223</v>
      </c>
      <c r="J92" s="146">
        <v>0</v>
      </c>
      <c r="K92" s="147">
        <v>5</v>
      </c>
      <c r="L92" s="147">
        <v>1</v>
      </c>
      <c r="M92" s="147">
        <v>6</v>
      </c>
      <c r="N92" s="275">
        <v>55</v>
      </c>
      <c r="O92" s="194"/>
      <c r="P92" s="179"/>
      <c r="Q92" s="173">
        <v>18.309999999999999</v>
      </c>
      <c r="R92" s="271">
        <v>0</v>
      </c>
      <c r="S92" s="164" t="s">
        <v>35</v>
      </c>
      <c r="T92" s="129" t="s">
        <v>36</v>
      </c>
      <c r="U92" s="147" t="s">
        <v>37</v>
      </c>
      <c r="V92" s="129"/>
      <c r="W92" s="176" t="s">
        <v>54</v>
      </c>
      <c r="X92" s="205"/>
      <c r="Y92" s="251"/>
      <c r="Z92" s="290"/>
      <c r="AA92" s="286"/>
    </row>
    <row r="93" spans="1:27" ht="24" hidden="1" x14ac:dyDescent="0.25">
      <c r="A93" s="131">
        <v>1</v>
      </c>
      <c r="B93" s="136">
        <v>1103006</v>
      </c>
      <c r="C93" s="127" t="s">
        <v>30</v>
      </c>
      <c r="D93" s="128" t="s">
        <v>232</v>
      </c>
      <c r="E93" s="151" t="s">
        <v>32</v>
      </c>
      <c r="F93" s="129" t="s">
        <v>33</v>
      </c>
      <c r="G93" s="147" t="s">
        <v>34</v>
      </c>
      <c r="H93" s="189">
        <f t="shared" si="1"/>
        <v>2.15</v>
      </c>
      <c r="I93" s="210" t="s">
        <v>2223</v>
      </c>
      <c r="J93" s="146">
        <v>0</v>
      </c>
      <c r="K93" s="147">
        <v>5</v>
      </c>
      <c r="L93" s="147">
        <v>1</v>
      </c>
      <c r="M93" s="147">
        <v>6</v>
      </c>
      <c r="N93" s="275">
        <v>4400</v>
      </c>
      <c r="O93" s="194"/>
      <c r="P93" s="179"/>
      <c r="Q93" s="173">
        <v>2.15</v>
      </c>
      <c r="R93" s="271">
        <v>0</v>
      </c>
      <c r="S93" s="164" t="s">
        <v>35</v>
      </c>
      <c r="T93" s="129" t="s">
        <v>36</v>
      </c>
      <c r="U93" s="147" t="s">
        <v>37</v>
      </c>
      <c r="V93" s="129"/>
      <c r="W93" s="176" t="s">
        <v>54</v>
      </c>
      <c r="X93" s="205"/>
      <c r="Y93" s="251"/>
      <c r="Z93" s="290"/>
      <c r="AA93" s="286"/>
    </row>
    <row r="94" spans="1:27" ht="24" hidden="1" x14ac:dyDescent="0.25">
      <c r="A94" s="131">
        <v>1</v>
      </c>
      <c r="B94" s="136">
        <v>1103007</v>
      </c>
      <c r="C94" s="127" t="s">
        <v>30</v>
      </c>
      <c r="D94" s="128" t="s">
        <v>233</v>
      </c>
      <c r="E94" s="151" t="s">
        <v>32</v>
      </c>
      <c r="F94" s="129" t="s">
        <v>33</v>
      </c>
      <c r="G94" s="147" t="s">
        <v>34</v>
      </c>
      <c r="H94" s="189">
        <f t="shared" si="1"/>
        <v>2.61</v>
      </c>
      <c r="I94" s="210" t="s">
        <v>2223</v>
      </c>
      <c r="J94" s="146">
        <v>0</v>
      </c>
      <c r="K94" s="147">
        <v>5</v>
      </c>
      <c r="L94" s="147">
        <v>1</v>
      </c>
      <c r="M94" s="147">
        <v>6</v>
      </c>
      <c r="N94" s="275">
        <v>1100</v>
      </c>
      <c r="O94" s="194"/>
      <c r="P94" s="179"/>
      <c r="Q94" s="173">
        <v>2.61</v>
      </c>
      <c r="R94" s="260">
        <v>0</v>
      </c>
      <c r="S94" s="164"/>
      <c r="T94" s="129" t="s">
        <v>284</v>
      </c>
      <c r="U94" s="147" t="s">
        <v>37</v>
      </c>
      <c r="V94" s="129"/>
      <c r="W94" s="176" t="s">
        <v>54</v>
      </c>
      <c r="X94" s="205"/>
      <c r="Y94" s="253" t="s">
        <v>2129</v>
      </c>
      <c r="Z94" s="290"/>
      <c r="AA94" s="286"/>
    </row>
    <row r="95" spans="1:27" hidden="1" x14ac:dyDescent="0.25">
      <c r="A95" s="131">
        <v>1</v>
      </c>
      <c r="B95" s="136">
        <v>1103008</v>
      </c>
      <c r="C95" s="127" t="s">
        <v>30</v>
      </c>
      <c r="D95" s="128" t="s">
        <v>235</v>
      </c>
      <c r="E95" s="151" t="s">
        <v>32</v>
      </c>
      <c r="F95" s="129" t="s">
        <v>307</v>
      </c>
      <c r="G95" s="147" t="s">
        <v>34</v>
      </c>
      <c r="H95" s="189">
        <f t="shared" si="1"/>
        <v>3.63</v>
      </c>
      <c r="I95" s="210" t="s">
        <v>2082</v>
      </c>
      <c r="J95" s="146">
        <v>0</v>
      </c>
      <c r="K95" s="147">
        <v>5</v>
      </c>
      <c r="L95" s="147">
        <v>1</v>
      </c>
      <c r="M95" s="147">
        <v>6</v>
      </c>
      <c r="N95" s="275">
        <v>200</v>
      </c>
      <c r="O95" s="194">
        <v>2.61</v>
      </c>
      <c r="P95" s="179">
        <v>45782</v>
      </c>
      <c r="Q95" s="173">
        <v>3.58</v>
      </c>
      <c r="R95" s="271">
        <v>0.05</v>
      </c>
      <c r="S95" s="164"/>
      <c r="T95" s="129" t="s">
        <v>234</v>
      </c>
      <c r="U95" s="147" t="s">
        <v>37</v>
      </c>
      <c r="V95" s="129"/>
      <c r="W95" s="162" t="s">
        <v>54</v>
      </c>
      <c r="X95" s="205"/>
      <c r="Y95" s="251"/>
      <c r="Z95" s="290"/>
      <c r="AA95" s="286"/>
    </row>
    <row r="96" spans="1:27" ht="24" hidden="1" x14ac:dyDescent="0.25">
      <c r="A96" s="131">
        <v>1</v>
      </c>
      <c r="B96" s="136">
        <v>1103009</v>
      </c>
      <c r="C96" s="127" t="s">
        <v>30</v>
      </c>
      <c r="D96" s="128" t="s">
        <v>236</v>
      </c>
      <c r="E96" s="151" t="s">
        <v>32</v>
      </c>
      <c r="F96" s="129" t="s">
        <v>33</v>
      </c>
      <c r="G96" s="147" t="s">
        <v>34</v>
      </c>
      <c r="H96" s="189">
        <f t="shared" si="1"/>
        <v>3.06</v>
      </c>
      <c r="I96" s="210" t="s">
        <v>2223</v>
      </c>
      <c r="J96" s="146">
        <v>0</v>
      </c>
      <c r="K96" s="147">
        <v>5</v>
      </c>
      <c r="L96" s="147">
        <v>1</v>
      </c>
      <c r="M96" s="147">
        <v>6</v>
      </c>
      <c r="N96" s="275">
        <v>8800</v>
      </c>
      <c r="O96" s="194"/>
      <c r="P96" s="179"/>
      <c r="Q96" s="173">
        <v>3.06</v>
      </c>
      <c r="R96" s="271">
        <v>0</v>
      </c>
      <c r="S96" s="164"/>
      <c r="T96" s="129" t="s">
        <v>234</v>
      </c>
      <c r="U96" s="147" t="s">
        <v>37</v>
      </c>
      <c r="V96" s="129"/>
      <c r="W96" s="162" t="s">
        <v>54</v>
      </c>
      <c r="X96" s="205"/>
      <c r="Y96" s="251"/>
      <c r="Z96" s="290"/>
      <c r="AA96" s="286"/>
    </row>
    <row r="97" spans="1:27" ht="24" hidden="1" x14ac:dyDescent="0.25">
      <c r="A97" s="131">
        <v>1</v>
      </c>
      <c r="B97" s="136">
        <v>1103010</v>
      </c>
      <c r="C97" s="127" t="s">
        <v>30</v>
      </c>
      <c r="D97" s="128" t="s">
        <v>237</v>
      </c>
      <c r="E97" s="151" t="s">
        <v>32</v>
      </c>
      <c r="F97" s="129" t="s">
        <v>33</v>
      </c>
      <c r="G97" s="147" t="s">
        <v>34</v>
      </c>
      <c r="H97" s="189">
        <f t="shared" si="1"/>
        <v>0</v>
      </c>
      <c r="I97" s="210" t="s">
        <v>2223</v>
      </c>
      <c r="J97" s="146">
        <v>0</v>
      </c>
      <c r="K97" s="147">
        <v>5</v>
      </c>
      <c r="L97" s="147">
        <v>1</v>
      </c>
      <c r="M97" s="147">
        <v>6</v>
      </c>
      <c r="N97" s="275" t="s">
        <v>17</v>
      </c>
      <c r="O97" s="194"/>
      <c r="P97" s="179"/>
      <c r="Q97" s="173"/>
      <c r="R97" s="260">
        <v>0</v>
      </c>
      <c r="S97" s="164"/>
      <c r="T97" s="129" t="s">
        <v>234</v>
      </c>
      <c r="U97" s="147" t="s">
        <v>37</v>
      </c>
      <c r="V97" s="129"/>
      <c r="W97" s="162" t="s">
        <v>54</v>
      </c>
      <c r="X97" s="205"/>
      <c r="Y97" s="251"/>
      <c r="Z97" s="290"/>
      <c r="AA97" s="286"/>
    </row>
    <row r="98" spans="1:27" hidden="1" x14ac:dyDescent="0.25">
      <c r="A98" s="131">
        <v>1</v>
      </c>
      <c r="B98" s="136">
        <v>1103011</v>
      </c>
      <c r="C98" s="127" t="s">
        <v>30</v>
      </c>
      <c r="D98" s="128" t="s">
        <v>239</v>
      </c>
      <c r="E98" s="151" t="s">
        <v>32</v>
      </c>
      <c r="F98" s="129" t="s">
        <v>1748</v>
      </c>
      <c r="G98" s="147" t="s">
        <v>34</v>
      </c>
      <c r="H98" s="189">
        <f t="shared" si="1"/>
        <v>8.8699999999999992</v>
      </c>
      <c r="I98" s="134" t="s">
        <v>2082</v>
      </c>
      <c r="J98" s="146">
        <v>0</v>
      </c>
      <c r="K98" s="147">
        <v>4</v>
      </c>
      <c r="L98" s="147">
        <v>2</v>
      </c>
      <c r="M98" s="147">
        <v>6</v>
      </c>
      <c r="N98" s="275">
        <v>1100</v>
      </c>
      <c r="O98" s="194"/>
      <c r="P98" s="179"/>
      <c r="Q98" s="173">
        <v>8.8699999999999992</v>
      </c>
      <c r="R98" s="271">
        <v>0</v>
      </c>
      <c r="S98" s="164"/>
      <c r="T98" s="129" t="s">
        <v>234</v>
      </c>
      <c r="U98" s="147" t="s">
        <v>37</v>
      </c>
      <c r="V98" s="129"/>
      <c r="W98" s="162" t="s">
        <v>54</v>
      </c>
      <c r="X98" s="205"/>
      <c r="Y98" s="251"/>
      <c r="Z98" s="290"/>
      <c r="AA98" s="286"/>
    </row>
    <row r="99" spans="1:27" s="181" customFormat="1" ht="24" hidden="1" x14ac:dyDescent="0.25">
      <c r="A99" s="131">
        <v>1</v>
      </c>
      <c r="B99" s="136">
        <v>1103012</v>
      </c>
      <c r="C99" s="127" t="s">
        <v>30</v>
      </c>
      <c r="D99" s="136" t="s">
        <v>1957</v>
      </c>
      <c r="E99" s="151" t="s">
        <v>32</v>
      </c>
      <c r="F99" s="129" t="s">
        <v>205</v>
      </c>
      <c r="G99" s="147" t="s">
        <v>34</v>
      </c>
      <c r="H99" s="189">
        <f t="shared" si="1"/>
        <v>0.3</v>
      </c>
      <c r="I99" s="213"/>
      <c r="J99" s="149"/>
      <c r="K99" s="147">
        <v>11</v>
      </c>
      <c r="L99" s="147">
        <v>1</v>
      </c>
      <c r="M99" s="147">
        <v>12</v>
      </c>
      <c r="N99" s="275"/>
      <c r="O99" s="194"/>
      <c r="P99" s="179"/>
      <c r="Q99" s="173">
        <v>0.3</v>
      </c>
      <c r="R99" s="260">
        <v>0</v>
      </c>
      <c r="S99" s="167"/>
      <c r="T99" s="129"/>
      <c r="U99" s="147" t="s">
        <v>37</v>
      </c>
      <c r="V99" s="129"/>
      <c r="W99" s="162" t="s">
        <v>54</v>
      </c>
      <c r="X99" s="205"/>
      <c r="Y99" s="251"/>
      <c r="Z99" s="290"/>
      <c r="AA99" s="286"/>
    </row>
    <row r="100" spans="1:27" ht="24" x14ac:dyDescent="0.25">
      <c r="A100" s="131">
        <v>1</v>
      </c>
      <c r="B100" s="136">
        <v>1103013</v>
      </c>
      <c r="C100" s="127" t="s">
        <v>30</v>
      </c>
      <c r="D100" s="128" t="s">
        <v>241</v>
      </c>
      <c r="E100" s="151" t="s">
        <v>32</v>
      </c>
      <c r="F100" s="129" t="s">
        <v>1941</v>
      </c>
      <c r="G100" s="147" t="s">
        <v>34</v>
      </c>
      <c r="H100" s="189">
        <f t="shared" si="1"/>
        <v>1.9141794429828538</v>
      </c>
      <c r="I100" s="210" t="s">
        <v>2452</v>
      </c>
      <c r="J100" s="146">
        <v>0</v>
      </c>
      <c r="K100" s="147">
        <v>1</v>
      </c>
      <c r="L100" s="147">
        <v>1</v>
      </c>
      <c r="M100" s="147">
        <v>2</v>
      </c>
      <c r="N100" s="275">
        <v>600</v>
      </c>
      <c r="O100" s="193"/>
      <c r="P100" s="179">
        <v>45771</v>
      </c>
      <c r="Q100" s="173">
        <v>1.9141794429828538</v>
      </c>
      <c r="R100" s="260">
        <v>0</v>
      </c>
      <c r="S100" s="164"/>
      <c r="T100" s="129" t="s">
        <v>242</v>
      </c>
      <c r="U100" s="147" t="s">
        <v>35</v>
      </c>
      <c r="V100" s="129"/>
      <c r="W100" s="147" t="s">
        <v>2450</v>
      </c>
      <c r="X100" s="205" t="s">
        <v>1904</v>
      </c>
      <c r="Y100" s="253" t="s">
        <v>2129</v>
      </c>
      <c r="Z100" s="290"/>
      <c r="AA100" s="286" t="s">
        <v>33</v>
      </c>
    </row>
    <row r="101" spans="1:27" s="181" customFormat="1" hidden="1" x14ac:dyDescent="0.25">
      <c r="A101" s="131">
        <v>1</v>
      </c>
      <c r="B101" s="136">
        <v>1103014</v>
      </c>
      <c r="C101" s="127" t="s">
        <v>30</v>
      </c>
      <c r="D101" s="128" t="s">
        <v>243</v>
      </c>
      <c r="E101" s="151" t="s">
        <v>32</v>
      </c>
      <c r="F101" s="129" t="s">
        <v>230</v>
      </c>
      <c r="G101" s="147" t="s">
        <v>34</v>
      </c>
      <c r="H101" s="189">
        <f t="shared" si="1"/>
        <v>0</v>
      </c>
      <c r="I101" s="213"/>
      <c r="J101" s="149"/>
      <c r="K101" s="147">
        <v>12</v>
      </c>
      <c r="L101" s="147">
        <v>1</v>
      </c>
      <c r="M101" s="147">
        <v>13</v>
      </c>
      <c r="N101" s="275"/>
      <c r="O101" s="194"/>
      <c r="P101" s="179"/>
      <c r="Q101" s="173"/>
      <c r="R101" s="260">
        <v>0</v>
      </c>
      <c r="S101" s="167"/>
      <c r="T101" s="129" t="s">
        <v>64</v>
      </c>
      <c r="U101" s="147" t="s">
        <v>37</v>
      </c>
      <c r="V101" s="129"/>
      <c r="W101" s="162" t="s">
        <v>54</v>
      </c>
      <c r="X101" s="205"/>
      <c r="Y101" s="251"/>
      <c r="Z101" s="290"/>
      <c r="AA101" s="286"/>
    </row>
    <row r="102" spans="1:27" ht="24" hidden="1" x14ac:dyDescent="0.25">
      <c r="A102" s="131">
        <v>1</v>
      </c>
      <c r="B102" s="136">
        <v>1103015</v>
      </c>
      <c r="C102" s="127" t="s">
        <v>30</v>
      </c>
      <c r="D102" s="128" t="s">
        <v>247</v>
      </c>
      <c r="E102" s="151" t="s">
        <v>32</v>
      </c>
      <c r="F102" s="129" t="s">
        <v>33</v>
      </c>
      <c r="G102" s="147" t="s">
        <v>34</v>
      </c>
      <c r="H102" s="189">
        <f t="shared" si="1"/>
        <v>6.37</v>
      </c>
      <c r="I102" s="210" t="s">
        <v>2223</v>
      </c>
      <c r="J102" s="146">
        <v>0</v>
      </c>
      <c r="K102" s="147">
        <v>5</v>
      </c>
      <c r="L102" s="147">
        <v>1</v>
      </c>
      <c r="M102" s="147">
        <v>6</v>
      </c>
      <c r="N102" s="275">
        <v>55</v>
      </c>
      <c r="O102" s="194"/>
      <c r="P102" s="179"/>
      <c r="Q102" s="173">
        <v>6.37</v>
      </c>
      <c r="R102" s="271">
        <v>0</v>
      </c>
      <c r="S102" s="164" t="s">
        <v>35</v>
      </c>
      <c r="T102" s="129" t="s">
        <v>36</v>
      </c>
      <c r="U102" s="147" t="s">
        <v>37</v>
      </c>
      <c r="V102" s="129"/>
      <c r="W102" s="176" t="s">
        <v>54</v>
      </c>
      <c r="X102" s="205"/>
      <c r="Y102" s="251"/>
      <c r="Z102" s="290"/>
      <c r="AA102" s="286"/>
    </row>
    <row r="103" spans="1:27" ht="24" hidden="1" x14ac:dyDescent="0.25">
      <c r="A103" s="131">
        <v>1</v>
      </c>
      <c r="B103" s="136">
        <v>1103016</v>
      </c>
      <c r="C103" s="127" t="s">
        <v>30</v>
      </c>
      <c r="D103" s="128" t="s">
        <v>248</v>
      </c>
      <c r="E103" s="151" t="s">
        <v>32</v>
      </c>
      <c r="F103" s="129" t="s">
        <v>33</v>
      </c>
      <c r="G103" s="147" t="s">
        <v>34</v>
      </c>
      <c r="H103" s="189">
        <f t="shared" si="1"/>
        <v>0</v>
      </c>
      <c r="I103" s="210" t="s">
        <v>2223</v>
      </c>
      <c r="J103" s="146">
        <v>0</v>
      </c>
      <c r="K103" s="147">
        <v>5</v>
      </c>
      <c r="L103" s="147">
        <v>1</v>
      </c>
      <c r="M103" s="147">
        <v>6</v>
      </c>
      <c r="N103" s="275"/>
      <c r="O103" s="194"/>
      <c r="P103" s="179"/>
      <c r="Q103" s="173"/>
      <c r="R103" s="260">
        <v>0</v>
      </c>
      <c r="S103" s="164" t="s">
        <v>35</v>
      </c>
      <c r="T103" s="129" t="s">
        <v>36</v>
      </c>
      <c r="U103" s="147" t="s">
        <v>37</v>
      </c>
      <c r="V103" s="129"/>
      <c r="W103" s="162" t="s">
        <v>54</v>
      </c>
      <c r="X103" s="205"/>
      <c r="Y103" s="251"/>
      <c r="Z103" s="290"/>
      <c r="AA103" s="286"/>
    </row>
    <row r="104" spans="1:27" ht="24" hidden="1" x14ac:dyDescent="0.25">
      <c r="A104" s="131">
        <v>1</v>
      </c>
      <c r="B104" s="136">
        <v>1103017</v>
      </c>
      <c r="C104" s="127" t="s">
        <v>30</v>
      </c>
      <c r="D104" s="128" t="s">
        <v>249</v>
      </c>
      <c r="E104" s="151" t="s">
        <v>32</v>
      </c>
      <c r="F104" s="129" t="s">
        <v>33</v>
      </c>
      <c r="G104" s="147" t="s">
        <v>34</v>
      </c>
      <c r="H104" s="189">
        <f t="shared" si="1"/>
        <v>0</v>
      </c>
      <c r="I104" s="210" t="s">
        <v>2223</v>
      </c>
      <c r="J104" s="146">
        <v>0</v>
      </c>
      <c r="K104" s="147">
        <v>5</v>
      </c>
      <c r="L104" s="147">
        <v>1</v>
      </c>
      <c r="M104" s="147">
        <v>6</v>
      </c>
      <c r="N104" s="275"/>
      <c r="O104" s="194"/>
      <c r="P104" s="179"/>
      <c r="Q104" s="173"/>
      <c r="R104" s="260">
        <v>0</v>
      </c>
      <c r="S104" s="164"/>
      <c r="T104" s="129" t="s">
        <v>55</v>
      </c>
      <c r="U104" s="147" t="s">
        <v>37</v>
      </c>
      <c r="V104" s="129"/>
      <c r="W104" s="162" t="s">
        <v>54</v>
      </c>
      <c r="X104" s="205"/>
      <c r="Y104" s="251"/>
      <c r="Z104" s="290"/>
      <c r="AA104" s="286"/>
    </row>
    <row r="105" spans="1:27" x14ac:dyDescent="0.25">
      <c r="A105" s="131">
        <v>1</v>
      </c>
      <c r="B105" s="136">
        <v>1103018</v>
      </c>
      <c r="C105" s="127" t="s">
        <v>30</v>
      </c>
      <c r="D105" s="128" t="s">
        <v>250</v>
      </c>
      <c r="E105" s="151" t="s">
        <v>32</v>
      </c>
      <c r="F105" s="129" t="s">
        <v>307</v>
      </c>
      <c r="G105" s="147" t="s">
        <v>34</v>
      </c>
      <c r="H105" s="189">
        <f t="shared" si="1"/>
        <v>4.75</v>
      </c>
      <c r="I105" s="210" t="s">
        <v>2082</v>
      </c>
      <c r="J105" s="146">
        <v>0</v>
      </c>
      <c r="K105" s="147">
        <v>11</v>
      </c>
      <c r="L105" s="147">
        <v>1</v>
      </c>
      <c r="M105" s="147">
        <v>12</v>
      </c>
      <c r="N105" s="275">
        <v>200</v>
      </c>
      <c r="O105" s="194">
        <v>2.3199999999999998</v>
      </c>
      <c r="P105" s="179">
        <v>45782</v>
      </c>
      <c r="Q105" s="173">
        <v>4.7</v>
      </c>
      <c r="R105" s="271">
        <v>0.05</v>
      </c>
      <c r="S105" s="164"/>
      <c r="T105" s="138" t="s">
        <v>242</v>
      </c>
      <c r="U105" s="147" t="s">
        <v>35</v>
      </c>
      <c r="V105" s="129"/>
      <c r="W105" s="147" t="s">
        <v>2208</v>
      </c>
      <c r="X105" s="205" t="s">
        <v>1009</v>
      </c>
      <c r="Y105" s="251"/>
      <c r="Z105" s="290"/>
      <c r="AA105" s="286" t="s">
        <v>33</v>
      </c>
    </row>
    <row r="106" spans="1:27" hidden="1" x14ac:dyDescent="0.25">
      <c r="A106" s="131">
        <v>1</v>
      </c>
      <c r="B106" s="136">
        <v>1103019</v>
      </c>
      <c r="C106" s="127" t="s">
        <v>30</v>
      </c>
      <c r="D106" s="143" t="s">
        <v>251</v>
      </c>
      <c r="E106" s="283" t="s">
        <v>32</v>
      </c>
      <c r="F106" s="129" t="s">
        <v>1791</v>
      </c>
      <c r="G106" s="147" t="s">
        <v>34</v>
      </c>
      <c r="H106" s="189">
        <f t="shared" si="1"/>
        <v>0</v>
      </c>
      <c r="I106" s="180" t="s">
        <v>2082</v>
      </c>
      <c r="J106" s="148">
        <v>30</v>
      </c>
      <c r="K106" s="147">
        <v>6</v>
      </c>
      <c r="L106" s="147">
        <v>2</v>
      </c>
      <c r="M106" s="147">
        <v>8</v>
      </c>
      <c r="N106" s="305">
        <v>1650</v>
      </c>
      <c r="O106" s="194"/>
      <c r="P106" s="179"/>
      <c r="Q106" s="173"/>
      <c r="R106" s="260">
        <v>0</v>
      </c>
      <c r="S106" s="164"/>
      <c r="T106" s="129" t="s">
        <v>36</v>
      </c>
      <c r="U106" s="147" t="s">
        <v>37</v>
      </c>
      <c r="V106" s="129"/>
      <c r="W106" s="162" t="s">
        <v>54</v>
      </c>
      <c r="X106" s="205"/>
      <c r="Y106" s="251"/>
      <c r="Z106" s="290"/>
      <c r="AA106" s="286"/>
    </row>
    <row r="107" spans="1:27" ht="24" hidden="1" x14ac:dyDescent="0.25">
      <c r="A107" s="131">
        <v>1</v>
      </c>
      <c r="B107" s="136">
        <v>1103020</v>
      </c>
      <c r="C107" s="127" t="s">
        <v>30</v>
      </c>
      <c r="D107" s="128" t="s">
        <v>252</v>
      </c>
      <c r="E107" s="151" t="s">
        <v>32</v>
      </c>
      <c r="F107" s="129" t="s">
        <v>33</v>
      </c>
      <c r="G107" s="147" t="s">
        <v>34</v>
      </c>
      <c r="H107" s="189">
        <f t="shared" si="1"/>
        <v>2.5</v>
      </c>
      <c r="I107" s="210" t="s">
        <v>2223</v>
      </c>
      <c r="J107" s="146">
        <v>0</v>
      </c>
      <c r="K107" s="147">
        <v>5</v>
      </c>
      <c r="L107" s="147">
        <v>1</v>
      </c>
      <c r="M107" s="147">
        <v>6</v>
      </c>
      <c r="N107" s="275">
        <v>550</v>
      </c>
      <c r="O107" s="194"/>
      <c r="P107" s="179"/>
      <c r="Q107" s="173">
        <v>2.5</v>
      </c>
      <c r="R107" s="271">
        <v>0</v>
      </c>
      <c r="S107" s="164" t="s">
        <v>35</v>
      </c>
      <c r="T107" s="129" t="s">
        <v>36</v>
      </c>
      <c r="U107" s="147" t="s">
        <v>37</v>
      </c>
      <c r="V107" s="129"/>
      <c r="W107" s="176" t="s">
        <v>54</v>
      </c>
      <c r="X107" s="205"/>
      <c r="Y107" s="251"/>
      <c r="Z107" s="290"/>
      <c r="AA107" s="286"/>
    </row>
    <row r="108" spans="1:27" ht="24" hidden="1" x14ac:dyDescent="0.25">
      <c r="A108" s="131">
        <v>1</v>
      </c>
      <c r="B108" s="136">
        <v>1103021</v>
      </c>
      <c r="C108" s="127" t="s">
        <v>30</v>
      </c>
      <c r="D108" s="128" t="s">
        <v>253</v>
      </c>
      <c r="E108" s="151" t="s">
        <v>32</v>
      </c>
      <c r="F108" s="129" t="s">
        <v>33</v>
      </c>
      <c r="G108" s="147" t="s">
        <v>34</v>
      </c>
      <c r="H108" s="189">
        <f t="shared" si="1"/>
        <v>2.6</v>
      </c>
      <c r="I108" s="210" t="s">
        <v>2223</v>
      </c>
      <c r="J108" s="146">
        <v>0</v>
      </c>
      <c r="K108" s="147">
        <v>5</v>
      </c>
      <c r="L108" s="147">
        <v>1</v>
      </c>
      <c r="M108" s="147">
        <v>6</v>
      </c>
      <c r="N108" s="275">
        <v>1100</v>
      </c>
      <c r="O108" s="194"/>
      <c r="P108" s="179"/>
      <c r="Q108" s="173">
        <v>2.6</v>
      </c>
      <c r="R108" s="271">
        <v>0</v>
      </c>
      <c r="S108" s="164" t="s">
        <v>35</v>
      </c>
      <c r="T108" s="129" t="s">
        <v>36</v>
      </c>
      <c r="U108" s="147" t="s">
        <v>37</v>
      </c>
      <c r="V108" s="129"/>
      <c r="W108" s="176" t="s">
        <v>54</v>
      </c>
      <c r="X108" s="205"/>
      <c r="Y108" s="251"/>
      <c r="Z108" s="290"/>
      <c r="AA108" s="286"/>
    </row>
    <row r="109" spans="1:27" s="181" customFormat="1" ht="24" hidden="1" x14ac:dyDescent="0.25">
      <c r="A109" s="131">
        <v>1</v>
      </c>
      <c r="B109" s="136">
        <v>1103022</v>
      </c>
      <c r="C109" s="127" t="s">
        <v>30</v>
      </c>
      <c r="D109" s="128" t="s">
        <v>254</v>
      </c>
      <c r="E109" s="151" t="s">
        <v>32</v>
      </c>
      <c r="F109" s="129" t="s">
        <v>1520</v>
      </c>
      <c r="G109" s="147" t="s">
        <v>34</v>
      </c>
      <c r="H109" s="189">
        <f t="shared" si="1"/>
        <v>3.1425370358610554</v>
      </c>
      <c r="I109" s="134"/>
      <c r="J109" s="150"/>
      <c r="K109" s="147"/>
      <c r="L109" s="147"/>
      <c r="M109" s="147">
        <v>9</v>
      </c>
      <c r="N109" s="275">
        <v>4960</v>
      </c>
      <c r="O109" s="194"/>
      <c r="P109" s="179"/>
      <c r="Q109" s="173">
        <v>3.1425370358610554</v>
      </c>
      <c r="R109" s="271">
        <v>0</v>
      </c>
      <c r="S109" s="164" t="s">
        <v>35</v>
      </c>
      <c r="T109" s="129" t="s">
        <v>189</v>
      </c>
      <c r="U109" s="147" t="s">
        <v>35</v>
      </c>
      <c r="V109" s="129"/>
      <c r="W109" s="176" t="s">
        <v>54</v>
      </c>
      <c r="X109" s="205"/>
      <c r="Y109" s="251"/>
      <c r="Z109" s="290"/>
      <c r="AA109" s="230"/>
    </row>
    <row r="110" spans="1:27" s="181" customFormat="1" hidden="1" x14ac:dyDescent="0.25">
      <c r="A110" s="131">
        <v>1</v>
      </c>
      <c r="B110" s="136">
        <v>1103023</v>
      </c>
      <c r="C110" s="127" t="s">
        <v>30</v>
      </c>
      <c r="D110" s="128" t="s">
        <v>258</v>
      </c>
      <c r="E110" s="151" t="s">
        <v>259</v>
      </c>
      <c r="F110" s="129" t="s">
        <v>1521</v>
      </c>
      <c r="G110" s="147" t="s">
        <v>34</v>
      </c>
      <c r="H110" s="189">
        <f t="shared" si="1"/>
        <v>1.93</v>
      </c>
      <c r="I110" s="134"/>
      <c r="J110" s="150"/>
      <c r="K110" s="147"/>
      <c r="L110" s="147"/>
      <c r="M110" s="147">
        <v>8</v>
      </c>
      <c r="N110" s="275">
        <v>55</v>
      </c>
      <c r="O110" s="194"/>
      <c r="P110" s="179"/>
      <c r="Q110" s="173">
        <v>1.93</v>
      </c>
      <c r="R110" s="271">
        <v>0</v>
      </c>
      <c r="S110" s="164" t="s">
        <v>35</v>
      </c>
      <c r="T110" s="129" t="s">
        <v>189</v>
      </c>
      <c r="U110" s="147" t="s">
        <v>35</v>
      </c>
      <c r="V110" s="129"/>
      <c r="W110" s="176" t="s">
        <v>54</v>
      </c>
      <c r="X110" s="205"/>
      <c r="Y110" s="251"/>
      <c r="Z110" s="290"/>
      <c r="AA110" s="230"/>
    </row>
    <row r="111" spans="1:27" hidden="1" x14ac:dyDescent="0.25">
      <c r="A111" s="131">
        <v>1</v>
      </c>
      <c r="B111" s="136">
        <v>1103024</v>
      </c>
      <c r="C111" s="127" t="s">
        <v>30</v>
      </c>
      <c r="D111" s="128" t="s">
        <v>260</v>
      </c>
      <c r="E111" s="151" t="s">
        <v>32</v>
      </c>
      <c r="F111" s="129" t="s">
        <v>1791</v>
      </c>
      <c r="G111" s="147" t="s">
        <v>34</v>
      </c>
      <c r="H111" s="189">
        <f t="shared" si="1"/>
        <v>3.07</v>
      </c>
      <c r="I111" s="180" t="s">
        <v>2082</v>
      </c>
      <c r="J111" s="146">
        <v>30</v>
      </c>
      <c r="K111" s="147">
        <v>2</v>
      </c>
      <c r="L111" s="147">
        <v>2</v>
      </c>
      <c r="M111" s="147">
        <v>4</v>
      </c>
      <c r="N111" s="275">
        <v>1102</v>
      </c>
      <c r="O111" s="194"/>
      <c r="P111" s="179"/>
      <c r="Q111" s="173">
        <v>3.07</v>
      </c>
      <c r="R111" s="271"/>
      <c r="S111" s="164"/>
      <c r="T111" s="129" t="s">
        <v>261</v>
      </c>
      <c r="U111" s="147" t="s">
        <v>35</v>
      </c>
      <c r="V111" s="129"/>
      <c r="W111" s="176" t="s">
        <v>54</v>
      </c>
      <c r="X111" s="205"/>
      <c r="Y111" s="251"/>
      <c r="Z111" s="290"/>
      <c r="AA111" s="286"/>
    </row>
    <row r="112" spans="1:27" hidden="1" x14ac:dyDescent="0.25">
      <c r="A112" s="131">
        <v>1</v>
      </c>
      <c r="B112" s="136">
        <v>1103025</v>
      </c>
      <c r="C112" s="127" t="s">
        <v>30</v>
      </c>
      <c r="D112" s="128" t="s">
        <v>262</v>
      </c>
      <c r="E112" s="151" t="s">
        <v>259</v>
      </c>
      <c r="F112" s="129" t="s">
        <v>1791</v>
      </c>
      <c r="G112" s="147" t="s">
        <v>34</v>
      </c>
      <c r="H112" s="189">
        <f t="shared" si="1"/>
        <v>2.335</v>
      </c>
      <c r="I112" s="180" t="s">
        <v>2082</v>
      </c>
      <c r="J112" s="146">
        <v>30</v>
      </c>
      <c r="K112" s="147">
        <v>2</v>
      </c>
      <c r="L112" s="147">
        <v>2</v>
      </c>
      <c r="M112" s="147">
        <v>4</v>
      </c>
      <c r="N112" s="275">
        <v>4959</v>
      </c>
      <c r="O112" s="194">
        <v>3.02</v>
      </c>
      <c r="P112" s="179">
        <v>44076</v>
      </c>
      <c r="Q112" s="173">
        <v>2.29</v>
      </c>
      <c r="R112" s="271">
        <v>4.4999999999999998E-2</v>
      </c>
      <c r="S112" s="164"/>
      <c r="T112" s="129" t="s">
        <v>263</v>
      </c>
      <c r="U112" s="147" t="s">
        <v>37</v>
      </c>
      <c r="V112" s="129"/>
      <c r="W112" s="176" t="s">
        <v>54</v>
      </c>
      <c r="X112" s="205"/>
      <c r="Y112" s="251"/>
      <c r="Z112" s="290"/>
      <c r="AA112" s="286"/>
    </row>
    <row r="113" spans="1:27" ht="24" hidden="1" x14ac:dyDescent="0.25">
      <c r="A113" s="131">
        <v>1</v>
      </c>
      <c r="B113" s="136">
        <v>1103026</v>
      </c>
      <c r="C113" s="127" t="s">
        <v>30</v>
      </c>
      <c r="D113" s="128" t="s">
        <v>264</v>
      </c>
      <c r="E113" s="151" t="s">
        <v>259</v>
      </c>
      <c r="F113" s="129" t="s">
        <v>1791</v>
      </c>
      <c r="G113" s="147" t="s">
        <v>34</v>
      </c>
      <c r="H113" s="189">
        <f t="shared" si="1"/>
        <v>3.26</v>
      </c>
      <c r="I113" s="180" t="s">
        <v>2082</v>
      </c>
      <c r="J113" s="146">
        <v>30</v>
      </c>
      <c r="K113" s="147">
        <v>6</v>
      </c>
      <c r="L113" s="147">
        <v>2</v>
      </c>
      <c r="M113" s="147">
        <v>8</v>
      </c>
      <c r="N113" s="275">
        <v>4959</v>
      </c>
      <c r="O113" s="194"/>
      <c r="P113" s="179"/>
      <c r="Q113" s="173">
        <v>3.19</v>
      </c>
      <c r="R113" s="271">
        <v>7.0000000000000007E-2</v>
      </c>
      <c r="S113" s="164"/>
      <c r="T113" s="129" t="s">
        <v>263</v>
      </c>
      <c r="U113" s="147" t="s">
        <v>37</v>
      </c>
      <c r="V113" s="129"/>
      <c r="W113" s="176" t="s">
        <v>54</v>
      </c>
      <c r="X113" s="205"/>
      <c r="Y113" s="251"/>
      <c r="Z113" s="290"/>
      <c r="AA113" s="286"/>
    </row>
    <row r="114" spans="1:27" ht="24" hidden="1" x14ac:dyDescent="0.25">
      <c r="A114" s="131">
        <v>1</v>
      </c>
      <c r="B114" s="136">
        <v>1103027</v>
      </c>
      <c r="C114" s="127" t="s">
        <v>30</v>
      </c>
      <c r="D114" s="128" t="s">
        <v>265</v>
      </c>
      <c r="E114" s="151" t="s">
        <v>259</v>
      </c>
      <c r="F114" s="129" t="s">
        <v>33</v>
      </c>
      <c r="G114" s="147" t="s">
        <v>34</v>
      </c>
      <c r="H114" s="189">
        <f t="shared" si="1"/>
        <v>0</v>
      </c>
      <c r="I114" s="210" t="s">
        <v>2223</v>
      </c>
      <c r="J114" s="146">
        <v>0</v>
      </c>
      <c r="K114" s="147">
        <v>5</v>
      </c>
      <c r="L114" s="147">
        <v>1</v>
      </c>
      <c r="M114" s="147">
        <v>6</v>
      </c>
      <c r="N114" s="275"/>
      <c r="O114" s="194"/>
      <c r="P114" s="179"/>
      <c r="Q114" s="173"/>
      <c r="R114" s="271">
        <v>0</v>
      </c>
      <c r="S114" s="164"/>
      <c r="T114" s="129" t="s">
        <v>263</v>
      </c>
      <c r="U114" s="147" t="s">
        <v>37</v>
      </c>
      <c r="V114" s="129"/>
      <c r="W114" s="176" t="s">
        <v>54</v>
      </c>
      <c r="X114" s="205"/>
      <c r="Y114" s="251"/>
      <c r="Z114" s="290"/>
      <c r="AA114" s="286"/>
    </row>
    <row r="115" spans="1:27" ht="24" hidden="1" x14ac:dyDescent="0.25">
      <c r="A115" s="131">
        <v>1</v>
      </c>
      <c r="B115" s="136">
        <v>1103028</v>
      </c>
      <c r="C115" s="127" t="s">
        <v>30</v>
      </c>
      <c r="D115" s="128" t="s">
        <v>266</v>
      </c>
      <c r="E115" s="151" t="s">
        <v>259</v>
      </c>
      <c r="F115" s="129" t="s">
        <v>33</v>
      </c>
      <c r="G115" s="147" t="s">
        <v>34</v>
      </c>
      <c r="H115" s="189">
        <f t="shared" si="1"/>
        <v>2.10036146844759</v>
      </c>
      <c r="I115" s="210" t="s">
        <v>2223</v>
      </c>
      <c r="J115" s="146">
        <v>0</v>
      </c>
      <c r="K115" s="147">
        <v>5</v>
      </c>
      <c r="L115" s="147">
        <v>1</v>
      </c>
      <c r="M115" s="147">
        <v>6</v>
      </c>
      <c r="N115" s="275">
        <v>9000</v>
      </c>
      <c r="O115" s="194">
        <v>2.10036146844759</v>
      </c>
      <c r="P115" s="179">
        <v>44097</v>
      </c>
      <c r="Q115" s="173">
        <v>2.10036146844759</v>
      </c>
      <c r="R115" s="271">
        <v>0</v>
      </c>
      <c r="S115" s="164" t="s">
        <v>35</v>
      </c>
      <c r="T115" s="129" t="s">
        <v>36</v>
      </c>
      <c r="U115" s="147" t="s">
        <v>37</v>
      </c>
      <c r="V115" s="129"/>
      <c r="W115" s="176" t="s">
        <v>54</v>
      </c>
      <c r="X115" s="205"/>
      <c r="Y115" s="251"/>
      <c r="Z115" s="290"/>
      <c r="AA115" s="286"/>
    </row>
    <row r="116" spans="1:27" ht="24" x14ac:dyDescent="0.25">
      <c r="A116" s="131">
        <v>1</v>
      </c>
      <c r="B116" s="136">
        <v>1103029</v>
      </c>
      <c r="C116" s="127" t="s">
        <v>30</v>
      </c>
      <c r="D116" s="128" t="s">
        <v>267</v>
      </c>
      <c r="E116" s="151" t="s">
        <v>259</v>
      </c>
      <c r="F116" s="129" t="s">
        <v>33</v>
      </c>
      <c r="G116" s="147" t="s">
        <v>34</v>
      </c>
      <c r="H116" s="189">
        <f t="shared" si="1"/>
        <v>2.4811757234872536</v>
      </c>
      <c r="I116" s="210" t="s">
        <v>2223</v>
      </c>
      <c r="J116" s="146">
        <v>0</v>
      </c>
      <c r="K116" s="147">
        <v>7</v>
      </c>
      <c r="L116" s="147">
        <v>1</v>
      </c>
      <c r="M116" s="147">
        <v>8</v>
      </c>
      <c r="N116" s="275">
        <v>20987.792000000001</v>
      </c>
      <c r="O116" s="193">
        <v>2.36</v>
      </c>
      <c r="P116" s="179">
        <v>45483</v>
      </c>
      <c r="Q116" s="173">
        <v>2.4811757234872536</v>
      </c>
      <c r="R116" s="271">
        <v>0</v>
      </c>
      <c r="S116" s="164" t="s">
        <v>35</v>
      </c>
      <c r="T116" s="129" t="s">
        <v>36</v>
      </c>
      <c r="U116" s="147" t="s">
        <v>37</v>
      </c>
      <c r="V116" s="129"/>
      <c r="W116" s="147" t="s">
        <v>2208</v>
      </c>
      <c r="X116" s="205" t="s">
        <v>1901</v>
      </c>
      <c r="Y116" s="251"/>
      <c r="Z116" s="290"/>
      <c r="AA116" s="286" t="s">
        <v>33</v>
      </c>
    </row>
    <row r="117" spans="1:27" ht="36" x14ac:dyDescent="0.25">
      <c r="A117" s="131">
        <v>1</v>
      </c>
      <c r="B117" s="136">
        <v>1103030</v>
      </c>
      <c r="C117" s="127" t="s">
        <v>30</v>
      </c>
      <c r="D117" s="128" t="s">
        <v>2147</v>
      </c>
      <c r="E117" s="151" t="s">
        <v>259</v>
      </c>
      <c r="F117" s="129" t="s">
        <v>307</v>
      </c>
      <c r="G117" s="147" t="s">
        <v>34</v>
      </c>
      <c r="H117" s="189">
        <f t="shared" si="1"/>
        <v>2.3499999999999996</v>
      </c>
      <c r="I117" s="210" t="s">
        <v>2251</v>
      </c>
      <c r="J117" s="146">
        <v>0</v>
      </c>
      <c r="K117" s="147">
        <v>9</v>
      </c>
      <c r="L117" s="147">
        <v>1</v>
      </c>
      <c r="M117" s="147">
        <v>10</v>
      </c>
      <c r="N117" s="275">
        <v>40476.456000000006</v>
      </c>
      <c r="O117" s="173">
        <v>2.39</v>
      </c>
      <c r="P117" s="179">
        <v>45727</v>
      </c>
      <c r="Q117" s="173">
        <v>2.2999999999999998</v>
      </c>
      <c r="R117" s="271">
        <v>0.05</v>
      </c>
      <c r="S117" s="164" t="s">
        <v>35</v>
      </c>
      <c r="T117" s="129" t="s">
        <v>36</v>
      </c>
      <c r="U117" s="147" t="s">
        <v>37</v>
      </c>
      <c r="V117" s="129"/>
      <c r="W117" s="147" t="s">
        <v>2208</v>
      </c>
      <c r="X117" s="205" t="s">
        <v>1902</v>
      </c>
      <c r="Y117" s="251"/>
      <c r="Z117" s="290"/>
      <c r="AA117" s="286" t="s">
        <v>33</v>
      </c>
    </row>
    <row r="118" spans="1:27" ht="24" hidden="1" x14ac:dyDescent="0.25">
      <c r="A118" s="131">
        <v>1</v>
      </c>
      <c r="B118" s="136">
        <v>1103031</v>
      </c>
      <c r="C118" s="127" t="s">
        <v>30</v>
      </c>
      <c r="D118" s="128" t="s">
        <v>269</v>
      </c>
      <c r="E118" s="151" t="s">
        <v>259</v>
      </c>
      <c r="F118" s="129" t="s">
        <v>33</v>
      </c>
      <c r="G118" s="147" t="s">
        <v>34</v>
      </c>
      <c r="H118" s="189">
        <f t="shared" si="1"/>
        <v>2.6080999999999999</v>
      </c>
      <c r="I118" s="210" t="s">
        <v>2223</v>
      </c>
      <c r="J118" s="146">
        <v>0</v>
      </c>
      <c r="K118" s="147">
        <v>5</v>
      </c>
      <c r="L118" s="147">
        <v>1</v>
      </c>
      <c r="M118" s="147">
        <v>6</v>
      </c>
      <c r="N118" s="275">
        <v>4500</v>
      </c>
      <c r="O118" s="194">
        <v>2.36</v>
      </c>
      <c r="P118" s="179">
        <v>44974</v>
      </c>
      <c r="Q118" s="173">
        <v>2.6080999999999999</v>
      </c>
      <c r="R118" s="271">
        <v>0</v>
      </c>
      <c r="S118" s="164"/>
      <c r="T118" s="129" t="s">
        <v>44</v>
      </c>
      <c r="U118" s="147" t="s">
        <v>37</v>
      </c>
      <c r="V118" s="129"/>
      <c r="W118" s="176" t="s">
        <v>54</v>
      </c>
      <c r="X118" s="205"/>
      <c r="Y118" s="251"/>
      <c r="Z118" s="290"/>
      <c r="AA118" s="286"/>
    </row>
    <row r="119" spans="1:27" s="181" customFormat="1" hidden="1" x14ac:dyDescent="0.25">
      <c r="A119" s="131">
        <v>1</v>
      </c>
      <c r="B119" s="136">
        <v>1103032</v>
      </c>
      <c r="C119" s="127" t="s">
        <v>30</v>
      </c>
      <c r="D119" s="128" t="s">
        <v>270</v>
      </c>
      <c r="E119" s="151" t="s">
        <v>259</v>
      </c>
      <c r="F119" s="129" t="s">
        <v>271</v>
      </c>
      <c r="G119" s="147" t="s">
        <v>34</v>
      </c>
      <c r="H119" s="189">
        <f t="shared" si="1"/>
        <v>8.1647464392633573</v>
      </c>
      <c r="I119" s="134"/>
      <c r="J119" s="150"/>
      <c r="K119" s="147">
        <v>12</v>
      </c>
      <c r="L119" s="147">
        <v>1</v>
      </c>
      <c r="M119" s="147">
        <v>13</v>
      </c>
      <c r="N119" s="275"/>
      <c r="O119" s="194"/>
      <c r="P119" s="179"/>
      <c r="Q119" s="175">
        <v>8.1647464392633573</v>
      </c>
      <c r="R119" s="271"/>
      <c r="S119" s="164"/>
      <c r="T119" s="129" t="s">
        <v>272</v>
      </c>
      <c r="U119" s="147" t="s">
        <v>35</v>
      </c>
      <c r="V119" s="129"/>
      <c r="W119" s="176" t="s">
        <v>54</v>
      </c>
      <c r="X119" s="205"/>
      <c r="Y119" s="251"/>
      <c r="Z119" s="290"/>
      <c r="AA119" s="230"/>
    </row>
    <row r="120" spans="1:27" ht="24" x14ac:dyDescent="0.25">
      <c r="A120" s="131">
        <v>1</v>
      </c>
      <c r="B120" s="136">
        <v>1103033</v>
      </c>
      <c r="C120" s="127" t="s">
        <v>30</v>
      </c>
      <c r="D120" s="128" t="s">
        <v>273</v>
      </c>
      <c r="E120" s="151" t="s">
        <v>259</v>
      </c>
      <c r="F120" s="129" t="s">
        <v>33</v>
      </c>
      <c r="G120" s="147" t="s">
        <v>34</v>
      </c>
      <c r="H120" s="189">
        <f t="shared" si="1"/>
        <v>3.2431999999999999</v>
      </c>
      <c r="I120" s="210" t="s">
        <v>2223</v>
      </c>
      <c r="J120" s="146">
        <v>0</v>
      </c>
      <c r="K120" s="147">
        <v>7</v>
      </c>
      <c r="L120" s="147">
        <v>1</v>
      </c>
      <c r="M120" s="147">
        <v>8</v>
      </c>
      <c r="N120" s="275">
        <v>4409.2</v>
      </c>
      <c r="O120" s="193">
        <v>4.609</v>
      </c>
      <c r="P120" s="179">
        <v>45412</v>
      </c>
      <c r="Q120" s="173">
        <v>3.2431999999999999</v>
      </c>
      <c r="R120" s="271">
        <v>0</v>
      </c>
      <c r="S120" s="164"/>
      <c r="T120" s="129" t="s">
        <v>2089</v>
      </c>
      <c r="U120" s="147" t="s">
        <v>37</v>
      </c>
      <c r="V120" s="129"/>
      <c r="W120" s="147" t="s">
        <v>2208</v>
      </c>
      <c r="X120" s="205" t="s">
        <v>1901</v>
      </c>
      <c r="Y120" s="251"/>
      <c r="Z120" s="290"/>
      <c r="AA120" s="286" t="s">
        <v>33</v>
      </c>
    </row>
    <row r="121" spans="1:27" x14ac:dyDescent="0.25">
      <c r="A121" s="131">
        <v>1</v>
      </c>
      <c r="B121" s="136">
        <v>1103034</v>
      </c>
      <c r="C121" s="127" t="s">
        <v>30</v>
      </c>
      <c r="D121" s="128" t="s">
        <v>1542</v>
      </c>
      <c r="E121" s="151" t="s">
        <v>259</v>
      </c>
      <c r="F121" s="129" t="s">
        <v>1545</v>
      </c>
      <c r="G121" s="147" t="s">
        <v>34</v>
      </c>
      <c r="H121" s="189">
        <f t="shared" si="1"/>
        <v>3.55</v>
      </c>
      <c r="I121" s="210" t="s">
        <v>2082</v>
      </c>
      <c r="J121" s="146">
        <v>30</v>
      </c>
      <c r="K121" s="147">
        <v>11</v>
      </c>
      <c r="L121" s="147">
        <v>1</v>
      </c>
      <c r="M121" s="147">
        <v>12</v>
      </c>
      <c r="N121" s="275">
        <v>1631</v>
      </c>
      <c r="O121" s="193">
        <v>3.15</v>
      </c>
      <c r="P121" s="179">
        <v>44974</v>
      </c>
      <c r="Q121" s="173">
        <v>3.5</v>
      </c>
      <c r="R121" s="271">
        <v>0.05</v>
      </c>
      <c r="S121" s="164"/>
      <c r="T121" s="129" t="s">
        <v>2089</v>
      </c>
      <c r="U121" s="147" t="s">
        <v>37</v>
      </c>
      <c r="V121" s="129"/>
      <c r="W121" s="147" t="s">
        <v>2208</v>
      </c>
      <c r="X121" s="205" t="s">
        <v>1009</v>
      </c>
      <c r="Y121" s="251"/>
      <c r="Z121" s="290"/>
      <c r="AA121" s="286" t="s">
        <v>2705</v>
      </c>
    </row>
    <row r="122" spans="1:27" s="181" customFormat="1" hidden="1" x14ac:dyDescent="0.25">
      <c r="A122" s="131">
        <v>1</v>
      </c>
      <c r="B122" s="136">
        <v>1103035</v>
      </c>
      <c r="C122" s="127" t="s">
        <v>30</v>
      </c>
      <c r="D122" s="128" t="s">
        <v>288</v>
      </c>
      <c r="E122" s="151" t="s">
        <v>259</v>
      </c>
      <c r="F122" s="138" t="s">
        <v>57</v>
      </c>
      <c r="G122" s="147" t="s">
        <v>34</v>
      </c>
      <c r="H122" s="189">
        <f t="shared" si="1"/>
        <v>0</v>
      </c>
      <c r="I122" s="134"/>
      <c r="J122" s="150"/>
      <c r="K122" s="147">
        <v>12</v>
      </c>
      <c r="L122" s="147">
        <v>1</v>
      </c>
      <c r="M122" s="147">
        <v>13</v>
      </c>
      <c r="N122" s="275"/>
      <c r="O122" s="194"/>
      <c r="P122" s="179"/>
      <c r="Q122" s="173"/>
      <c r="R122" s="271"/>
      <c r="S122" s="164"/>
      <c r="T122" s="138" t="s">
        <v>57</v>
      </c>
      <c r="U122" s="147" t="s">
        <v>37</v>
      </c>
      <c r="V122" s="129"/>
      <c r="W122" s="176" t="s">
        <v>54</v>
      </c>
      <c r="X122" s="205"/>
      <c r="Y122" s="251"/>
      <c r="Z122" s="290"/>
      <c r="AA122" s="230"/>
    </row>
    <row r="123" spans="1:27" ht="24" hidden="1" x14ac:dyDescent="0.25">
      <c r="A123" s="131">
        <v>1</v>
      </c>
      <c r="B123" s="136">
        <v>1103036</v>
      </c>
      <c r="C123" s="127" t="s">
        <v>30</v>
      </c>
      <c r="D123" s="128" t="s">
        <v>1507</v>
      </c>
      <c r="E123" s="151" t="s">
        <v>259</v>
      </c>
      <c r="F123" s="129" t="s">
        <v>33</v>
      </c>
      <c r="G123" s="147" t="s">
        <v>34</v>
      </c>
      <c r="H123" s="189">
        <f t="shared" si="1"/>
        <v>0</v>
      </c>
      <c r="I123" s="210" t="s">
        <v>2223</v>
      </c>
      <c r="J123" s="146">
        <v>0</v>
      </c>
      <c r="K123" s="147">
        <v>5</v>
      </c>
      <c r="L123" s="147">
        <v>1</v>
      </c>
      <c r="M123" s="147">
        <v>6</v>
      </c>
      <c r="N123" s="275">
        <v>1500</v>
      </c>
      <c r="O123" s="194"/>
      <c r="P123" s="179"/>
      <c r="Q123" s="173"/>
      <c r="R123" s="271">
        <v>0</v>
      </c>
      <c r="S123" s="164"/>
      <c r="T123" s="129"/>
      <c r="U123" s="147" t="s">
        <v>37</v>
      </c>
      <c r="V123" s="129"/>
      <c r="W123" s="176" t="s">
        <v>54</v>
      </c>
      <c r="X123" s="205"/>
      <c r="Y123" s="251"/>
      <c r="Z123" s="290"/>
      <c r="AA123" s="286"/>
    </row>
    <row r="124" spans="1:27" ht="24" hidden="1" x14ac:dyDescent="0.25">
      <c r="A124" s="131">
        <v>1</v>
      </c>
      <c r="B124" s="136">
        <v>1103037</v>
      </c>
      <c r="C124" s="127" t="s">
        <v>30</v>
      </c>
      <c r="D124" s="128" t="s">
        <v>1574</v>
      </c>
      <c r="E124" s="151" t="s">
        <v>259</v>
      </c>
      <c r="F124" s="129" t="s">
        <v>164</v>
      </c>
      <c r="G124" s="147" t="s">
        <v>34</v>
      </c>
      <c r="H124" s="189">
        <f t="shared" si="1"/>
        <v>1.2070000000000001</v>
      </c>
      <c r="I124" s="210" t="s">
        <v>2221</v>
      </c>
      <c r="J124" s="146">
        <v>30</v>
      </c>
      <c r="K124" s="147">
        <v>8</v>
      </c>
      <c r="L124" s="147">
        <v>6</v>
      </c>
      <c r="M124" s="147">
        <v>14</v>
      </c>
      <c r="N124" s="275">
        <v>10000</v>
      </c>
      <c r="O124" s="177">
        <v>0.99790000000000001</v>
      </c>
      <c r="P124" s="179">
        <v>46126</v>
      </c>
      <c r="Q124" s="177">
        <v>1.2070000000000001</v>
      </c>
      <c r="R124" s="271"/>
      <c r="S124" s="164" t="s">
        <v>35</v>
      </c>
      <c r="T124" s="129" t="s">
        <v>36</v>
      </c>
      <c r="U124" s="147" t="s">
        <v>37</v>
      </c>
      <c r="V124" s="129" t="s">
        <v>1789</v>
      </c>
      <c r="W124" s="176" t="s">
        <v>54</v>
      </c>
      <c r="X124" s="205" t="s">
        <v>1918</v>
      </c>
      <c r="Y124" s="251"/>
      <c r="Z124" s="290"/>
      <c r="AA124" s="286"/>
    </row>
    <row r="125" spans="1:27" hidden="1" x14ac:dyDescent="0.25">
      <c r="A125" s="131">
        <v>1</v>
      </c>
      <c r="B125" s="136">
        <v>1103038</v>
      </c>
      <c r="C125" s="127" t="s">
        <v>30</v>
      </c>
      <c r="D125" s="128" t="s">
        <v>1641</v>
      </c>
      <c r="E125" s="151" t="s">
        <v>32</v>
      </c>
      <c r="F125" s="129" t="s">
        <v>1642</v>
      </c>
      <c r="G125" s="147" t="s">
        <v>34</v>
      </c>
      <c r="H125" s="189">
        <f t="shared" si="1"/>
        <v>1.9418</v>
      </c>
      <c r="I125" s="134" t="s">
        <v>2082</v>
      </c>
      <c r="J125" s="146">
        <v>30</v>
      </c>
      <c r="K125" s="147">
        <v>10</v>
      </c>
      <c r="L125" s="147">
        <v>2</v>
      </c>
      <c r="M125" s="147">
        <v>12</v>
      </c>
      <c r="N125" s="275">
        <v>20000</v>
      </c>
      <c r="O125" s="194"/>
      <c r="P125" s="179"/>
      <c r="Q125" s="173">
        <v>1.66</v>
      </c>
      <c r="R125" s="271">
        <v>0.28179999999999999</v>
      </c>
      <c r="S125" s="164"/>
      <c r="T125" s="129" t="s">
        <v>1650</v>
      </c>
      <c r="U125" s="147" t="s">
        <v>37</v>
      </c>
      <c r="V125" s="129"/>
      <c r="W125" s="176" t="s">
        <v>54</v>
      </c>
      <c r="X125" s="205"/>
      <c r="Y125" s="251"/>
      <c r="Z125" s="290"/>
      <c r="AA125" s="286"/>
    </row>
    <row r="126" spans="1:27" hidden="1" x14ac:dyDescent="0.25">
      <c r="A126" s="131">
        <v>1</v>
      </c>
      <c r="B126" s="136">
        <v>1103039</v>
      </c>
      <c r="C126" s="127" t="s">
        <v>30</v>
      </c>
      <c r="D126" s="128" t="s">
        <v>1644</v>
      </c>
      <c r="E126" s="151" t="s">
        <v>32</v>
      </c>
      <c r="F126" s="129" t="s">
        <v>1642</v>
      </c>
      <c r="G126" s="147" t="s">
        <v>34</v>
      </c>
      <c r="H126" s="189">
        <f t="shared" si="1"/>
        <v>1.9218</v>
      </c>
      <c r="I126" s="134" t="s">
        <v>2082</v>
      </c>
      <c r="J126" s="146">
        <v>30</v>
      </c>
      <c r="K126" s="147">
        <v>8</v>
      </c>
      <c r="L126" s="147">
        <v>2</v>
      </c>
      <c r="M126" s="147">
        <v>10</v>
      </c>
      <c r="N126" s="275">
        <v>20000</v>
      </c>
      <c r="O126" s="194"/>
      <c r="P126" s="179"/>
      <c r="Q126" s="173">
        <v>1.64</v>
      </c>
      <c r="R126" s="271">
        <v>0.28179999999999999</v>
      </c>
      <c r="S126" s="164"/>
      <c r="T126" s="129" t="s">
        <v>1650</v>
      </c>
      <c r="U126" s="147" t="s">
        <v>37</v>
      </c>
      <c r="V126" s="129"/>
      <c r="W126" s="176" t="s">
        <v>54</v>
      </c>
      <c r="X126" s="205"/>
      <c r="Y126" s="251"/>
      <c r="Z126" s="290"/>
      <c r="AA126" s="286"/>
    </row>
    <row r="127" spans="1:27" s="181" customFormat="1" hidden="1" x14ac:dyDescent="0.25">
      <c r="A127" s="131">
        <v>1</v>
      </c>
      <c r="B127" s="136">
        <v>1103100</v>
      </c>
      <c r="C127" s="127" t="s">
        <v>30</v>
      </c>
      <c r="D127" s="128" t="s">
        <v>274</v>
      </c>
      <c r="E127" s="154" t="s">
        <v>275</v>
      </c>
      <c r="F127" s="136" t="s">
        <v>276</v>
      </c>
      <c r="G127" s="147" t="s">
        <v>34</v>
      </c>
      <c r="H127" s="189">
        <f t="shared" si="1"/>
        <v>9.7799999999999994</v>
      </c>
      <c r="I127" s="134"/>
      <c r="J127" s="150"/>
      <c r="K127" s="147"/>
      <c r="L127" s="147"/>
      <c r="M127" s="147">
        <v>8</v>
      </c>
      <c r="N127" s="275"/>
      <c r="O127" s="194"/>
      <c r="P127" s="179"/>
      <c r="Q127" s="173">
        <v>9.7799999999999994</v>
      </c>
      <c r="R127" s="260">
        <v>0</v>
      </c>
      <c r="S127" s="164"/>
      <c r="T127" s="129" t="s">
        <v>277</v>
      </c>
      <c r="U127" s="147" t="s">
        <v>35</v>
      </c>
      <c r="V127" s="129"/>
      <c r="W127" s="176" t="s">
        <v>54</v>
      </c>
      <c r="X127" s="205"/>
      <c r="Y127" s="251"/>
      <c r="Z127" s="290"/>
      <c r="AA127" s="230"/>
    </row>
    <row r="128" spans="1:27" s="181" customFormat="1" hidden="1" x14ac:dyDescent="0.25">
      <c r="A128" s="131">
        <v>1</v>
      </c>
      <c r="B128" s="136">
        <v>1103101</v>
      </c>
      <c r="C128" s="127" t="s">
        <v>30</v>
      </c>
      <c r="D128" s="128" t="s">
        <v>281</v>
      </c>
      <c r="E128" s="151" t="s">
        <v>1927</v>
      </c>
      <c r="F128" s="129" t="s">
        <v>282</v>
      </c>
      <c r="G128" s="147" t="s">
        <v>34</v>
      </c>
      <c r="H128" s="189">
        <f t="shared" si="1"/>
        <v>0</v>
      </c>
      <c r="I128" s="213"/>
      <c r="J128" s="149"/>
      <c r="K128" s="147">
        <v>11</v>
      </c>
      <c r="L128" s="147">
        <v>1</v>
      </c>
      <c r="M128" s="147">
        <v>12</v>
      </c>
      <c r="N128" s="275"/>
      <c r="O128" s="194"/>
      <c r="P128" s="179"/>
      <c r="Q128" s="173"/>
      <c r="R128" s="260">
        <v>0</v>
      </c>
      <c r="S128" s="164"/>
      <c r="T128" s="129" t="s">
        <v>277</v>
      </c>
      <c r="U128" s="147" t="s">
        <v>35</v>
      </c>
      <c r="V128" s="129"/>
      <c r="W128" s="162" t="s">
        <v>54</v>
      </c>
      <c r="X128" s="205"/>
      <c r="Y128" s="251"/>
      <c r="Z128" s="290"/>
      <c r="AA128" s="286"/>
    </row>
    <row r="129" spans="1:27" hidden="1" x14ac:dyDescent="0.25">
      <c r="A129" s="131">
        <v>1</v>
      </c>
      <c r="B129" s="136">
        <v>1103102</v>
      </c>
      <c r="C129" s="127" t="s">
        <v>30</v>
      </c>
      <c r="D129" s="128" t="s">
        <v>1577</v>
      </c>
      <c r="E129" s="151" t="s">
        <v>259</v>
      </c>
      <c r="F129" s="129" t="s">
        <v>283</v>
      </c>
      <c r="G129" s="147" t="s">
        <v>34</v>
      </c>
      <c r="H129" s="189">
        <f t="shared" si="1"/>
        <v>1.99</v>
      </c>
      <c r="I129" s="210" t="s">
        <v>2082</v>
      </c>
      <c r="J129" s="146">
        <v>30</v>
      </c>
      <c r="K129" s="147">
        <v>9</v>
      </c>
      <c r="L129" s="147">
        <v>1</v>
      </c>
      <c r="M129" s="147">
        <v>10</v>
      </c>
      <c r="N129" s="275">
        <v>2200</v>
      </c>
      <c r="O129" s="193"/>
      <c r="P129" s="179">
        <v>45712</v>
      </c>
      <c r="Q129" s="173">
        <v>1.94</v>
      </c>
      <c r="R129" s="271">
        <v>0.05</v>
      </c>
      <c r="S129" s="164"/>
      <c r="T129" s="129" t="s">
        <v>284</v>
      </c>
      <c r="U129" s="147" t="s">
        <v>37</v>
      </c>
      <c r="V129" s="129"/>
      <c r="W129" s="176" t="s">
        <v>54</v>
      </c>
      <c r="X129" s="205"/>
      <c r="Y129" s="251"/>
      <c r="Z129" s="290"/>
      <c r="AA129" s="286"/>
    </row>
    <row r="130" spans="1:27" s="181" customFormat="1" ht="24" hidden="1" x14ac:dyDescent="0.25">
      <c r="A130" s="131">
        <v>1</v>
      </c>
      <c r="B130" s="136">
        <v>1104001</v>
      </c>
      <c r="C130" s="127" t="s">
        <v>30</v>
      </c>
      <c r="D130" s="128" t="s">
        <v>290</v>
      </c>
      <c r="E130" s="151" t="s">
        <v>131</v>
      </c>
      <c r="F130" s="136" t="s">
        <v>1979</v>
      </c>
      <c r="G130" s="147" t="s">
        <v>34</v>
      </c>
      <c r="H130" s="189">
        <f t="shared" si="1"/>
        <v>0</v>
      </c>
      <c r="I130" s="210" t="s">
        <v>2223</v>
      </c>
      <c r="J130" s="149"/>
      <c r="K130" s="147"/>
      <c r="L130" s="147"/>
      <c r="M130" s="147">
        <v>10</v>
      </c>
      <c r="N130" s="275">
        <v>2000</v>
      </c>
      <c r="O130" s="194"/>
      <c r="P130" s="179"/>
      <c r="Q130" s="173"/>
      <c r="R130" s="260">
        <v>0</v>
      </c>
      <c r="S130" s="167"/>
      <c r="T130" s="129" t="s">
        <v>36</v>
      </c>
      <c r="U130" s="147" t="s">
        <v>37</v>
      </c>
      <c r="V130" s="129"/>
      <c r="W130" s="162" t="s">
        <v>54</v>
      </c>
      <c r="X130" s="205"/>
      <c r="Y130" s="251"/>
      <c r="Z130" s="290"/>
      <c r="AA130" s="286"/>
    </row>
    <row r="131" spans="1:27" s="181" customFormat="1" ht="24" hidden="1" x14ac:dyDescent="0.25">
      <c r="A131" s="131">
        <v>1</v>
      </c>
      <c r="B131" s="136">
        <v>1104002</v>
      </c>
      <c r="C131" s="127" t="s">
        <v>30</v>
      </c>
      <c r="D131" s="128" t="s">
        <v>291</v>
      </c>
      <c r="E131" s="282" t="s">
        <v>131</v>
      </c>
      <c r="F131" s="136" t="s">
        <v>1979</v>
      </c>
      <c r="G131" s="147" t="s">
        <v>34</v>
      </c>
      <c r="H131" s="189">
        <f t="shared" ref="H131:H194" si="2">Q131+R131</f>
        <v>0</v>
      </c>
      <c r="I131" s="210" t="s">
        <v>2223</v>
      </c>
      <c r="J131" s="149"/>
      <c r="K131" s="147"/>
      <c r="L131" s="147"/>
      <c r="M131" s="147">
        <v>10</v>
      </c>
      <c r="N131" s="275">
        <v>2000</v>
      </c>
      <c r="O131" s="194"/>
      <c r="P131" s="179"/>
      <c r="Q131" s="173"/>
      <c r="R131" s="260">
        <v>0</v>
      </c>
      <c r="S131" s="167"/>
      <c r="T131" s="129" t="s">
        <v>292</v>
      </c>
      <c r="U131" s="147" t="s">
        <v>37</v>
      </c>
      <c r="V131" s="129"/>
      <c r="W131" s="162" t="s">
        <v>54</v>
      </c>
      <c r="X131" s="205"/>
      <c r="Y131" s="251"/>
      <c r="Z131" s="290"/>
      <c r="AA131" s="286"/>
    </row>
    <row r="132" spans="1:27" ht="24" x14ac:dyDescent="0.25">
      <c r="A132" s="131">
        <v>1</v>
      </c>
      <c r="B132" s="136">
        <v>1104003</v>
      </c>
      <c r="C132" s="127" t="s">
        <v>30</v>
      </c>
      <c r="D132" s="128" t="s">
        <v>2405</v>
      </c>
      <c r="E132" s="282" t="s">
        <v>131</v>
      </c>
      <c r="F132" s="129" t="s">
        <v>1791</v>
      </c>
      <c r="G132" s="147" t="s">
        <v>34</v>
      </c>
      <c r="H132" s="189">
        <f t="shared" si="2"/>
        <v>3.9499999999999997</v>
      </c>
      <c r="I132" s="210" t="s">
        <v>2093</v>
      </c>
      <c r="J132" s="146">
        <v>30</v>
      </c>
      <c r="K132" s="147">
        <v>8</v>
      </c>
      <c r="L132" s="147">
        <v>2</v>
      </c>
      <c r="M132" s="147">
        <v>10</v>
      </c>
      <c r="N132" s="275">
        <v>2204</v>
      </c>
      <c r="O132" s="193">
        <v>3.67</v>
      </c>
      <c r="P132" s="179">
        <v>46146</v>
      </c>
      <c r="Q132" s="173">
        <v>3.9</v>
      </c>
      <c r="R132" s="271">
        <v>0.05</v>
      </c>
      <c r="S132" s="164"/>
      <c r="T132" s="129" t="s">
        <v>2089</v>
      </c>
      <c r="U132" s="147" t="s">
        <v>37</v>
      </c>
      <c r="V132" s="129"/>
      <c r="W132" s="147" t="s">
        <v>2208</v>
      </c>
      <c r="X132" s="205" t="s">
        <v>1009</v>
      </c>
      <c r="Y132" s="251"/>
      <c r="Z132" s="290"/>
      <c r="AA132" s="286" t="s">
        <v>2693</v>
      </c>
    </row>
    <row r="133" spans="1:27" hidden="1" x14ac:dyDescent="0.25">
      <c r="A133" s="131">
        <v>1</v>
      </c>
      <c r="B133" s="136">
        <v>1104004</v>
      </c>
      <c r="C133" s="127" t="s">
        <v>30</v>
      </c>
      <c r="D133" s="128" t="s">
        <v>294</v>
      </c>
      <c r="E133" s="282" t="s">
        <v>131</v>
      </c>
      <c r="F133" s="129" t="s">
        <v>1788</v>
      </c>
      <c r="G133" s="147" t="s">
        <v>34</v>
      </c>
      <c r="H133" s="189">
        <f t="shared" si="2"/>
        <v>0</v>
      </c>
      <c r="I133" s="180" t="s">
        <v>2082</v>
      </c>
      <c r="J133" s="146">
        <v>0</v>
      </c>
      <c r="K133" s="147">
        <v>6</v>
      </c>
      <c r="L133" s="147">
        <v>2</v>
      </c>
      <c r="M133" s="147">
        <v>8</v>
      </c>
      <c r="N133" s="275">
        <v>1100</v>
      </c>
      <c r="O133" s="194"/>
      <c r="P133" s="179"/>
      <c r="Q133" s="173"/>
      <c r="R133" s="260">
        <v>0</v>
      </c>
      <c r="S133" s="167"/>
      <c r="T133" s="129" t="s">
        <v>189</v>
      </c>
      <c r="U133" s="147" t="s">
        <v>37</v>
      </c>
      <c r="V133" s="129"/>
      <c r="W133" s="162" t="s">
        <v>54</v>
      </c>
      <c r="X133" s="205"/>
      <c r="Y133" s="252"/>
      <c r="Z133" s="290"/>
      <c r="AA133" s="286"/>
    </row>
    <row r="134" spans="1:27" s="181" customFormat="1" hidden="1" x14ac:dyDescent="0.25">
      <c r="A134" s="131">
        <v>1</v>
      </c>
      <c r="B134" s="136">
        <v>1104005</v>
      </c>
      <c r="C134" s="127" t="s">
        <v>30</v>
      </c>
      <c r="D134" s="143" t="s">
        <v>295</v>
      </c>
      <c r="E134" s="282" t="s">
        <v>131</v>
      </c>
      <c r="F134" s="129" t="s">
        <v>276</v>
      </c>
      <c r="G134" s="147" t="s">
        <v>34</v>
      </c>
      <c r="H134" s="189">
        <f t="shared" si="2"/>
        <v>8.84</v>
      </c>
      <c r="I134" s="134"/>
      <c r="J134" s="150"/>
      <c r="K134" s="147"/>
      <c r="L134" s="147"/>
      <c r="M134" s="147">
        <v>5</v>
      </c>
      <c r="N134" s="275">
        <v>220</v>
      </c>
      <c r="O134" s="194"/>
      <c r="P134" s="179"/>
      <c r="Q134" s="173">
        <v>8.84</v>
      </c>
      <c r="R134" s="260">
        <v>0</v>
      </c>
      <c r="S134" s="164"/>
      <c r="T134" s="129" t="s">
        <v>102</v>
      </c>
      <c r="U134" s="147" t="s">
        <v>35</v>
      </c>
      <c r="V134" s="129"/>
      <c r="W134" s="176" t="s">
        <v>54</v>
      </c>
      <c r="X134" s="205"/>
      <c r="Y134" s="251"/>
      <c r="Z134" s="290"/>
      <c r="AA134" s="230"/>
    </row>
    <row r="135" spans="1:27" ht="24" hidden="1" x14ac:dyDescent="0.25">
      <c r="A135" s="131">
        <v>1</v>
      </c>
      <c r="B135" s="136">
        <v>1104006</v>
      </c>
      <c r="C135" s="127" t="s">
        <v>30</v>
      </c>
      <c r="D135" s="128" t="s">
        <v>297</v>
      </c>
      <c r="E135" s="282" t="s">
        <v>131</v>
      </c>
      <c r="F135" s="129" t="s">
        <v>1941</v>
      </c>
      <c r="G135" s="147" t="s">
        <v>34</v>
      </c>
      <c r="H135" s="189">
        <f t="shared" si="2"/>
        <v>0</v>
      </c>
      <c r="I135" s="213"/>
      <c r="J135" s="146">
        <v>30</v>
      </c>
      <c r="K135" s="147">
        <v>1</v>
      </c>
      <c r="L135" s="147">
        <v>1</v>
      </c>
      <c r="M135" s="147">
        <v>2</v>
      </c>
      <c r="N135" s="275"/>
      <c r="O135" s="194"/>
      <c r="P135" s="179"/>
      <c r="Q135" s="173"/>
      <c r="R135" s="260">
        <v>0</v>
      </c>
      <c r="S135" s="167"/>
      <c r="T135" s="129"/>
      <c r="U135" s="147" t="s">
        <v>37</v>
      </c>
      <c r="V135" s="129"/>
      <c r="W135" s="162" t="s">
        <v>54</v>
      </c>
      <c r="X135" s="205"/>
      <c r="Y135" s="251"/>
      <c r="Z135" s="290"/>
      <c r="AA135" s="286"/>
    </row>
    <row r="136" spans="1:27" hidden="1" x14ac:dyDescent="0.25">
      <c r="A136" s="131">
        <v>1</v>
      </c>
      <c r="B136" s="136">
        <v>1104007</v>
      </c>
      <c r="C136" s="127" t="s">
        <v>30</v>
      </c>
      <c r="D136" s="136" t="s">
        <v>301</v>
      </c>
      <c r="E136" s="282" t="s">
        <v>131</v>
      </c>
      <c r="F136" s="129" t="s">
        <v>1791</v>
      </c>
      <c r="G136" s="147" t="s">
        <v>34</v>
      </c>
      <c r="H136" s="189">
        <f t="shared" si="2"/>
        <v>5.0699999999999994</v>
      </c>
      <c r="I136" s="180" t="s">
        <v>2082</v>
      </c>
      <c r="J136" s="146">
        <v>30</v>
      </c>
      <c r="K136" s="147">
        <v>7</v>
      </c>
      <c r="L136" s="147">
        <v>2</v>
      </c>
      <c r="M136" s="147">
        <v>9</v>
      </c>
      <c r="N136" s="275">
        <v>1102</v>
      </c>
      <c r="O136" s="194"/>
      <c r="P136" s="179">
        <v>44684</v>
      </c>
      <c r="Q136" s="173">
        <v>4.3499999999999996</v>
      </c>
      <c r="R136" s="271">
        <v>0.72</v>
      </c>
      <c r="S136" s="164"/>
      <c r="T136" s="129" t="s">
        <v>36</v>
      </c>
      <c r="U136" s="147" t="s">
        <v>37</v>
      </c>
      <c r="V136" s="129"/>
      <c r="W136" s="176" t="s">
        <v>54</v>
      </c>
      <c r="X136" s="205"/>
      <c r="Y136" s="251"/>
      <c r="Z136" s="290"/>
      <c r="AA136" s="286"/>
    </row>
    <row r="137" spans="1:27" hidden="1" x14ac:dyDescent="0.25">
      <c r="A137" s="131">
        <v>1</v>
      </c>
      <c r="B137" s="136">
        <v>1104008</v>
      </c>
      <c r="C137" s="127" t="s">
        <v>30</v>
      </c>
      <c r="D137" s="136" t="s">
        <v>302</v>
      </c>
      <c r="E137" s="282" t="s">
        <v>131</v>
      </c>
      <c r="F137" s="129" t="s">
        <v>1791</v>
      </c>
      <c r="G137" s="147" t="s">
        <v>34</v>
      </c>
      <c r="H137" s="189">
        <f t="shared" si="2"/>
        <v>5.51</v>
      </c>
      <c r="I137" s="180" t="s">
        <v>2082</v>
      </c>
      <c r="J137" s="146">
        <v>30</v>
      </c>
      <c r="K137" s="147">
        <v>8</v>
      </c>
      <c r="L137" s="147">
        <v>2</v>
      </c>
      <c r="M137" s="147">
        <v>10</v>
      </c>
      <c r="N137" s="275">
        <v>1102</v>
      </c>
      <c r="O137" s="194"/>
      <c r="P137" s="179">
        <v>44684</v>
      </c>
      <c r="Q137" s="173">
        <v>4.79</v>
      </c>
      <c r="R137" s="271">
        <v>0.72</v>
      </c>
      <c r="S137" s="164"/>
      <c r="T137" s="129" t="s">
        <v>36</v>
      </c>
      <c r="U137" s="147" t="s">
        <v>37</v>
      </c>
      <c r="V137" s="129"/>
      <c r="W137" s="176" t="s">
        <v>54</v>
      </c>
      <c r="X137" s="205"/>
      <c r="Y137" s="251"/>
      <c r="Z137" s="290"/>
      <c r="AA137" s="286"/>
    </row>
    <row r="138" spans="1:27" ht="36" x14ac:dyDescent="0.25">
      <c r="A138" s="131">
        <v>1</v>
      </c>
      <c r="B138" s="136">
        <v>1104009</v>
      </c>
      <c r="C138" s="127" t="s">
        <v>30</v>
      </c>
      <c r="D138" s="136" t="s">
        <v>303</v>
      </c>
      <c r="E138" s="282" t="s">
        <v>131</v>
      </c>
      <c r="F138" s="129" t="s">
        <v>1791</v>
      </c>
      <c r="G138" s="147" t="s">
        <v>34</v>
      </c>
      <c r="H138" s="189">
        <f t="shared" si="2"/>
        <v>3.76</v>
      </c>
      <c r="I138" s="136" t="s">
        <v>2342</v>
      </c>
      <c r="J138" s="146">
        <v>30</v>
      </c>
      <c r="K138" s="147">
        <v>8</v>
      </c>
      <c r="L138" s="147">
        <v>2</v>
      </c>
      <c r="M138" s="147">
        <v>10</v>
      </c>
      <c r="N138" s="275">
        <v>4400</v>
      </c>
      <c r="O138" s="173">
        <v>3.84</v>
      </c>
      <c r="P138" s="179">
        <v>45944</v>
      </c>
      <c r="Q138" s="173">
        <v>3.71</v>
      </c>
      <c r="R138" s="271">
        <v>0.05</v>
      </c>
      <c r="S138" s="164"/>
      <c r="T138" s="129" t="s">
        <v>2443</v>
      </c>
      <c r="U138" s="147" t="s">
        <v>37</v>
      </c>
      <c r="V138" s="129"/>
      <c r="W138" s="147" t="s">
        <v>2208</v>
      </c>
      <c r="X138" s="205" t="s">
        <v>1009</v>
      </c>
      <c r="Y138" s="251"/>
      <c r="Z138" s="290"/>
      <c r="AA138" s="286" t="s">
        <v>2693</v>
      </c>
    </row>
    <row r="139" spans="1:27" hidden="1" x14ac:dyDescent="0.25">
      <c r="A139" s="131">
        <v>1</v>
      </c>
      <c r="B139" s="136">
        <v>1104010</v>
      </c>
      <c r="C139" s="127" t="s">
        <v>30</v>
      </c>
      <c r="D139" s="136" t="s">
        <v>304</v>
      </c>
      <c r="E139" s="282" t="s">
        <v>131</v>
      </c>
      <c r="F139" s="129" t="s">
        <v>1791</v>
      </c>
      <c r="G139" s="147" t="s">
        <v>34</v>
      </c>
      <c r="H139" s="189">
        <f t="shared" si="2"/>
        <v>5.18</v>
      </c>
      <c r="I139" s="180" t="s">
        <v>2082</v>
      </c>
      <c r="J139" s="146">
        <v>30</v>
      </c>
      <c r="K139" s="147">
        <v>7</v>
      </c>
      <c r="L139" s="147">
        <v>2</v>
      </c>
      <c r="M139" s="147">
        <v>9</v>
      </c>
      <c r="N139" s="275">
        <v>1102</v>
      </c>
      <c r="O139" s="194"/>
      <c r="P139" s="179">
        <v>44684</v>
      </c>
      <c r="Q139" s="173">
        <v>4.46</v>
      </c>
      <c r="R139" s="271">
        <v>0.72</v>
      </c>
      <c r="S139" s="164"/>
      <c r="T139" s="129" t="s">
        <v>36</v>
      </c>
      <c r="U139" s="147" t="s">
        <v>37</v>
      </c>
      <c r="V139" s="129"/>
      <c r="W139" s="176" t="s">
        <v>54</v>
      </c>
      <c r="X139" s="205"/>
      <c r="Y139" s="251"/>
      <c r="Z139" s="290"/>
      <c r="AA139" s="286"/>
    </row>
    <row r="140" spans="1:27" ht="24" hidden="1" x14ac:dyDescent="0.25">
      <c r="A140" s="131">
        <v>1</v>
      </c>
      <c r="B140" s="136">
        <v>1104011</v>
      </c>
      <c r="C140" s="127" t="s">
        <v>30</v>
      </c>
      <c r="D140" s="136" t="s">
        <v>305</v>
      </c>
      <c r="E140" s="282" t="s">
        <v>131</v>
      </c>
      <c r="F140" s="129" t="s">
        <v>47</v>
      </c>
      <c r="G140" s="147" t="s">
        <v>34</v>
      </c>
      <c r="H140" s="189">
        <f t="shared" si="2"/>
        <v>1.75</v>
      </c>
      <c r="I140" s="210" t="s">
        <v>2223</v>
      </c>
      <c r="J140" s="146">
        <v>30</v>
      </c>
      <c r="K140" s="147">
        <v>9</v>
      </c>
      <c r="L140" s="147">
        <v>1</v>
      </c>
      <c r="M140" s="147">
        <v>10</v>
      </c>
      <c r="N140" s="275">
        <v>6400</v>
      </c>
      <c r="O140" s="194"/>
      <c r="P140" s="179"/>
      <c r="Q140" s="173">
        <v>1.75</v>
      </c>
      <c r="R140" s="271">
        <v>0</v>
      </c>
      <c r="S140" s="164" t="s">
        <v>35</v>
      </c>
      <c r="T140" s="129" t="s">
        <v>36</v>
      </c>
      <c r="U140" s="147" t="s">
        <v>37</v>
      </c>
      <c r="V140" s="129"/>
      <c r="W140" s="176" t="s">
        <v>54</v>
      </c>
      <c r="X140" s="205"/>
      <c r="Y140" s="251"/>
      <c r="Z140" s="290"/>
      <c r="AA140" s="286"/>
    </row>
    <row r="141" spans="1:27" hidden="1" x14ac:dyDescent="0.25">
      <c r="A141" s="131">
        <v>1</v>
      </c>
      <c r="B141" s="136">
        <v>1104015</v>
      </c>
      <c r="C141" s="127" t="s">
        <v>30</v>
      </c>
      <c r="D141" s="136" t="s">
        <v>306</v>
      </c>
      <c r="E141" s="282" t="s">
        <v>131</v>
      </c>
      <c r="F141" s="129" t="s">
        <v>307</v>
      </c>
      <c r="G141" s="147" t="s">
        <v>34</v>
      </c>
      <c r="H141" s="189">
        <f t="shared" si="2"/>
        <v>0</v>
      </c>
      <c r="I141" s="134" t="s">
        <v>2082</v>
      </c>
      <c r="J141" s="146">
        <v>0</v>
      </c>
      <c r="K141" s="147">
        <v>8</v>
      </c>
      <c r="L141" s="147">
        <v>2</v>
      </c>
      <c r="M141" s="147">
        <v>10</v>
      </c>
      <c r="N141" s="275">
        <v>1763</v>
      </c>
      <c r="O141" s="194"/>
      <c r="P141" s="179"/>
      <c r="Q141" s="173"/>
      <c r="R141" s="260">
        <v>0</v>
      </c>
      <c r="S141" s="164"/>
      <c r="T141" s="129" t="s">
        <v>36</v>
      </c>
      <c r="U141" s="147" t="s">
        <v>35</v>
      </c>
      <c r="V141" s="129"/>
      <c r="W141" s="162" t="s">
        <v>54</v>
      </c>
      <c r="X141" s="205"/>
      <c r="Y141" s="251"/>
      <c r="Z141" s="290"/>
      <c r="AA141" s="286"/>
    </row>
    <row r="142" spans="1:27" s="181" customFormat="1" ht="36" hidden="1" x14ac:dyDescent="0.25">
      <c r="A142" s="131">
        <v>1</v>
      </c>
      <c r="B142" s="136">
        <v>1104016</v>
      </c>
      <c r="C142" s="127" t="s">
        <v>30</v>
      </c>
      <c r="D142" s="136" t="s">
        <v>1827</v>
      </c>
      <c r="E142" s="282" t="s">
        <v>131</v>
      </c>
      <c r="F142" s="129" t="s">
        <v>329</v>
      </c>
      <c r="G142" s="147" t="s">
        <v>34</v>
      </c>
      <c r="H142" s="189">
        <f t="shared" si="2"/>
        <v>2.8670239999999998</v>
      </c>
      <c r="I142" s="180" t="s">
        <v>2213</v>
      </c>
      <c r="J142" s="150"/>
      <c r="K142" s="147">
        <v>2</v>
      </c>
      <c r="L142" s="147">
        <v>2</v>
      </c>
      <c r="M142" s="147">
        <v>4</v>
      </c>
      <c r="N142" s="275"/>
      <c r="O142" s="194"/>
      <c r="P142" s="179">
        <v>45064</v>
      </c>
      <c r="Q142" s="173">
        <v>2.817024</v>
      </c>
      <c r="R142" s="271">
        <v>0.05</v>
      </c>
      <c r="S142" s="164" t="s">
        <v>35</v>
      </c>
      <c r="T142" s="129" t="s">
        <v>329</v>
      </c>
      <c r="U142" s="147" t="s">
        <v>35</v>
      </c>
      <c r="V142" s="129" t="s">
        <v>1604</v>
      </c>
      <c r="W142" s="176" t="s">
        <v>2519</v>
      </c>
      <c r="X142" s="205"/>
      <c r="Y142" s="251"/>
      <c r="Z142" s="290"/>
      <c r="AA142" s="286"/>
    </row>
    <row r="143" spans="1:27" s="181" customFormat="1" ht="24" x14ac:dyDescent="0.25">
      <c r="A143" s="131">
        <v>1</v>
      </c>
      <c r="B143" s="136">
        <v>1104017</v>
      </c>
      <c r="C143" s="127" t="s">
        <v>30</v>
      </c>
      <c r="D143" s="136" t="s">
        <v>312</v>
      </c>
      <c r="E143" s="282" t="s">
        <v>131</v>
      </c>
      <c r="F143" s="129" t="s">
        <v>1640</v>
      </c>
      <c r="G143" s="147" t="s">
        <v>34</v>
      </c>
      <c r="H143" s="189">
        <f t="shared" si="2"/>
        <v>3.7</v>
      </c>
      <c r="I143" s="134"/>
      <c r="J143" s="150"/>
      <c r="K143" s="147"/>
      <c r="L143" s="147"/>
      <c r="M143" s="147">
        <v>16</v>
      </c>
      <c r="N143" s="275">
        <v>1000</v>
      </c>
      <c r="O143" s="194">
        <v>0.91</v>
      </c>
      <c r="P143" s="179">
        <v>45049</v>
      </c>
      <c r="Q143" s="173">
        <v>3.7</v>
      </c>
      <c r="R143" s="271">
        <v>0</v>
      </c>
      <c r="S143" s="164" t="s">
        <v>35</v>
      </c>
      <c r="T143" s="129" t="s">
        <v>1868</v>
      </c>
      <c r="U143" s="147" t="s">
        <v>35</v>
      </c>
      <c r="V143" s="129"/>
      <c r="W143" s="147" t="s">
        <v>2208</v>
      </c>
      <c r="X143" s="205" t="s">
        <v>1009</v>
      </c>
      <c r="Y143" s="251"/>
      <c r="Z143" s="290"/>
      <c r="AA143" s="286" t="s">
        <v>2694</v>
      </c>
    </row>
    <row r="144" spans="1:27" hidden="1" x14ac:dyDescent="0.25">
      <c r="A144" s="131">
        <v>1</v>
      </c>
      <c r="B144" s="136">
        <v>1104018</v>
      </c>
      <c r="C144" s="127" t="s">
        <v>30</v>
      </c>
      <c r="D144" s="136" t="s">
        <v>314</v>
      </c>
      <c r="E144" s="282" t="s">
        <v>131</v>
      </c>
      <c r="F144" s="129" t="s">
        <v>1791</v>
      </c>
      <c r="G144" s="147" t="s">
        <v>34</v>
      </c>
      <c r="H144" s="189">
        <f t="shared" si="2"/>
        <v>0</v>
      </c>
      <c r="I144" s="180" t="s">
        <v>2082</v>
      </c>
      <c r="J144" s="146">
        <v>30</v>
      </c>
      <c r="K144" s="147">
        <v>4</v>
      </c>
      <c r="L144" s="147">
        <v>2</v>
      </c>
      <c r="M144" s="147">
        <v>6</v>
      </c>
      <c r="N144" s="275"/>
      <c r="O144" s="194"/>
      <c r="P144" s="179"/>
      <c r="Q144" s="173"/>
      <c r="R144" s="271"/>
      <c r="S144" s="164"/>
      <c r="T144" s="129"/>
      <c r="U144" s="147" t="s">
        <v>37</v>
      </c>
      <c r="V144" s="129"/>
      <c r="W144" s="176" t="s">
        <v>54</v>
      </c>
      <c r="X144" s="205"/>
      <c r="Y144" s="251"/>
      <c r="Z144" s="290"/>
      <c r="AA144" s="286"/>
    </row>
    <row r="145" spans="1:27" hidden="1" x14ac:dyDescent="0.25">
      <c r="A145" s="131">
        <v>1</v>
      </c>
      <c r="B145" s="136">
        <v>1104019</v>
      </c>
      <c r="C145" s="127" t="s">
        <v>30</v>
      </c>
      <c r="D145" s="136" t="s">
        <v>315</v>
      </c>
      <c r="E145" s="282" t="s">
        <v>131</v>
      </c>
      <c r="F145" s="129" t="s">
        <v>1791</v>
      </c>
      <c r="G145" s="147" t="s">
        <v>34</v>
      </c>
      <c r="H145" s="189">
        <f t="shared" si="2"/>
        <v>0</v>
      </c>
      <c r="I145" s="180" t="s">
        <v>2082</v>
      </c>
      <c r="J145" s="146">
        <v>30</v>
      </c>
      <c r="K145" s="147">
        <v>4</v>
      </c>
      <c r="L145" s="147">
        <v>2</v>
      </c>
      <c r="M145" s="147">
        <v>6</v>
      </c>
      <c r="N145" s="275"/>
      <c r="O145" s="194"/>
      <c r="P145" s="179"/>
      <c r="Q145" s="173"/>
      <c r="R145" s="271"/>
      <c r="S145" s="164"/>
      <c r="T145" s="129"/>
      <c r="U145" s="147" t="s">
        <v>37</v>
      </c>
      <c r="V145" s="129"/>
      <c r="W145" s="176" t="s">
        <v>54</v>
      </c>
      <c r="X145" s="205"/>
      <c r="Y145" s="251"/>
      <c r="Z145" s="290"/>
      <c r="AA145" s="286"/>
    </row>
    <row r="146" spans="1:27" s="181" customFormat="1" hidden="1" x14ac:dyDescent="0.25">
      <c r="A146" s="131">
        <v>1</v>
      </c>
      <c r="B146" s="136">
        <v>1104020</v>
      </c>
      <c r="C146" s="127" t="s">
        <v>30</v>
      </c>
      <c r="D146" s="136" t="s">
        <v>1582</v>
      </c>
      <c r="E146" s="282" t="s">
        <v>131</v>
      </c>
      <c r="F146" s="129" t="s">
        <v>329</v>
      </c>
      <c r="G146" s="147" t="s">
        <v>34</v>
      </c>
      <c r="H146" s="189">
        <f t="shared" si="2"/>
        <v>0.05</v>
      </c>
      <c r="I146" s="180" t="s">
        <v>2213</v>
      </c>
      <c r="J146" s="150"/>
      <c r="K146" s="147">
        <v>2</v>
      </c>
      <c r="L146" s="147">
        <v>2</v>
      </c>
      <c r="M146" s="147">
        <v>4</v>
      </c>
      <c r="N146" s="275"/>
      <c r="O146" s="194"/>
      <c r="P146" s="179"/>
      <c r="Q146" s="173"/>
      <c r="R146" s="271">
        <v>0.05</v>
      </c>
      <c r="S146" s="164"/>
      <c r="T146" s="129" t="s">
        <v>329</v>
      </c>
      <c r="U146" s="147" t="s">
        <v>35</v>
      </c>
      <c r="V146" s="129" t="s">
        <v>1602</v>
      </c>
      <c r="W146" s="176" t="s">
        <v>2519</v>
      </c>
      <c r="X146" s="205"/>
      <c r="Y146" s="251"/>
      <c r="Z146" s="290"/>
      <c r="AA146" s="286"/>
    </row>
    <row r="147" spans="1:27" x14ac:dyDescent="0.25">
      <c r="A147" s="131">
        <v>1</v>
      </c>
      <c r="B147" s="136">
        <v>1105001</v>
      </c>
      <c r="C147" s="127" t="s">
        <v>30</v>
      </c>
      <c r="D147" s="128" t="s">
        <v>1962</v>
      </c>
      <c r="E147" s="154" t="s">
        <v>317</v>
      </c>
      <c r="F147" s="136" t="s">
        <v>307</v>
      </c>
      <c r="G147" s="147" t="s">
        <v>34</v>
      </c>
      <c r="H147" s="189">
        <f t="shared" si="2"/>
        <v>7.85</v>
      </c>
      <c r="I147" s="210" t="s">
        <v>2082</v>
      </c>
      <c r="J147" s="146">
        <v>0</v>
      </c>
      <c r="K147" s="147">
        <v>11</v>
      </c>
      <c r="L147" s="147">
        <v>1</v>
      </c>
      <c r="M147" s="147">
        <v>12</v>
      </c>
      <c r="N147" s="306">
        <v>330</v>
      </c>
      <c r="O147" s="193">
        <v>6.8</v>
      </c>
      <c r="P147" s="179">
        <v>45484</v>
      </c>
      <c r="Q147" s="173">
        <v>7.8</v>
      </c>
      <c r="R147" s="271">
        <v>0.05</v>
      </c>
      <c r="S147" s="164"/>
      <c r="T147" s="128" t="s">
        <v>1868</v>
      </c>
      <c r="U147" s="147" t="s">
        <v>37</v>
      </c>
      <c r="V147" s="129"/>
      <c r="W147" s="147" t="s">
        <v>2208</v>
      </c>
      <c r="X147" s="205" t="s">
        <v>1009</v>
      </c>
      <c r="Y147" s="251"/>
      <c r="Z147" s="290"/>
      <c r="AA147" s="286" t="s">
        <v>33</v>
      </c>
    </row>
    <row r="148" spans="1:27" ht="24" hidden="1" x14ac:dyDescent="0.25">
      <c r="A148" s="131">
        <v>1</v>
      </c>
      <c r="B148" s="136">
        <v>1105002</v>
      </c>
      <c r="C148" s="127" t="s">
        <v>30</v>
      </c>
      <c r="D148" s="128" t="s">
        <v>318</v>
      </c>
      <c r="E148" s="154" t="s">
        <v>317</v>
      </c>
      <c r="F148" s="136" t="s">
        <v>33</v>
      </c>
      <c r="G148" s="147" t="s">
        <v>34</v>
      </c>
      <c r="H148" s="189">
        <f t="shared" si="2"/>
        <v>0</v>
      </c>
      <c r="I148" s="210" t="s">
        <v>2223</v>
      </c>
      <c r="J148" s="146">
        <v>0</v>
      </c>
      <c r="K148" s="147">
        <v>11</v>
      </c>
      <c r="L148" s="147">
        <v>1</v>
      </c>
      <c r="M148" s="147">
        <v>12</v>
      </c>
      <c r="N148" s="306" t="s">
        <v>88</v>
      </c>
      <c r="O148" s="194"/>
      <c r="P148" s="179"/>
      <c r="Q148" s="173"/>
      <c r="R148" s="260">
        <v>0</v>
      </c>
      <c r="S148" s="168"/>
      <c r="T148" s="128" t="s">
        <v>64</v>
      </c>
      <c r="U148" s="147" t="s">
        <v>37</v>
      </c>
      <c r="V148" s="129"/>
      <c r="W148" s="162" t="s">
        <v>54</v>
      </c>
      <c r="X148" s="205"/>
      <c r="Y148" s="251"/>
      <c r="Z148" s="290"/>
      <c r="AA148" s="286"/>
    </row>
    <row r="149" spans="1:27" ht="24" hidden="1" x14ac:dyDescent="0.25">
      <c r="A149" s="131">
        <v>1</v>
      </c>
      <c r="B149" s="136">
        <v>1105003</v>
      </c>
      <c r="C149" s="127" t="s">
        <v>30</v>
      </c>
      <c r="D149" s="128" t="s">
        <v>319</v>
      </c>
      <c r="E149" s="154" t="s">
        <v>317</v>
      </c>
      <c r="F149" s="136" t="s">
        <v>33</v>
      </c>
      <c r="G149" s="147" t="s">
        <v>34</v>
      </c>
      <c r="H149" s="189">
        <f t="shared" si="2"/>
        <v>3.69</v>
      </c>
      <c r="I149" s="210" t="s">
        <v>2223</v>
      </c>
      <c r="J149" s="146">
        <v>0</v>
      </c>
      <c r="K149" s="147">
        <v>11</v>
      </c>
      <c r="L149" s="147">
        <v>1</v>
      </c>
      <c r="M149" s="147">
        <v>12</v>
      </c>
      <c r="N149" s="306">
        <v>55</v>
      </c>
      <c r="O149" s="194"/>
      <c r="P149" s="179"/>
      <c r="Q149" s="173">
        <v>3.69</v>
      </c>
      <c r="R149" s="271">
        <v>0</v>
      </c>
      <c r="S149" s="164"/>
      <c r="T149" s="128" t="s">
        <v>234</v>
      </c>
      <c r="U149" s="147" t="s">
        <v>37</v>
      </c>
      <c r="V149" s="129"/>
      <c r="W149" s="162" t="s">
        <v>54</v>
      </c>
      <c r="X149" s="205"/>
      <c r="Y149" s="251"/>
      <c r="Z149" s="290"/>
      <c r="AA149" s="286"/>
    </row>
    <row r="150" spans="1:27" ht="24" hidden="1" x14ac:dyDescent="0.25">
      <c r="A150" s="131">
        <v>1</v>
      </c>
      <c r="B150" s="136">
        <v>1105004</v>
      </c>
      <c r="C150" s="127" t="s">
        <v>30</v>
      </c>
      <c r="D150" s="128" t="s">
        <v>320</v>
      </c>
      <c r="E150" s="154" t="s">
        <v>317</v>
      </c>
      <c r="F150" s="136" t="s">
        <v>33</v>
      </c>
      <c r="G150" s="147" t="s">
        <v>34</v>
      </c>
      <c r="H150" s="189">
        <f t="shared" si="2"/>
        <v>22.15</v>
      </c>
      <c r="I150" s="210" t="s">
        <v>2223</v>
      </c>
      <c r="J150" s="146">
        <v>0</v>
      </c>
      <c r="K150" s="147">
        <v>11</v>
      </c>
      <c r="L150" s="147">
        <v>1</v>
      </c>
      <c r="M150" s="147">
        <v>12</v>
      </c>
      <c r="N150" s="306">
        <v>55</v>
      </c>
      <c r="O150" s="194"/>
      <c r="P150" s="179"/>
      <c r="Q150" s="173">
        <v>22.15</v>
      </c>
      <c r="R150" s="271">
        <v>0</v>
      </c>
      <c r="S150" s="164"/>
      <c r="T150" s="128" t="s">
        <v>102</v>
      </c>
      <c r="U150" s="147" t="s">
        <v>35</v>
      </c>
      <c r="V150" s="129"/>
      <c r="W150" s="176" t="s">
        <v>54</v>
      </c>
      <c r="X150" s="205"/>
      <c r="Y150" s="251"/>
      <c r="Z150" s="290"/>
      <c r="AA150" s="286"/>
    </row>
    <row r="151" spans="1:27" s="181" customFormat="1" hidden="1" x14ac:dyDescent="0.25">
      <c r="A151" s="131">
        <v>1</v>
      </c>
      <c r="B151" s="136">
        <v>1105005</v>
      </c>
      <c r="C151" s="127" t="s">
        <v>30</v>
      </c>
      <c r="D151" s="128" t="s">
        <v>321</v>
      </c>
      <c r="E151" s="154" t="s">
        <v>317</v>
      </c>
      <c r="F151" s="136" t="s">
        <v>276</v>
      </c>
      <c r="G151" s="147" t="s">
        <v>34</v>
      </c>
      <c r="H151" s="189">
        <f t="shared" si="2"/>
        <v>0</v>
      </c>
      <c r="I151" s="213"/>
      <c r="J151" s="149"/>
      <c r="K151" s="154"/>
      <c r="L151" s="154"/>
      <c r="M151" s="147">
        <v>8</v>
      </c>
      <c r="N151" s="306"/>
      <c r="O151" s="194"/>
      <c r="P151" s="179"/>
      <c r="Q151" s="173"/>
      <c r="R151" s="260">
        <v>0</v>
      </c>
      <c r="S151" s="164"/>
      <c r="T151" s="128" t="s">
        <v>102</v>
      </c>
      <c r="U151" s="147" t="s">
        <v>35</v>
      </c>
      <c r="V151" s="129"/>
      <c r="W151" s="162" t="s">
        <v>54</v>
      </c>
      <c r="X151" s="205"/>
      <c r="Y151" s="251"/>
      <c r="Z151" s="290"/>
      <c r="AA151" s="286"/>
    </row>
    <row r="152" spans="1:27" hidden="1" x14ac:dyDescent="0.25">
      <c r="A152" s="131">
        <v>1</v>
      </c>
      <c r="B152" s="136">
        <v>1105006</v>
      </c>
      <c r="C152" s="127" t="s">
        <v>30</v>
      </c>
      <c r="D152" s="128" t="s">
        <v>322</v>
      </c>
      <c r="E152" s="147" t="s">
        <v>2030</v>
      </c>
      <c r="F152" s="136" t="s">
        <v>323</v>
      </c>
      <c r="G152" s="147" t="s">
        <v>34</v>
      </c>
      <c r="H152" s="189">
        <f t="shared" si="2"/>
        <v>3.84</v>
      </c>
      <c r="I152" s="134" t="s">
        <v>2082</v>
      </c>
      <c r="J152" s="146">
        <v>30</v>
      </c>
      <c r="K152" s="147">
        <v>4</v>
      </c>
      <c r="L152" s="154">
        <v>2</v>
      </c>
      <c r="M152" s="147">
        <v>6</v>
      </c>
      <c r="N152" s="306">
        <v>55</v>
      </c>
      <c r="O152" s="194"/>
      <c r="P152" s="179"/>
      <c r="Q152" s="173">
        <v>3.84</v>
      </c>
      <c r="R152" s="260">
        <v>0</v>
      </c>
      <c r="S152" s="164"/>
      <c r="T152" s="128" t="s">
        <v>102</v>
      </c>
      <c r="U152" s="147" t="s">
        <v>35</v>
      </c>
      <c r="V152" s="129"/>
      <c r="W152" s="176" t="s">
        <v>54</v>
      </c>
      <c r="X152" s="205"/>
      <c r="Y152" s="251"/>
      <c r="Z152" s="290"/>
      <c r="AA152" s="286"/>
    </row>
    <row r="153" spans="1:27" s="181" customFormat="1" hidden="1" x14ac:dyDescent="0.25">
      <c r="A153" s="131">
        <v>1</v>
      </c>
      <c r="B153" s="136">
        <v>1105007</v>
      </c>
      <c r="C153" s="127" t="s">
        <v>30</v>
      </c>
      <c r="D153" s="128" t="s">
        <v>327</v>
      </c>
      <c r="E153" s="154" t="s">
        <v>328</v>
      </c>
      <c r="F153" s="136" t="s">
        <v>329</v>
      </c>
      <c r="G153" s="147" t="s">
        <v>34</v>
      </c>
      <c r="H153" s="189">
        <f t="shared" si="2"/>
        <v>2.25</v>
      </c>
      <c r="I153" s="180" t="s">
        <v>2213</v>
      </c>
      <c r="J153" s="150"/>
      <c r="K153" s="147">
        <v>2</v>
      </c>
      <c r="L153" s="154">
        <v>2</v>
      </c>
      <c r="M153" s="147">
        <v>4</v>
      </c>
      <c r="N153" s="275"/>
      <c r="O153" s="194"/>
      <c r="P153" s="179">
        <v>45064</v>
      </c>
      <c r="Q153" s="173">
        <v>2.2000000000000002</v>
      </c>
      <c r="R153" s="271">
        <v>0.05</v>
      </c>
      <c r="S153" s="164"/>
      <c r="T153" s="128" t="s">
        <v>329</v>
      </c>
      <c r="U153" s="147" t="s">
        <v>35</v>
      </c>
      <c r="V153" s="129" t="s">
        <v>1607</v>
      </c>
      <c r="W153" s="176" t="s">
        <v>2519</v>
      </c>
      <c r="X153" s="205"/>
      <c r="Y153" s="251"/>
      <c r="Z153" s="290"/>
      <c r="AA153" s="286"/>
    </row>
    <row r="154" spans="1:27" s="181" customFormat="1" hidden="1" x14ac:dyDescent="0.25">
      <c r="A154" s="131">
        <v>1</v>
      </c>
      <c r="B154" s="136">
        <v>1105008</v>
      </c>
      <c r="C154" s="127" t="s">
        <v>30</v>
      </c>
      <c r="D154" s="128" t="s">
        <v>332</v>
      </c>
      <c r="E154" s="154" t="s">
        <v>317</v>
      </c>
      <c r="F154" s="136" t="s">
        <v>276</v>
      </c>
      <c r="G154" s="147" t="s">
        <v>34</v>
      </c>
      <c r="H154" s="189">
        <f t="shared" si="2"/>
        <v>4.2149999999999999</v>
      </c>
      <c r="I154" s="134"/>
      <c r="J154" s="150"/>
      <c r="K154" s="154"/>
      <c r="L154" s="154"/>
      <c r="M154" s="147">
        <v>10</v>
      </c>
      <c r="N154" s="306">
        <v>1323</v>
      </c>
      <c r="O154" s="194"/>
      <c r="P154" s="179"/>
      <c r="Q154" s="173">
        <v>4.17</v>
      </c>
      <c r="R154" s="271">
        <v>4.4999999999999998E-2</v>
      </c>
      <c r="S154" s="164"/>
      <c r="T154" s="128"/>
      <c r="U154" s="147" t="s">
        <v>37</v>
      </c>
      <c r="V154" s="129"/>
      <c r="W154" s="176" t="s">
        <v>54</v>
      </c>
      <c r="X154" s="205"/>
      <c r="Y154" s="251"/>
      <c r="Z154" s="290"/>
      <c r="AA154" s="230"/>
    </row>
    <row r="155" spans="1:27" ht="24" hidden="1" x14ac:dyDescent="0.25">
      <c r="A155" s="131">
        <v>1</v>
      </c>
      <c r="B155" s="136">
        <v>1105009</v>
      </c>
      <c r="C155" s="127" t="s">
        <v>30</v>
      </c>
      <c r="D155" s="128" t="s">
        <v>333</v>
      </c>
      <c r="E155" s="154" t="s">
        <v>317</v>
      </c>
      <c r="F155" s="136" t="s">
        <v>33</v>
      </c>
      <c r="G155" s="147" t="s">
        <v>34</v>
      </c>
      <c r="H155" s="189">
        <f t="shared" si="2"/>
        <v>3.25</v>
      </c>
      <c r="I155" s="210" t="s">
        <v>2223</v>
      </c>
      <c r="J155" s="146">
        <v>0</v>
      </c>
      <c r="K155" s="147">
        <v>11</v>
      </c>
      <c r="L155" s="147">
        <v>1</v>
      </c>
      <c r="M155" s="147">
        <v>12</v>
      </c>
      <c r="N155" s="306">
        <v>55</v>
      </c>
      <c r="O155" s="194"/>
      <c r="P155" s="179"/>
      <c r="Q155" s="173">
        <v>3.25</v>
      </c>
      <c r="R155" s="271">
        <v>0</v>
      </c>
      <c r="S155" s="164"/>
      <c r="T155" s="128" t="s">
        <v>44</v>
      </c>
      <c r="U155" s="147" t="s">
        <v>37</v>
      </c>
      <c r="V155" s="129"/>
      <c r="W155" s="176" t="s">
        <v>54</v>
      </c>
      <c r="X155" s="205"/>
      <c r="Y155" s="251"/>
      <c r="Z155" s="290"/>
      <c r="AA155" s="286"/>
    </row>
    <row r="156" spans="1:27" ht="24" hidden="1" x14ac:dyDescent="0.25">
      <c r="A156" s="131">
        <v>1</v>
      </c>
      <c r="B156" s="136">
        <v>1105010</v>
      </c>
      <c r="C156" s="127" t="s">
        <v>30</v>
      </c>
      <c r="D156" s="128" t="s">
        <v>334</v>
      </c>
      <c r="E156" s="154" t="s">
        <v>317</v>
      </c>
      <c r="F156" s="136" t="s">
        <v>33</v>
      </c>
      <c r="G156" s="147" t="s">
        <v>34</v>
      </c>
      <c r="H156" s="189">
        <f t="shared" si="2"/>
        <v>3.75</v>
      </c>
      <c r="I156" s="210" t="s">
        <v>2223</v>
      </c>
      <c r="J156" s="146">
        <v>0</v>
      </c>
      <c r="K156" s="147">
        <v>11</v>
      </c>
      <c r="L156" s="147">
        <v>1</v>
      </c>
      <c r="M156" s="147">
        <v>12</v>
      </c>
      <c r="N156" s="306">
        <v>55</v>
      </c>
      <c r="O156" s="194"/>
      <c r="P156" s="179"/>
      <c r="Q156" s="173">
        <v>3.75</v>
      </c>
      <c r="R156" s="271">
        <v>0</v>
      </c>
      <c r="S156" s="164"/>
      <c r="T156" s="128" t="s">
        <v>44</v>
      </c>
      <c r="U156" s="147" t="s">
        <v>37</v>
      </c>
      <c r="V156" s="129"/>
      <c r="W156" s="176" t="s">
        <v>54</v>
      </c>
      <c r="X156" s="205"/>
      <c r="Y156" s="251"/>
      <c r="Z156" s="290"/>
      <c r="AA156" s="286"/>
    </row>
    <row r="157" spans="1:27" s="181" customFormat="1" hidden="1" x14ac:dyDescent="0.25">
      <c r="A157" s="131">
        <v>1</v>
      </c>
      <c r="B157" s="136">
        <v>1105011</v>
      </c>
      <c r="C157" s="127" t="s">
        <v>30</v>
      </c>
      <c r="D157" s="128" t="s">
        <v>1597</v>
      </c>
      <c r="E157" s="154" t="s">
        <v>317</v>
      </c>
      <c r="F157" s="136" t="s">
        <v>329</v>
      </c>
      <c r="G157" s="147" t="s">
        <v>34</v>
      </c>
      <c r="H157" s="189">
        <f t="shared" si="2"/>
        <v>0.05</v>
      </c>
      <c r="I157" s="180" t="s">
        <v>2213</v>
      </c>
      <c r="J157" s="150"/>
      <c r="K157" s="147">
        <v>2</v>
      </c>
      <c r="L157" s="154">
        <v>2</v>
      </c>
      <c r="M157" s="147">
        <v>4</v>
      </c>
      <c r="N157" s="275"/>
      <c r="O157" s="194"/>
      <c r="P157" s="179"/>
      <c r="Q157" s="173"/>
      <c r="R157" s="271">
        <v>0.05</v>
      </c>
      <c r="S157" s="164"/>
      <c r="T157" s="128" t="s">
        <v>329</v>
      </c>
      <c r="U157" s="147" t="s">
        <v>35</v>
      </c>
      <c r="V157" s="129"/>
      <c r="W157" s="176" t="s">
        <v>2519</v>
      </c>
      <c r="X157" s="205"/>
      <c r="Y157" s="251"/>
      <c r="Z157" s="290"/>
      <c r="AA157" s="286"/>
    </row>
    <row r="158" spans="1:27" s="181" customFormat="1" hidden="1" x14ac:dyDescent="0.25">
      <c r="A158" s="131">
        <v>1</v>
      </c>
      <c r="B158" s="136">
        <v>1106001</v>
      </c>
      <c r="C158" s="127" t="s">
        <v>30</v>
      </c>
      <c r="D158" s="128" t="s">
        <v>335</v>
      </c>
      <c r="E158" s="282" t="s">
        <v>146</v>
      </c>
      <c r="F158" s="129" t="s">
        <v>1611</v>
      </c>
      <c r="G158" s="147" t="s">
        <v>34</v>
      </c>
      <c r="H158" s="189">
        <f t="shared" si="2"/>
        <v>2.3499999999999996</v>
      </c>
      <c r="I158" s="213"/>
      <c r="J158" s="149"/>
      <c r="K158" s="147"/>
      <c r="L158" s="147"/>
      <c r="M158" s="147">
        <v>2</v>
      </c>
      <c r="N158" s="275">
        <v>1100</v>
      </c>
      <c r="O158" s="194"/>
      <c r="P158" s="179"/>
      <c r="Q158" s="173">
        <v>2.2999999999999998</v>
      </c>
      <c r="R158" s="260">
        <v>0.05</v>
      </c>
      <c r="S158" s="167"/>
      <c r="T158" s="129" t="s">
        <v>189</v>
      </c>
      <c r="U158" s="147" t="s">
        <v>37</v>
      </c>
      <c r="V158" s="129"/>
      <c r="W158" s="162" t="s">
        <v>54</v>
      </c>
      <c r="X158" s="205"/>
      <c r="Y158" s="251"/>
      <c r="Z158" s="290"/>
      <c r="AA158" s="286"/>
    </row>
    <row r="159" spans="1:27" s="181" customFormat="1" hidden="1" x14ac:dyDescent="0.25">
      <c r="A159" s="131">
        <v>1</v>
      </c>
      <c r="B159" s="136">
        <v>1106002</v>
      </c>
      <c r="C159" s="127" t="s">
        <v>30</v>
      </c>
      <c r="D159" s="128" t="s">
        <v>341</v>
      </c>
      <c r="E159" s="151" t="s">
        <v>146</v>
      </c>
      <c r="F159" s="129" t="s">
        <v>342</v>
      </c>
      <c r="G159" s="147" t="s">
        <v>34</v>
      </c>
      <c r="H159" s="189">
        <f t="shared" si="2"/>
        <v>0</v>
      </c>
      <c r="I159" s="213"/>
      <c r="J159" s="149"/>
      <c r="K159" s="147"/>
      <c r="L159" s="147"/>
      <c r="M159" s="147">
        <v>4</v>
      </c>
      <c r="N159" s="275">
        <v>1500</v>
      </c>
      <c r="O159" s="194"/>
      <c r="P159" s="179"/>
      <c r="Q159" s="173"/>
      <c r="R159" s="260">
        <v>0</v>
      </c>
      <c r="S159" s="167"/>
      <c r="T159" s="129" t="s">
        <v>189</v>
      </c>
      <c r="U159" s="147" t="s">
        <v>37</v>
      </c>
      <c r="V159" s="129"/>
      <c r="W159" s="162" t="s">
        <v>54</v>
      </c>
      <c r="X159" s="205"/>
      <c r="Y159" s="251"/>
      <c r="Z159" s="290"/>
      <c r="AA159" s="286"/>
    </row>
    <row r="160" spans="1:27" hidden="1" x14ac:dyDescent="0.25">
      <c r="A160" s="131">
        <v>1</v>
      </c>
      <c r="B160" s="136">
        <v>1106003</v>
      </c>
      <c r="C160" s="127" t="s">
        <v>30</v>
      </c>
      <c r="D160" s="128" t="s">
        <v>346</v>
      </c>
      <c r="E160" s="282" t="s">
        <v>146</v>
      </c>
      <c r="F160" s="129" t="s">
        <v>1788</v>
      </c>
      <c r="G160" s="147" t="s">
        <v>34</v>
      </c>
      <c r="H160" s="189">
        <f t="shared" si="2"/>
        <v>0</v>
      </c>
      <c r="I160" s="180" t="s">
        <v>2082</v>
      </c>
      <c r="J160" s="146">
        <v>0</v>
      </c>
      <c r="K160" s="147">
        <v>6</v>
      </c>
      <c r="L160" s="147">
        <v>2</v>
      </c>
      <c r="M160" s="147">
        <v>8</v>
      </c>
      <c r="N160" s="275">
        <v>1499</v>
      </c>
      <c r="O160" s="194"/>
      <c r="P160" s="179"/>
      <c r="Q160" s="173"/>
      <c r="R160" s="260">
        <v>0</v>
      </c>
      <c r="S160" s="164"/>
      <c r="T160" s="129" t="s">
        <v>36</v>
      </c>
      <c r="U160" s="147" t="s">
        <v>37</v>
      </c>
      <c r="V160" s="129"/>
      <c r="W160" s="162" t="s">
        <v>54</v>
      </c>
      <c r="X160" s="205"/>
      <c r="Y160" s="251"/>
      <c r="Z160" s="290"/>
      <c r="AA160" s="286"/>
    </row>
    <row r="161" spans="1:27" s="181" customFormat="1" hidden="1" x14ac:dyDescent="0.25">
      <c r="A161" s="131">
        <v>1</v>
      </c>
      <c r="B161" s="136">
        <v>1106004</v>
      </c>
      <c r="C161" s="127" t="s">
        <v>30</v>
      </c>
      <c r="D161" s="128" t="s">
        <v>350</v>
      </c>
      <c r="E161" s="282" t="s">
        <v>146</v>
      </c>
      <c r="F161" s="129" t="s">
        <v>1611</v>
      </c>
      <c r="G161" s="147" t="s">
        <v>34</v>
      </c>
      <c r="H161" s="189">
        <f t="shared" si="2"/>
        <v>2.3499999999999996</v>
      </c>
      <c r="I161" s="213"/>
      <c r="J161" s="149"/>
      <c r="K161" s="147"/>
      <c r="L161" s="147"/>
      <c r="M161" s="147">
        <v>3</v>
      </c>
      <c r="N161" s="275">
        <v>1100</v>
      </c>
      <c r="O161" s="194"/>
      <c r="P161" s="179"/>
      <c r="Q161" s="173">
        <v>2.2999999999999998</v>
      </c>
      <c r="R161" s="260">
        <v>0.05</v>
      </c>
      <c r="S161" s="167"/>
      <c r="T161" s="129" t="s">
        <v>189</v>
      </c>
      <c r="U161" s="147" t="s">
        <v>37</v>
      </c>
      <c r="V161" s="129"/>
      <c r="W161" s="162" t="s">
        <v>54</v>
      </c>
      <c r="X161" s="205"/>
      <c r="Y161" s="251"/>
      <c r="Z161" s="290"/>
      <c r="AA161" s="286"/>
    </row>
    <row r="162" spans="1:27" x14ac:dyDescent="0.25">
      <c r="A162" s="131">
        <v>1</v>
      </c>
      <c r="B162" s="136">
        <v>1106005</v>
      </c>
      <c r="C162" s="127" t="s">
        <v>30</v>
      </c>
      <c r="D162" s="128" t="s">
        <v>1672</v>
      </c>
      <c r="E162" s="282" t="s">
        <v>146</v>
      </c>
      <c r="F162" s="129" t="s">
        <v>307</v>
      </c>
      <c r="G162" s="147" t="s">
        <v>34</v>
      </c>
      <c r="H162" s="189">
        <f t="shared" si="2"/>
        <v>1.861</v>
      </c>
      <c r="I162" s="210" t="s">
        <v>2082</v>
      </c>
      <c r="J162" s="146">
        <v>0</v>
      </c>
      <c r="K162" s="147">
        <v>7</v>
      </c>
      <c r="L162" s="147">
        <v>2</v>
      </c>
      <c r="M162" s="147">
        <v>9</v>
      </c>
      <c r="N162" s="275">
        <v>1500</v>
      </c>
      <c r="O162" s="173">
        <f>1.704+0.05</f>
        <v>1.754</v>
      </c>
      <c r="P162" s="179">
        <v>46162</v>
      </c>
      <c r="Q162" s="173">
        <v>1.8109999999999999</v>
      </c>
      <c r="R162" s="271">
        <v>0.05</v>
      </c>
      <c r="S162" s="164"/>
      <c r="T162" s="129" t="s">
        <v>36</v>
      </c>
      <c r="U162" s="147" t="s">
        <v>37</v>
      </c>
      <c r="V162" s="129"/>
      <c r="W162" s="147" t="s">
        <v>2208</v>
      </c>
      <c r="X162" s="205" t="s">
        <v>1009</v>
      </c>
      <c r="Y162" s="251"/>
      <c r="Z162" s="290"/>
      <c r="AA162" s="286" t="s">
        <v>33</v>
      </c>
    </row>
    <row r="163" spans="1:27" hidden="1" x14ac:dyDescent="0.25">
      <c r="A163" s="131">
        <v>1</v>
      </c>
      <c r="B163" s="136">
        <v>1106006</v>
      </c>
      <c r="C163" s="127" t="s">
        <v>30</v>
      </c>
      <c r="D163" s="128" t="s">
        <v>352</v>
      </c>
      <c r="E163" s="282" t="s">
        <v>146</v>
      </c>
      <c r="F163" s="129" t="s">
        <v>307</v>
      </c>
      <c r="G163" s="147" t="s">
        <v>34</v>
      </c>
      <c r="H163" s="189">
        <f t="shared" si="2"/>
        <v>5.25</v>
      </c>
      <c r="I163" s="134" t="s">
        <v>2082</v>
      </c>
      <c r="J163" s="146">
        <v>0</v>
      </c>
      <c r="K163" s="147">
        <v>4</v>
      </c>
      <c r="L163" s="147">
        <v>2</v>
      </c>
      <c r="M163" s="147">
        <v>6</v>
      </c>
      <c r="N163" s="275">
        <v>50</v>
      </c>
      <c r="O163" s="194"/>
      <c r="P163" s="179"/>
      <c r="Q163" s="173">
        <v>4.25</v>
      </c>
      <c r="R163" s="271">
        <v>1</v>
      </c>
      <c r="S163" s="164"/>
      <c r="T163" s="129" t="s">
        <v>36</v>
      </c>
      <c r="U163" s="147" t="s">
        <v>35</v>
      </c>
      <c r="V163" s="129"/>
      <c r="W163" s="176" t="s">
        <v>54</v>
      </c>
      <c r="X163" s="205"/>
      <c r="Y163" s="251"/>
      <c r="Z163" s="290"/>
      <c r="AA163" s="286"/>
    </row>
    <row r="164" spans="1:27" ht="24" hidden="1" x14ac:dyDescent="0.25">
      <c r="A164" s="131">
        <v>1</v>
      </c>
      <c r="B164" s="136">
        <v>1106007</v>
      </c>
      <c r="C164" s="127" t="s">
        <v>30</v>
      </c>
      <c r="D164" s="128" t="s">
        <v>353</v>
      </c>
      <c r="E164" s="282" t="s">
        <v>146</v>
      </c>
      <c r="F164" s="129" t="s">
        <v>33</v>
      </c>
      <c r="G164" s="147" t="s">
        <v>34</v>
      </c>
      <c r="H164" s="189">
        <f t="shared" si="2"/>
        <v>1.18</v>
      </c>
      <c r="I164" s="210" t="s">
        <v>2223</v>
      </c>
      <c r="J164" s="146">
        <v>0</v>
      </c>
      <c r="K164" s="147">
        <v>5</v>
      </c>
      <c r="L164" s="147">
        <v>1</v>
      </c>
      <c r="M164" s="147">
        <v>6</v>
      </c>
      <c r="N164" s="275">
        <v>8800</v>
      </c>
      <c r="O164" s="194"/>
      <c r="P164" s="179"/>
      <c r="Q164" s="173">
        <v>1.18</v>
      </c>
      <c r="R164" s="271">
        <v>0</v>
      </c>
      <c r="S164" s="164"/>
      <c r="T164" s="129" t="s">
        <v>116</v>
      </c>
      <c r="U164" s="147" t="s">
        <v>35</v>
      </c>
      <c r="V164" s="129"/>
      <c r="W164" s="176" t="s">
        <v>54</v>
      </c>
      <c r="X164" s="205"/>
      <c r="Y164" s="251"/>
      <c r="Z164" s="290"/>
      <c r="AA164" s="286"/>
    </row>
    <row r="165" spans="1:27" hidden="1" x14ac:dyDescent="0.25">
      <c r="A165" s="131">
        <v>1</v>
      </c>
      <c r="B165" s="136">
        <v>1106008</v>
      </c>
      <c r="C165" s="127" t="s">
        <v>30</v>
      </c>
      <c r="D165" s="128" t="s">
        <v>354</v>
      </c>
      <c r="E165" s="282" t="s">
        <v>146</v>
      </c>
      <c r="F165" s="129" t="s">
        <v>1611</v>
      </c>
      <c r="G165" s="147" t="s">
        <v>34</v>
      </c>
      <c r="H165" s="189">
        <f t="shared" si="2"/>
        <v>2.0919999999999996</v>
      </c>
      <c r="I165" s="134" t="s">
        <v>2082</v>
      </c>
      <c r="J165" s="146">
        <v>30</v>
      </c>
      <c r="K165" s="147">
        <v>5</v>
      </c>
      <c r="L165" s="147">
        <v>2</v>
      </c>
      <c r="M165" s="147">
        <v>7</v>
      </c>
      <c r="N165" s="275">
        <v>1300</v>
      </c>
      <c r="O165" s="194">
        <v>2.21</v>
      </c>
      <c r="P165" s="179">
        <v>44970</v>
      </c>
      <c r="Q165" s="173">
        <v>2.0419999999999998</v>
      </c>
      <c r="R165" s="271">
        <v>0.05</v>
      </c>
      <c r="S165" s="164"/>
      <c r="T165" s="129" t="s">
        <v>36</v>
      </c>
      <c r="U165" s="147" t="s">
        <v>37</v>
      </c>
      <c r="V165" s="129"/>
      <c r="W165" s="176" t="s">
        <v>54</v>
      </c>
      <c r="X165" s="205"/>
      <c r="Y165" s="251"/>
      <c r="Z165" s="290"/>
      <c r="AA165" s="286"/>
    </row>
    <row r="166" spans="1:27" hidden="1" x14ac:dyDescent="0.25">
      <c r="A166" s="131">
        <v>1</v>
      </c>
      <c r="B166" s="136">
        <v>1106009</v>
      </c>
      <c r="C166" s="127" t="s">
        <v>30</v>
      </c>
      <c r="D166" s="128" t="s">
        <v>355</v>
      </c>
      <c r="E166" s="282" t="s">
        <v>146</v>
      </c>
      <c r="F166" s="129" t="s">
        <v>1611</v>
      </c>
      <c r="G166" s="147" t="s">
        <v>34</v>
      </c>
      <c r="H166" s="189">
        <f t="shared" si="2"/>
        <v>2.3499999999999996</v>
      </c>
      <c r="I166" s="134" t="s">
        <v>2082</v>
      </c>
      <c r="J166" s="148">
        <v>30</v>
      </c>
      <c r="K166" s="147">
        <v>5</v>
      </c>
      <c r="L166" s="147">
        <v>2</v>
      </c>
      <c r="M166" s="147">
        <v>7</v>
      </c>
      <c r="N166" s="275">
        <v>1300</v>
      </c>
      <c r="O166" s="194"/>
      <c r="P166" s="179"/>
      <c r="Q166" s="173">
        <v>2.2999999999999998</v>
      </c>
      <c r="R166" s="260">
        <v>0.05</v>
      </c>
      <c r="S166" s="164"/>
      <c r="T166" s="129" t="s">
        <v>36</v>
      </c>
      <c r="U166" s="147" t="s">
        <v>37</v>
      </c>
      <c r="V166" s="129"/>
      <c r="W166" s="162" t="s">
        <v>54</v>
      </c>
      <c r="X166" s="205"/>
      <c r="Y166" s="251"/>
      <c r="Z166" s="290"/>
      <c r="AA166" s="286"/>
    </row>
    <row r="167" spans="1:27" s="181" customFormat="1" hidden="1" x14ac:dyDescent="0.25">
      <c r="A167" s="131">
        <v>1</v>
      </c>
      <c r="B167" s="136">
        <v>1106010</v>
      </c>
      <c r="C167" s="127" t="s">
        <v>30</v>
      </c>
      <c r="D167" s="128" t="s">
        <v>356</v>
      </c>
      <c r="E167" s="282" t="s">
        <v>146</v>
      </c>
      <c r="F167" s="129" t="s">
        <v>357</v>
      </c>
      <c r="G167" s="147" t="s">
        <v>34</v>
      </c>
      <c r="H167" s="189">
        <f t="shared" si="2"/>
        <v>1.01</v>
      </c>
      <c r="I167" s="134"/>
      <c r="J167" s="150"/>
      <c r="K167" s="147"/>
      <c r="L167" s="147"/>
      <c r="M167" s="147">
        <v>4</v>
      </c>
      <c r="N167" s="275">
        <v>30300</v>
      </c>
      <c r="O167" s="194"/>
      <c r="P167" s="179"/>
      <c r="Q167" s="173">
        <v>1.01</v>
      </c>
      <c r="R167" s="271">
        <v>0</v>
      </c>
      <c r="S167" s="164" t="s">
        <v>35</v>
      </c>
      <c r="T167" s="129" t="s">
        <v>358</v>
      </c>
      <c r="U167" s="147" t="s">
        <v>37</v>
      </c>
      <c r="V167" s="129"/>
      <c r="W167" s="176" t="s">
        <v>54</v>
      </c>
      <c r="X167" s="205"/>
      <c r="Y167" s="251"/>
      <c r="Z167" s="290"/>
      <c r="AA167" s="230"/>
    </row>
    <row r="168" spans="1:27" s="181" customFormat="1" ht="24" hidden="1" x14ac:dyDescent="0.25">
      <c r="A168" s="131">
        <v>1</v>
      </c>
      <c r="B168" s="136">
        <v>1106011</v>
      </c>
      <c r="C168" s="127" t="s">
        <v>30</v>
      </c>
      <c r="D168" s="128" t="s">
        <v>362</v>
      </c>
      <c r="E168" s="282" t="s">
        <v>146</v>
      </c>
      <c r="F168" s="129" t="s">
        <v>363</v>
      </c>
      <c r="G168" s="147" t="s">
        <v>34</v>
      </c>
      <c r="H168" s="189">
        <f t="shared" si="2"/>
        <v>0</v>
      </c>
      <c r="I168" s="213"/>
      <c r="J168" s="149"/>
      <c r="K168" s="147">
        <v>11</v>
      </c>
      <c r="L168" s="147">
        <v>1</v>
      </c>
      <c r="M168" s="147">
        <v>12</v>
      </c>
      <c r="N168" s="275"/>
      <c r="O168" s="194"/>
      <c r="P168" s="179"/>
      <c r="Q168" s="173"/>
      <c r="R168" s="260">
        <v>0</v>
      </c>
      <c r="S168" s="164"/>
      <c r="T168" s="129"/>
      <c r="U168" s="147" t="s">
        <v>37</v>
      </c>
      <c r="V168" s="129"/>
      <c r="W168" s="162" t="s">
        <v>54</v>
      </c>
      <c r="X168" s="205"/>
      <c r="Y168" s="251"/>
      <c r="Z168" s="290"/>
      <c r="AA168" s="286"/>
    </row>
    <row r="169" spans="1:27" ht="24" hidden="1" x14ac:dyDescent="0.25">
      <c r="A169" s="131">
        <v>1</v>
      </c>
      <c r="B169" s="136">
        <v>1106012</v>
      </c>
      <c r="C169" s="127" t="s">
        <v>30</v>
      </c>
      <c r="D169" s="128" t="s">
        <v>364</v>
      </c>
      <c r="E169" s="282" t="s">
        <v>146</v>
      </c>
      <c r="F169" s="129" t="s">
        <v>1788</v>
      </c>
      <c r="G169" s="147" t="s">
        <v>34</v>
      </c>
      <c r="H169" s="189">
        <f t="shared" si="2"/>
        <v>2.915</v>
      </c>
      <c r="I169" s="180" t="s">
        <v>2082</v>
      </c>
      <c r="J169" s="146">
        <v>0</v>
      </c>
      <c r="K169" s="147">
        <v>6</v>
      </c>
      <c r="L169" s="147">
        <v>2</v>
      </c>
      <c r="M169" s="147">
        <v>8</v>
      </c>
      <c r="N169" s="275">
        <v>2200</v>
      </c>
      <c r="O169" s="194"/>
      <c r="P169" s="179"/>
      <c r="Q169" s="173">
        <v>2.8650000000000002</v>
      </c>
      <c r="R169" s="260">
        <v>0.05</v>
      </c>
      <c r="S169" s="164"/>
      <c r="T169" s="129" t="s">
        <v>36</v>
      </c>
      <c r="U169" s="147" t="s">
        <v>35</v>
      </c>
      <c r="V169" s="129"/>
      <c r="W169" s="162" t="s">
        <v>54</v>
      </c>
      <c r="X169" s="205"/>
      <c r="Y169" s="251"/>
      <c r="Z169" s="290"/>
      <c r="AA169" s="286"/>
    </row>
    <row r="170" spans="1:27" hidden="1" x14ac:dyDescent="0.25">
      <c r="A170" s="131">
        <v>1</v>
      </c>
      <c r="B170" s="136">
        <v>1106013</v>
      </c>
      <c r="C170" s="127" t="s">
        <v>30</v>
      </c>
      <c r="D170" s="136" t="s">
        <v>366</v>
      </c>
      <c r="E170" s="151" t="s">
        <v>146</v>
      </c>
      <c r="F170" s="129" t="s">
        <v>1748</v>
      </c>
      <c r="G170" s="147" t="s">
        <v>34</v>
      </c>
      <c r="H170" s="189">
        <f t="shared" si="2"/>
        <v>2.3245</v>
      </c>
      <c r="I170" s="134" t="s">
        <v>2082</v>
      </c>
      <c r="J170" s="146">
        <v>0</v>
      </c>
      <c r="K170" s="147">
        <v>3</v>
      </c>
      <c r="L170" s="147">
        <v>2</v>
      </c>
      <c r="M170" s="147">
        <v>5</v>
      </c>
      <c r="N170" s="275"/>
      <c r="O170" s="194">
        <v>1.6844999999999999</v>
      </c>
      <c r="P170" s="179">
        <v>44273</v>
      </c>
      <c r="Q170" s="173">
        <v>2.27</v>
      </c>
      <c r="R170" s="271">
        <v>5.45E-2</v>
      </c>
      <c r="S170" s="164"/>
      <c r="T170" s="129" t="s">
        <v>365</v>
      </c>
      <c r="U170" s="147" t="s">
        <v>35</v>
      </c>
      <c r="V170" s="129"/>
      <c r="W170" s="176" t="s">
        <v>54</v>
      </c>
      <c r="X170" s="205"/>
      <c r="Y170" s="251"/>
      <c r="Z170" s="290"/>
      <c r="AA170" s="286"/>
    </row>
    <row r="171" spans="1:27" x14ac:dyDescent="0.25">
      <c r="A171" s="131">
        <v>1</v>
      </c>
      <c r="B171" s="136">
        <v>1106014</v>
      </c>
      <c r="C171" s="127" t="s">
        <v>30</v>
      </c>
      <c r="D171" s="136" t="s">
        <v>367</v>
      </c>
      <c r="E171" s="147" t="s">
        <v>146</v>
      </c>
      <c r="F171" s="129" t="s">
        <v>307</v>
      </c>
      <c r="G171" s="147" t="s">
        <v>34</v>
      </c>
      <c r="H171" s="189">
        <f t="shared" si="2"/>
        <v>1.994</v>
      </c>
      <c r="I171" s="210" t="s">
        <v>2082</v>
      </c>
      <c r="J171" s="146">
        <v>0</v>
      </c>
      <c r="K171" s="147">
        <v>7</v>
      </c>
      <c r="L171" s="147">
        <v>2</v>
      </c>
      <c r="M171" s="147">
        <v>9</v>
      </c>
      <c r="N171" s="275">
        <v>5600</v>
      </c>
      <c r="O171" s="173">
        <f>1.853+0.05</f>
        <v>1.903</v>
      </c>
      <c r="P171" s="179">
        <v>46149</v>
      </c>
      <c r="Q171" s="173">
        <v>1.944</v>
      </c>
      <c r="R171" s="271">
        <v>0.05</v>
      </c>
      <c r="S171" s="164"/>
      <c r="T171" s="129" t="s">
        <v>36</v>
      </c>
      <c r="U171" s="147" t="s">
        <v>37</v>
      </c>
      <c r="V171" s="129"/>
      <c r="W171" s="147" t="s">
        <v>2208</v>
      </c>
      <c r="X171" s="205" t="s">
        <v>1009</v>
      </c>
      <c r="Y171" s="251"/>
      <c r="Z171" s="290"/>
      <c r="AA171" s="286" t="s">
        <v>1611</v>
      </c>
    </row>
    <row r="172" spans="1:27" x14ac:dyDescent="0.25">
      <c r="A172" s="131">
        <v>1</v>
      </c>
      <c r="B172" s="136">
        <v>1106015</v>
      </c>
      <c r="C172" s="127" t="s">
        <v>30</v>
      </c>
      <c r="D172" s="136" t="s">
        <v>368</v>
      </c>
      <c r="E172" s="147" t="s">
        <v>146</v>
      </c>
      <c r="F172" s="129" t="s">
        <v>2104</v>
      </c>
      <c r="G172" s="147" t="s">
        <v>34</v>
      </c>
      <c r="H172" s="189">
        <f t="shared" si="2"/>
        <v>0.91</v>
      </c>
      <c r="I172" s="223" t="s">
        <v>2082</v>
      </c>
      <c r="J172" s="146">
        <v>30</v>
      </c>
      <c r="K172" s="147">
        <v>7</v>
      </c>
      <c r="L172" s="147">
        <v>2</v>
      </c>
      <c r="M172" s="147">
        <v>9</v>
      </c>
      <c r="N172" s="275">
        <v>15000</v>
      </c>
      <c r="O172" s="193">
        <v>1.375</v>
      </c>
      <c r="P172" s="179">
        <v>45743</v>
      </c>
      <c r="Q172" s="173">
        <v>0.86</v>
      </c>
      <c r="R172" s="271">
        <v>0.05</v>
      </c>
      <c r="S172" s="164"/>
      <c r="T172" s="129" t="s">
        <v>358</v>
      </c>
      <c r="U172" s="147" t="s">
        <v>37</v>
      </c>
      <c r="V172" s="129"/>
      <c r="W172" s="147" t="s">
        <v>2208</v>
      </c>
      <c r="X172" s="205" t="s">
        <v>1009</v>
      </c>
      <c r="Y172" s="251"/>
      <c r="Z172" s="290"/>
      <c r="AA172" s="286" t="s">
        <v>2104</v>
      </c>
    </row>
    <row r="173" spans="1:27" hidden="1" x14ac:dyDescent="0.25">
      <c r="A173" s="131">
        <v>1</v>
      </c>
      <c r="B173" s="136">
        <v>1106016</v>
      </c>
      <c r="C173" s="127" t="s">
        <v>30</v>
      </c>
      <c r="D173" s="136" t="s">
        <v>369</v>
      </c>
      <c r="E173" s="147" t="s">
        <v>146</v>
      </c>
      <c r="F173" s="129" t="s">
        <v>1748</v>
      </c>
      <c r="G173" s="147" t="s">
        <v>34</v>
      </c>
      <c r="H173" s="189">
        <f t="shared" si="2"/>
        <v>0</v>
      </c>
      <c r="I173" s="134" t="s">
        <v>2082</v>
      </c>
      <c r="J173" s="146">
        <v>0</v>
      </c>
      <c r="K173" s="147">
        <v>4</v>
      </c>
      <c r="L173" s="147">
        <v>2</v>
      </c>
      <c r="M173" s="147">
        <v>6</v>
      </c>
      <c r="N173" s="275"/>
      <c r="O173" s="194"/>
      <c r="P173" s="179"/>
      <c r="Q173" s="173"/>
      <c r="R173" s="271">
        <v>0</v>
      </c>
      <c r="S173" s="164"/>
      <c r="T173" s="129" t="s">
        <v>370</v>
      </c>
      <c r="U173" s="147" t="s">
        <v>37</v>
      </c>
      <c r="V173" s="129"/>
      <c r="W173" s="176" t="s">
        <v>54</v>
      </c>
      <c r="X173" s="205"/>
      <c r="Y173" s="251"/>
      <c r="Z173" s="290"/>
      <c r="AA173" s="286"/>
    </row>
    <row r="174" spans="1:27" s="181" customFormat="1" hidden="1" x14ac:dyDescent="0.25">
      <c r="A174" s="131">
        <v>1</v>
      </c>
      <c r="B174" s="136">
        <v>1106017</v>
      </c>
      <c r="C174" s="127" t="s">
        <v>30</v>
      </c>
      <c r="D174" s="136" t="s">
        <v>1828</v>
      </c>
      <c r="E174" s="147" t="s">
        <v>372</v>
      </c>
      <c r="F174" s="129" t="s">
        <v>329</v>
      </c>
      <c r="G174" s="147" t="s">
        <v>34</v>
      </c>
      <c r="H174" s="189">
        <f t="shared" si="2"/>
        <v>1.4712000000000001</v>
      </c>
      <c r="I174" s="180" t="s">
        <v>2213</v>
      </c>
      <c r="J174" s="150"/>
      <c r="K174" s="147">
        <v>2</v>
      </c>
      <c r="L174" s="147">
        <v>2</v>
      </c>
      <c r="M174" s="147">
        <v>4</v>
      </c>
      <c r="N174" s="275"/>
      <c r="O174" s="194"/>
      <c r="P174" s="179">
        <v>45223</v>
      </c>
      <c r="Q174" s="173">
        <v>1.4212</v>
      </c>
      <c r="R174" s="271">
        <v>0.05</v>
      </c>
      <c r="S174" s="164"/>
      <c r="T174" s="128" t="s">
        <v>329</v>
      </c>
      <c r="U174" s="147" t="s">
        <v>35</v>
      </c>
      <c r="V174" s="129" t="s">
        <v>1605</v>
      </c>
      <c r="W174" s="176" t="s">
        <v>2519</v>
      </c>
      <c r="X174" s="205"/>
      <c r="Y174" s="251"/>
      <c r="Z174" s="290"/>
      <c r="AA174" s="286"/>
    </row>
    <row r="175" spans="1:27" x14ac:dyDescent="0.25">
      <c r="A175" s="131">
        <v>1</v>
      </c>
      <c r="B175" s="136">
        <v>1106018</v>
      </c>
      <c r="C175" s="127" t="s">
        <v>30</v>
      </c>
      <c r="D175" s="136" t="s">
        <v>373</v>
      </c>
      <c r="E175" s="147" t="s">
        <v>146</v>
      </c>
      <c r="F175" s="129" t="s">
        <v>1791</v>
      </c>
      <c r="G175" s="147" t="s">
        <v>34</v>
      </c>
      <c r="H175" s="189">
        <f t="shared" si="2"/>
        <v>3.51</v>
      </c>
      <c r="I175" s="223" t="s">
        <v>2082</v>
      </c>
      <c r="J175" s="146">
        <v>30</v>
      </c>
      <c r="K175" s="147">
        <v>12</v>
      </c>
      <c r="L175" s="147">
        <v>2</v>
      </c>
      <c r="M175" s="147">
        <v>14</v>
      </c>
      <c r="N175" s="275">
        <v>3308</v>
      </c>
      <c r="O175" s="193">
        <v>3.65</v>
      </c>
      <c r="P175" s="179">
        <v>46134</v>
      </c>
      <c r="Q175" s="173">
        <v>3.46</v>
      </c>
      <c r="R175" s="271">
        <v>0.05</v>
      </c>
      <c r="S175" s="164"/>
      <c r="T175" s="128" t="s">
        <v>36</v>
      </c>
      <c r="U175" s="147" t="s">
        <v>37</v>
      </c>
      <c r="V175" s="129"/>
      <c r="W175" s="147" t="s">
        <v>2208</v>
      </c>
      <c r="X175" s="205" t="s">
        <v>1009</v>
      </c>
      <c r="Y175" s="251"/>
      <c r="Z175" s="290"/>
      <c r="AA175" s="286" t="s">
        <v>2689</v>
      </c>
    </row>
    <row r="176" spans="1:27" s="181" customFormat="1" hidden="1" x14ac:dyDescent="0.25">
      <c r="A176" s="131">
        <v>1</v>
      </c>
      <c r="B176" s="136">
        <v>1106019</v>
      </c>
      <c r="C176" s="127" t="s">
        <v>30</v>
      </c>
      <c r="D176" s="136" t="s">
        <v>1598</v>
      </c>
      <c r="E176" s="147" t="s">
        <v>146</v>
      </c>
      <c r="F176" s="129" t="s">
        <v>329</v>
      </c>
      <c r="G176" s="147" t="s">
        <v>34</v>
      </c>
      <c r="H176" s="189">
        <f t="shared" si="2"/>
        <v>0.05</v>
      </c>
      <c r="I176" s="180" t="s">
        <v>2213</v>
      </c>
      <c r="J176" s="150"/>
      <c r="K176" s="147">
        <v>2</v>
      </c>
      <c r="L176" s="147">
        <v>2</v>
      </c>
      <c r="M176" s="147">
        <v>4</v>
      </c>
      <c r="N176" s="275"/>
      <c r="O176" s="194"/>
      <c r="P176" s="179"/>
      <c r="Q176" s="173"/>
      <c r="R176" s="271">
        <v>0.05</v>
      </c>
      <c r="S176" s="164"/>
      <c r="T176" s="128" t="s">
        <v>329</v>
      </c>
      <c r="U176" s="147" t="s">
        <v>35</v>
      </c>
      <c r="V176" s="129"/>
      <c r="W176" s="176" t="s">
        <v>2519</v>
      </c>
      <c r="X176" s="205"/>
      <c r="Y176" s="251"/>
      <c r="Z176" s="290"/>
      <c r="AA176" s="286"/>
    </row>
    <row r="177" spans="1:27" hidden="1" x14ac:dyDescent="0.25">
      <c r="A177" s="131">
        <v>1</v>
      </c>
      <c r="B177" s="136">
        <v>1107001</v>
      </c>
      <c r="C177" s="127" t="s">
        <v>30</v>
      </c>
      <c r="D177" s="128" t="s">
        <v>377</v>
      </c>
      <c r="E177" s="151" t="s">
        <v>378</v>
      </c>
      <c r="F177" s="129" t="s">
        <v>1791</v>
      </c>
      <c r="G177" s="147" t="s">
        <v>34</v>
      </c>
      <c r="H177" s="189">
        <f t="shared" si="2"/>
        <v>6.53</v>
      </c>
      <c r="I177" s="180" t="s">
        <v>2082</v>
      </c>
      <c r="J177" s="146">
        <v>30</v>
      </c>
      <c r="K177" s="147">
        <v>2</v>
      </c>
      <c r="L177" s="147">
        <v>2</v>
      </c>
      <c r="M177" s="147">
        <v>4</v>
      </c>
      <c r="N177" s="275">
        <v>1102</v>
      </c>
      <c r="O177" s="194"/>
      <c r="P177" s="179">
        <v>44684</v>
      </c>
      <c r="Q177" s="173">
        <v>6.53</v>
      </c>
      <c r="R177" s="271">
        <v>0</v>
      </c>
      <c r="S177" s="164"/>
      <c r="T177" s="129" t="s">
        <v>36</v>
      </c>
      <c r="U177" s="147" t="s">
        <v>37</v>
      </c>
      <c r="V177" s="129"/>
      <c r="W177" s="176" t="s">
        <v>54</v>
      </c>
      <c r="X177" s="205"/>
      <c r="Y177" s="251"/>
      <c r="Z177" s="290"/>
      <c r="AA177" s="286"/>
    </row>
    <row r="178" spans="1:27" ht="24" hidden="1" x14ac:dyDescent="0.25">
      <c r="A178" s="131">
        <v>1</v>
      </c>
      <c r="B178" s="136">
        <v>1107002</v>
      </c>
      <c r="C178" s="127" t="s">
        <v>30</v>
      </c>
      <c r="D178" s="128" t="s">
        <v>379</v>
      </c>
      <c r="E178" s="151" t="s">
        <v>380</v>
      </c>
      <c r="F178" s="129" t="s">
        <v>307</v>
      </c>
      <c r="G178" s="147" t="s">
        <v>34</v>
      </c>
      <c r="H178" s="189">
        <f t="shared" si="2"/>
        <v>0</v>
      </c>
      <c r="I178" s="134" t="s">
        <v>2082</v>
      </c>
      <c r="J178" s="146">
        <v>0</v>
      </c>
      <c r="K178" s="147">
        <v>2</v>
      </c>
      <c r="L178" s="147">
        <v>2</v>
      </c>
      <c r="M178" s="147">
        <v>4</v>
      </c>
      <c r="N178" s="275">
        <v>55</v>
      </c>
      <c r="O178" s="194"/>
      <c r="P178" s="179"/>
      <c r="Q178" s="173"/>
      <c r="R178" s="260">
        <v>0</v>
      </c>
      <c r="S178" s="164"/>
      <c r="T178" s="129" t="s">
        <v>36</v>
      </c>
      <c r="U178" s="147" t="s">
        <v>35</v>
      </c>
      <c r="V178" s="129"/>
      <c r="W178" s="162" t="s">
        <v>54</v>
      </c>
      <c r="X178" s="205"/>
      <c r="Y178" s="251"/>
      <c r="Z178" s="290"/>
      <c r="AA178" s="286"/>
    </row>
    <row r="179" spans="1:27" s="181" customFormat="1" ht="24" hidden="1" x14ac:dyDescent="0.25">
      <c r="A179" s="131">
        <v>1</v>
      </c>
      <c r="B179" s="136">
        <v>1107004</v>
      </c>
      <c r="C179" s="127" t="s">
        <v>30</v>
      </c>
      <c r="D179" s="128" t="s">
        <v>381</v>
      </c>
      <c r="E179" s="151" t="s">
        <v>138</v>
      </c>
      <c r="F179" s="129" t="s">
        <v>382</v>
      </c>
      <c r="G179" s="147" t="s">
        <v>34</v>
      </c>
      <c r="H179" s="189">
        <f t="shared" si="2"/>
        <v>0</v>
      </c>
      <c r="I179" s="213"/>
      <c r="J179" s="149"/>
      <c r="K179" s="147"/>
      <c r="L179" s="147"/>
      <c r="M179" s="147">
        <v>4</v>
      </c>
      <c r="N179" s="275"/>
      <c r="O179" s="194"/>
      <c r="P179" s="179"/>
      <c r="Q179" s="173"/>
      <c r="R179" s="260">
        <v>0</v>
      </c>
      <c r="S179" s="167"/>
      <c r="T179" s="129" t="s">
        <v>382</v>
      </c>
      <c r="U179" s="147" t="s">
        <v>37</v>
      </c>
      <c r="V179" s="129"/>
      <c r="W179" s="162" t="s">
        <v>2519</v>
      </c>
      <c r="X179" s="205"/>
      <c r="Y179" s="251"/>
      <c r="Z179" s="290"/>
      <c r="AA179" s="286"/>
    </row>
    <row r="180" spans="1:27" s="181" customFormat="1" hidden="1" x14ac:dyDescent="0.25">
      <c r="A180" s="131">
        <v>1</v>
      </c>
      <c r="B180" s="136">
        <v>1107005</v>
      </c>
      <c r="C180" s="127" t="s">
        <v>30</v>
      </c>
      <c r="D180" s="128" t="s">
        <v>383</v>
      </c>
      <c r="E180" s="282" t="s">
        <v>380</v>
      </c>
      <c r="F180" s="129" t="s">
        <v>384</v>
      </c>
      <c r="G180" s="147" t="s">
        <v>34</v>
      </c>
      <c r="H180" s="189">
        <f t="shared" si="2"/>
        <v>0</v>
      </c>
      <c r="I180" s="213"/>
      <c r="J180" s="149"/>
      <c r="K180" s="147"/>
      <c r="L180" s="147"/>
      <c r="M180" s="147">
        <v>1</v>
      </c>
      <c r="N180" s="275"/>
      <c r="O180" s="194"/>
      <c r="P180" s="179"/>
      <c r="Q180" s="173"/>
      <c r="R180" s="260">
        <v>0</v>
      </c>
      <c r="S180" s="167"/>
      <c r="T180" s="129" t="s">
        <v>64</v>
      </c>
      <c r="U180" s="147" t="s">
        <v>37</v>
      </c>
      <c r="V180" s="129"/>
      <c r="W180" s="162" t="s">
        <v>54</v>
      </c>
      <c r="X180" s="205"/>
      <c r="Y180" s="251"/>
      <c r="Z180" s="290"/>
      <c r="AA180" s="286"/>
    </row>
    <row r="181" spans="1:27" s="181" customFormat="1" hidden="1" x14ac:dyDescent="0.25">
      <c r="A181" s="131">
        <v>1</v>
      </c>
      <c r="B181" s="136">
        <v>1107006</v>
      </c>
      <c r="C181" s="127" t="s">
        <v>30</v>
      </c>
      <c r="D181" s="128" t="s">
        <v>385</v>
      </c>
      <c r="E181" s="282" t="s">
        <v>138</v>
      </c>
      <c r="F181" s="129" t="s">
        <v>384</v>
      </c>
      <c r="G181" s="147" t="s">
        <v>34</v>
      </c>
      <c r="H181" s="189">
        <f t="shared" si="2"/>
        <v>0</v>
      </c>
      <c r="I181" s="213"/>
      <c r="J181" s="149"/>
      <c r="K181" s="147"/>
      <c r="L181" s="147"/>
      <c r="M181" s="147">
        <v>1</v>
      </c>
      <c r="N181" s="275">
        <v>55</v>
      </c>
      <c r="O181" s="194"/>
      <c r="P181" s="179"/>
      <c r="Q181" s="173"/>
      <c r="R181" s="260">
        <v>0</v>
      </c>
      <c r="S181" s="167"/>
      <c r="T181" s="129" t="s">
        <v>36</v>
      </c>
      <c r="U181" s="147" t="s">
        <v>37</v>
      </c>
      <c r="V181" s="129"/>
      <c r="W181" s="162" t="s">
        <v>54</v>
      </c>
      <c r="X181" s="205"/>
      <c r="Y181" s="251"/>
      <c r="Z181" s="290"/>
      <c r="AA181" s="286"/>
    </row>
    <row r="182" spans="1:27" ht="24" hidden="1" x14ac:dyDescent="0.25">
      <c r="A182" s="131">
        <v>1</v>
      </c>
      <c r="B182" s="136">
        <v>1107007</v>
      </c>
      <c r="C182" s="127" t="s">
        <v>30</v>
      </c>
      <c r="D182" s="128" t="s">
        <v>386</v>
      </c>
      <c r="E182" s="282" t="s">
        <v>259</v>
      </c>
      <c r="F182" s="129" t="s">
        <v>33</v>
      </c>
      <c r="G182" s="147" t="s">
        <v>34</v>
      </c>
      <c r="H182" s="189">
        <f t="shared" si="2"/>
        <v>2.87</v>
      </c>
      <c r="I182" s="210" t="s">
        <v>2223</v>
      </c>
      <c r="J182" s="146">
        <v>0</v>
      </c>
      <c r="K182" s="147">
        <v>5</v>
      </c>
      <c r="L182" s="147">
        <v>1</v>
      </c>
      <c r="M182" s="147">
        <v>6</v>
      </c>
      <c r="N182" s="275">
        <v>8800</v>
      </c>
      <c r="O182" s="194"/>
      <c r="P182" s="179"/>
      <c r="Q182" s="173">
        <v>2.87</v>
      </c>
      <c r="R182" s="271">
        <v>0</v>
      </c>
      <c r="S182" s="164"/>
      <c r="T182" s="129" t="s">
        <v>234</v>
      </c>
      <c r="U182" s="147" t="s">
        <v>37</v>
      </c>
      <c r="V182" s="129"/>
      <c r="W182" s="162" t="s">
        <v>54</v>
      </c>
      <c r="X182" s="205"/>
      <c r="Y182" s="251"/>
      <c r="Z182" s="290"/>
      <c r="AA182" s="286"/>
    </row>
    <row r="183" spans="1:27" s="181" customFormat="1" hidden="1" x14ac:dyDescent="0.25">
      <c r="A183" s="131">
        <v>1</v>
      </c>
      <c r="B183" s="136">
        <v>1107008</v>
      </c>
      <c r="C183" s="127" t="s">
        <v>30</v>
      </c>
      <c r="D183" s="128" t="s">
        <v>387</v>
      </c>
      <c r="E183" s="282" t="s">
        <v>138</v>
      </c>
      <c r="F183" s="129" t="s">
        <v>384</v>
      </c>
      <c r="G183" s="147" t="s">
        <v>34</v>
      </c>
      <c r="H183" s="189">
        <f t="shared" si="2"/>
        <v>0</v>
      </c>
      <c r="I183" s="213"/>
      <c r="J183" s="149"/>
      <c r="K183" s="147">
        <v>12</v>
      </c>
      <c r="L183" s="147">
        <v>1</v>
      </c>
      <c r="M183" s="147">
        <v>13</v>
      </c>
      <c r="N183" s="275"/>
      <c r="O183" s="194"/>
      <c r="P183" s="179"/>
      <c r="Q183" s="173"/>
      <c r="R183" s="260">
        <v>0</v>
      </c>
      <c r="S183" s="167"/>
      <c r="T183" s="129" t="s">
        <v>64</v>
      </c>
      <c r="U183" s="147" t="s">
        <v>37</v>
      </c>
      <c r="V183" s="129"/>
      <c r="W183" s="162" t="s">
        <v>54</v>
      </c>
      <c r="X183" s="205"/>
      <c r="Y183" s="251"/>
      <c r="Z183" s="290"/>
      <c r="AA183" s="286"/>
    </row>
    <row r="184" spans="1:27" x14ac:dyDescent="0.25">
      <c r="A184" s="131">
        <v>1</v>
      </c>
      <c r="B184" s="136">
        <v>1107009</v>
      </c>
      <c r="C184" s="127" t="s">
        <v>30</v>
      </c>
      <c r="D184" s="128" t="s">
        <v>388</v>
      </c>
      <c r="E184" s="282" t="s">
        <v>80</v>
      </c>
      <c r="F184" s="129" t="s">
        <v>389</v>
      </c>
      <c r="G184" s="147" t="s">
        <v>34</v>
      </c>
      <c r="H184" s="189">
        <f t="shared" si="2"/>
        <v>5.847142857142857</v>
      </c>
      <c r="I184" s="210" t="s">
        <v>2082</v>
      </c>
      <c r="J184" s="146">
        <v>0</v>
      </c>
      <c r="K184" s="147">
        <v>6</v>
      </c>
      <c r="L184" s="147">
        <v>1</v>
      </c>
      <c r="M184" s="147">
        <v>7</v>
      </c>
      <c r="N184" s="275">
        <v>3500</v>
      </c>
      <c r="O184" s="193">
        <v>5.58</v>
      </c>
      <c r="P184" s="179">
        <v>45409</v>
      </c>
      <c r="Q184" s="173">
        <v>5.62</v>
      </c>
      <c r="R184" s="271">
        <v>0.22714285714285715</v>
      </c>
      <c r="S184" s="164"/>
      <c r="T184" s="129" t="s">
        <v>36</v>
      </c>
      <c r="U184" s="147" t="s">
        <v>37</v>
      </c>
      <c r="V184" s="129"/>
      <c r="W184" s="147" t="s">
        <v>2208</v>
      </c>
      <c r="X184" s="205" t="s">
        <v>1009</v>
      </c>
      <c r="Y184" s="251"/>
      <c r="Z184" s="290"/>
      <c r="AA184" s="286" t="s">
        <v>389</v>
      </c>
    </row>
    <row r="185" spans="1:27" x14ac:dyDescent="0.25">
      <c r="A185" s="131">
        <v>1</v>
      </c>
      <c r="B185" s="136">
        <v>1107010</v>
      </c>
      <c r="C185" s="127" t="s">
        <v>30</v>
      </c>
      <c r="D185" s="128" t="s">
        <v>393</v>
      </c>
      <c r="E185" s="282" t="s">
        <v>80</v>
      </c>
      <c r="F185" s="129" t="s">
        <v>389</v>
      </c>
      <c r="G185" s="147" t="s">
        <v>34</v>
      </c>
      <c r="H185" s="189">
        <f t="shared" si="2"/>
        <v>5.887142857142857</v>
      </c>
      <c r="I185" s="210" t="s">
        <v>2082</v>
      </c>
      <c r="J185" s="146">
        <v>0</v>
      </c>
      <c r="K185" s="147">
        <v>6</v>
      </c>
      <c r="L185" s="147">
        <v>1</v>
      </c>
      <c r="M185" s="147">
        <v>7</v>
      </c>
      <c r="N185" s="275">
        <v>3500</v>
      </c>
      <c r="O185" s="193">
        <v>2.5686</v>
      </c>
      <c r="P185" s="179">
        <v>44974</v>
      </c>
      <c r="Q185" s="173">
        <v>5.66</v>
      </c>
      <c r="R185" s="271">
        <v>0.22714285714285715</v>
      </c>
      <c r="S185" s="164"/>
      <c r="T185" s="129" t="s">
        <v>36</v>
      </c>
      <c r="U185" s="147" t="s">
        <v>37</v>
      </c>
      <c r="V185" s="129"/>
      <c r="W185" s="147" t="s">
        <v>2208</v>
      </c>
      <c r="X185" s="205" t="s">
        <v>1009</v>
      </c>
      <c r="Y185" s="251"/>
      <c r="Z185" s="290"/>
      <c r="AA185" s="286" t="s">
        <v>389</v>
      </c>
    </row>
    <row r="186" spans="1:27" s="181" customFormat="1" hidden="1" x14ac:dyDescent="0.25">
      <c r="A186" s="131">
        <v>1</v>
      </c>
      <c r="B186" s="136">
        <v>1107011</v>
      </c>
      <c r="C186" s="127" t="s">
        <v>30</v>
      </c>
      <c r="D186" s="128" t="s">
        <v>394</v>
      </c>
      <c r="E186" s="282" t="s">
        <v>380</v>
      </c>
      <c r="F186" s="129" t="s">
        <v>384</v>
      </c>
      <c r="G186" s="147" t="s">
        <v>34</v>
      </c>
      <c r="H186" s="189">
        <f t="shared" si="2"/>
        <v>0</v>
      </c>
      <c r="I186" s="213"/>
      <c r="J186" s="149"/>
      <c r="K186" s="147"/>
      <c r="L186" s="147"/>
      <c r="M186" s="147">
        <v>6</v>
      </c>
      <c r="N186" s="275">
        <v>1100</v>
      </c>
      <c r="O186" s="194"/>
      <c r="P186" s="179"/>
      <c r="Q186" s="173"/>
      <c r="R186" s="260">
        <v>0</v>
      </c>
      <c r="S186" s="167"/>
      <c r="T186" s="129" t="s">
        <v>36</v>
      </c>
      <c r="U186" s="147" t="s">
        <v>37</v>
      </c>
      <c r="V186" s="129"/>
      <c r="W186" s="162" t="s">
        <v>54</v>
      </c>
      <c r="X186" s="205"/>
      <c r="Y186" s="251"/>
      <c r="Z186" s="290"/>
      <c r="AA186" s="286"/>
    </row>
    <row r="187" spans="1:27" hidden="1" x14ac:dyDescent="0.25">
      <c r="A187" s="131">
        <v>1</v>
      </c>
      <c r="B187" s="136">
        <v>1107012</v>
      </c>
      <c r="C187" s="127" t="s">
        <v>30</v>
      </c>
      <c r="D187" s="128" t="s">
        <v>395</v>
      </c>
      <c r="E187" s="282" t="s">
        <v>317</v>
      </c>
      <c r="F187" s="129" t="s">
        <v>1748</v>
      </c>
      <c r="G187" s="147" t="s">
        <v>34</v>
      </c>
      <c r="H187" s="189">
        <f t="shared" si="2"/>
        <v>0</v>
      </c>
      <c r="I187" s="134" t="s">
        <v>2082</v>
      </c>
      <c r="J187" s="146">
        <v>0</v>
      </c>
      <c r="K187" s="147">
        <v>4</v>
      </c>
      <c r="L187" s="147">
        <v>2</v>
      </c>
      <c r="M187" s="147">
        <v>6</v>
      </c>
      <c r="N187" s="275">
        <v>1100</v>
      </c>
      <c r="O187" s="194"/>
      <c r="P187" s="179"/>
      <c r="Q187" s="173"/>
      <c r="R187" s="260">
        <v>0</v>
      </c>
      <c r="S187" s="167"/>
      <c r="T187" s="129" t="s">
        <v>36</v>
      </c>
      <c r="U187" s="147" t="s">
        <v>37</v>
      </c>
      <c r="V187" s="129"/>
      <c r="W187" s="162" t="s">
        <v>54</v>
      </c>
      <c r="X187" s="205"/>
      <c r="Y187" s="251"/>
      <c r="Z187" s="290"/>
      <c r="AA187" s="286"/>
    </row>
    <row r="188" spans="1:27" hidden="1" x14ac:dyDescent="0.25">
      <c r="A188" s="131">
        <v>1</v>
      </c>
      <c r="B188" s="136">
        <v>1107013</v>
      </c>
      <c r="C188" s="127" t="s">
        <v>30</v>
      </c>
      <c r="D188" s="128" t="s">
        <v>396</v>
      </c>
      <c r="E188" s="282" t="s">
        <v>380</v>
      </c>
      <c r="F188" s="129" t="s">
        <v>307</v>
      </c>
      <c r="G188" s="147" t="s">
        <v>34</v>
      </c>
      <c r="H188" s="189">
        <f t="shared" si="2"/>
        <v>0</v>
      </c>
      <c r="I188" s="134" t="s">
        <v>2082</v>
      </c>
      <c r="J188" s="146">
        <v>0</v>
      </c>
      <c r="K188" s="147">
        <v>2</v>
      </c>
      <c r="L188" s="147">
        <v>2</v>
      </c>
      <c r="M188" s="147">
        <v>4</v>
      </c>
      <c r="N188" s="275">
        <v>44</v>
      </c>
      <c r="O188" s="194"/>
      <c r="P188" s="179"/>
      <c r="Q188" s="173"/>
      <c r="R188" s="260">
        <v>0</v>
      </c>
      <c r="S188" s="164"/>
      <c r="T188" s="129" t="s">
        <v>36</v>
      </c>
      <c r="U188" s="147" t="s">
        <v>35</v>
      </c>
      <c r="V188" s="129"/>
      <c r="W188" s="162" t="s">
        <v>54</v>
      </c>
      <c r="X188" s="205"/>
      <c r="Y188" s="251"/>
      <c r="Z188" s="290"/>
      <c r="AA188" s="286"/>
    </row>
    <row r="189" spans="1:27" hidden="1" x14ac:dyDescent="0.25">
      <c r="A189" s="131">
        <v>1</v>
      </c>
      <c r="B189" s="136">
        <v>1107014</v>
      </c>
      <c r="C189" s="127" t="s">
        <v>30</v>
      </c>
      <c r="D189" s="128" t="s">
        <v>397</v>
      </c>
      <c r="E189" s="282" t="s">
        <v>380</v>
      </c>
      <c r="F189" s="129" t="s">
        <v>1748</v>
      </c>
      <c r="G189" s="147" t="s">
        <v>34</v>
      </c>
      <c r="H189" s="189">
        <f t="shared" si="2"/>
        <v>0</v>
      </c>
      <c r="I189" s="134" t="s">
        <v>2082</v>
      </c>
      <c r="J189" s="146">
        <v>0</v>
      </c>
      <c r="K189" s="147">
        <v>4</v>
      </c>
      <c r="L189" s="147">
        <v>2</v>
      </c>
      <c r="M189" s="147">
        <v>6</v>
      </c>
      <c r="N189" s="275"/>
      <c r="O189" s="194"/>
      <c r="P189" s="179"/>
      <c r="Q189" s="173"/>
      <c r="R189" s="271">
        <v>0</v>
      </c>
      <c r="S189" s="164"/>
      <c r="T189" s="129" t="s">
        <v>370</v>
      </c>
      <c r="U189" s="147" t="s">
        <v>37</v>
      </c>
      <c r="V189" s="129"/>
      <c r="W189" s="176" t="s">
        <v>54</v>
      </c>
      <c r="X189" s="205"/>
      <c r="Y189" s="251"/>
      <c r="Z189" s="290"/>
      <c r="AA189" s="286"/>
    </row>
    <row r="190" spans="1:27" x14ac:dyDescent="0.25">
      <c r="A190" s="131">
        <v>1</v>
      </c>
      <c r="B190" s="136">
        <v>1107015</v>
      </c>
      <c r="C190" s="127" t="s">
        <v>30</v>
      </c>
      <c r="D190" s="128" t="s">
        <v>398</v>
      </c>
      <c r="E190" s="282" t="s">
        <v>380</v>
      </c>
      <c r="F190" s="129" t="s">
        <v>1788</v>
      </c>
      <c r="G190" s="147" t="s">
        <v>34</v>
      </c>
      <c r="H190" s="189">
        <f t="shared" si="2"/>
        <v>4.5999999999999996</v>
      </c>
      <c r="I190" s="210" t="s">
        <v>2082</v>
      </c>
      <c r="J190" s="146">
        <v>0</v>
      </c>
      <c r="K190" s="147">
        <v>11</v>
      </c>
      <c r="L190" s="147">
        <v>1</v>
      </c>
      <c r="M190" s="147">
        <v>12</v>
      </c>
      <c r="N190" s="275">
        <v>3000</v>
      </c>
      <c r="O190" s="193">
        <f>3.75+0.05</f>
        <v>3.8</v>
      </c>
      <c r="P190" s="179">
        <v>46132</v>
      </c>
      <c r="Q190" s="173">
        <v>4.55</v>
      </c>
      <c r="R190" s="271">
        <v>0.05</v>
      </c>
      <c r="S190" s="164"/>
      <c r="T190" s="129" t="s">
        <v>36</v>
      </c>
      <c r="U190" s="147" t="s">
        <v>37</v>
      </c>
      <c r="V190" s="129"/>
      <c r="W190" s="147" t="s">
        <v>2208</v>
      </c>
      <c r="X190" s="205" t="s">
        <v>1009</v>
      </c>
      <c r="Y190" s="251"/>
      <c r="Z190" s="290"/>
      <c r="AA190" s="286" t="s">
        <v>2689</v>
      </c>
    </row>
    <row r="191" spans="1:27" s="181" customFormat="1" hidden="1" x14ac:dyDescent="0.25">
      <c r="A191" s="131">
        <v>1</v>
      </c>
      <c r="B191" s="136">
        <v>1107016</v>
      </c>
      <c r="C191" s="127" t="s">
        <v>30</v>
      </c>
      <c r="D191" s="128" t="s">
        <v>399</v>
      </c>
      <c r="E191" s="282" t="s">
        <v>138</v>
      </c>
      <c r="F191" s="129" t="s">
        <v>400</v>
      </c>
      <c r="G191" s="147" t="s">
        <v>34</v>
      </c>
      <c r="H191" s="189">
        <f t="shared" si="2"/>
        <v>4.21</v>
      </c>
      <c r="I191" s="134"/>
      <c r="J191" s="150"/>
      <c r="K191" s="147"/>
      <c r="L191" s="147"/>
      <c r="M191" s="147">
        <v>6</v>
      </c>
      <c r="N191" s="275"/>
      <c r="O191" s="194"/>
      <c r="P191" s="179"/>
      <c r="Q191" s="173">
        <v>4.21</v>
      </c>
      <c r="R191" s="271"/>
      <c r="S191" s="164" t="s">
        <v>35</v>
      </c>
      <c r="T191" s="129" t="s">
        <v>261</v>
      </c>
      <c r="U191" s="147" t="s">
        <v>35</v>
      </c>
      <c r="V191" s="129"/>
      <c r="W191" s="176" t="s">
        <v>54</v>
      </c>
      <c r="X191" s="205"/>
      <c r="Y191" s="251"/>
      <c r="Z191" s="290"/>
      <c r="AA191" s="230"/>
    </row>
    <row r="192" spans="1:27" x14ac:dyDescent="0.25">
      <c r="A192" s="131">
        <v>1</v>
      </c>
      <c r="B192" s="136">
        <v>1107017</v>
      </c>
      <c r="C192" s="127" t="s">
        <v>30</v>
      </c>
      <c r="D192" s="128" t="s">
        <v>403</v>
      </c>
      <c r="E192" s="282" t="s">
        <v>181</v>
      </c>
      <c r="F192" s="129" t="s">
        <v>2395</v>
      </c>
      <c r="G192" s="147" t="s">
        <v>34</v>
      </c>
      <c r="H192" s="189">
        <f t="shared" si="2"/>
        <v>5.3199999999999994</v>
      </c>
      <c r="I192" s="210" t="s">
        <v>2082</v>
      </c>
      <c r="J192" s="146">
        <v>0</v>
      </c>
      <c r="K192" s="147">
        <v>8</v>
      </c>
      <c r="L192" s="147">
        <v>2</v>
      </c>
      <c r="M192" s="147">
        <v>10</v>
      </c>
      <c r="N192" s="275">
        <v>1400</v>
      </c>
      <c r="O192" s="193">
        <v>4.76</v>
      </c>
      <c r="P192" s="179">
        <v>45146</v>
      </c>
      <c r="Q192" s="173">
        <v>5.27</v>
      </c>
      <c r="R192" s="271">
        <v>0.05</v>
      </c>
      <c r="S192" s="164"/>
      <c r="T192" s="129" t="s">
        <v>36</v>
      </c>
      <c r="U192" s="147" t="s">
        <v>37</v>
      </c>
      <c r="V192" s="129"/>
      <c r="W192" s="147" t="s">
        <v>2208</v>
      </c>
      <c r="X192" s="205" t="s">
        <v>1009</v>
      </c>
      <c r="Y192" s="251"/>
      <c r="Z192" s="290"/>
      <c r="AA192" s="286" t="s">
        <v>2692</v>
      </c>
    </row>
    <row r="193" spans="1:27" x14ac:dyDescent="0.25">
      <c r="A193" s="131">
        <v>1</v>
      </c>
      <c r="B193" s="136">
        <v>1107018</v>
      </c>
      <c r="C193" s="127" t="s">
        <v>30</v>
      </c>
      <c r="D193" s="128" t="s">
        <v>404</v>
      </c>
      <c r="E193" s="282" t="s">
        <v>138</v>
      </c>
      <c r="F193" s="129" t="s">
        <v>323</v>
      </c>
      <c r="G193" s="147" t="s">
        <v>34</v>
      </c>
      <c r="H193" s="189">
        <f t="shared" si="2"/>
        <v>14.4</v>
      </c>
      <c r="I193" s="210" t="s">
        <v>2082</v>
      </c>
      <c r="J193" s="146">
        <v>0</v>
      </c>
      <c r="K193" s="147">
        <v>8</v>
      </c>
      <c r="L193" s="147">
        <v>2</v>
      </c>
      <c r="M193" s="147">
        <v>10</v>
      </c>
      <c r="N193" s="275">
        <v>441</v>
      </c>
      <c r="O193" s="193"/>
      <c r="P193" s="179">
        <v>45355</v>
      </c>
      <c r="Q193" s="173">
        <v>14.35</v>
      </c>
      <c r="R193" s="271">
        <v>0.05</v>
      </c>
      <c r="S193" s="164"/>
      <c r="T193" s="129" t="s">
        <v>36</v>
      </c>
      <c r="U193" s="147" t="s">
        <v>35</v>
      </c>
      <c r="V193" s="129"/>
      <c r="W193" s="147" t="s">
        <v>2208</v>
      </c>
      <c r="X193" s="205" t="s">
        <v>1904</v>
      </c>
      <c r="Y193" s="251"/>
      <c r="Z193" s="290"/>
      <c r="AA193" s="286" t="s">
        <v>33</v>
      </c>
    </row>
    <row r="194" spans="1:27" x14ac:dyDescent="0.25">
      <c r="A194" s="131">
        <v>1</v>
      </c>
      <c r="B194" s="136">
        <v>1107019</v>
      </c>
      <c r="C194" s="127" t="s">
        <v>30</v>
      </c>
      <c r="D194" s="128" t="s">
        <v>405</v>
      </c>
      <c r="E194" s="282" t="s">
        <v>380</v>
      </c>
      <c r="F194" s="129" t="s">
        <v>1788</v>
      </c>
      <c r="G194" s="147" t="s">
        <v>34</v>
      </c>
      <c r="H194" s="189">
        <f t="shared" si="2"/>
        <v>3.9</v>
      </c>
      <c r="I194" s="223" t="s">
        <v>2082</v>
      </c>
      <c r="J194" s="146">
        <v>0</v>
      </c>
      <c r="K194" s="147">
        <v>8</v>
      </c>
      <c r="L194" s="147">
        <v>2</v>
      </c>
      <c r="M194" s="147">
        <v>10</v>
      </c>
      <c r="N194" s="275">
        <v>220</v>
      </c>
      <c r="O194" s="193">
        <v>4.4800000000000004</v>
      </c>
      <c r="P194" s="179">
        <v>45373</v>
      </c>
      <c r="Q194" s="173">
        <v>3.85</v>
      </c>
      <c r="R194" s="271">
        <v>0.05</v>
      </c>
      <c r="S194" s="164"/>
      <c r="T194" s="129" t="s">
        <v>2089</v>
      </c>
      <c r="U194" s="147" t="s">
        <v>35</v>
      </c>
      <c r="V194" s="129"/>
      <c r="W194" s="147" t="s">
        <v>2208</v>
      </c>
      <c r="X194" s="205" t="s">
        <v>1009</v>
      </c>
      <c r="Y194" s="251"/>
      <c r="Z194" s="290"/>
      <c r="AA194" s="286" t="s">
        <v>2689</v>
      </c>
    </row>
    <row r="195" spans="1:27" ht="24" x14ac:dyDescent="0.25">
      <c r="A195" s="131">
        <v>1</v>
      </c>
      <c r="B195" s="136">
        <v>1108001</v>
      </c>
      <c r="C195" s="127" t="s">
        <v>30</v>
      </c>
      <c r="D195" s="128" t="s">
        <v>1964</v>
      </c>
      <c r="E195" s="151" t="s">
        <v>46</v>
      </c>
      <c r="F195" s="129" t="s">
        <v>47</v>
      </c>
      <c r="G195" s="147" t="s">
        <v>34</v>
      </c>
      <c r="H195" s="189">
        <f t="shared" ref="H195:H258" si="3">Q195+R195</f>
        <v>3.39</v>
      </c>
      <c r="I195" s="210" t="s">
        <v>2223</v>
      </c>
      <c r="J195" s="146">
        <v>30</v>
      </c>
      <c r="K195" s="147">
        <v>9</v>
      </c>
      <c r="L195" s="147">
        <v>1</v>
      </c>
      <c r="M195" s="147">
        <v>10</v>
      </c>
      <c r="N195" s="275">
        <v>6400</v>
      </c>
      <c r="O195" s="193">
        <v>3.41</v>
      </c>
      <c r="P195" s="179">
        <v>45947</v>
      </c>
      <c r="Q195" s="173">
        <v>3.39</v>
      </c>
      <c r="R195" s="345">
        <v>0</v>
      </c>
      <c r="S195" s="164" t="s">
        <v>35</v>
      </c>
      <c r="T195" s="129" t="s">
        <v>36</v>
      </c>
      <c r="U195" s="147" t="s">
        <v>37</v>
      </c>
      <c r="V195" s="129"/>
      <c r="W195" s="147" t="s">
        <v>2208</v>
      </c>
      <c r="X195" s="205" t="s">
        <v>1009</v>
      </c>
      <c r="Y195" s="251"/>
      <c r="Z195" s="290"/>
      <c r="AA195" s="286" t="s">
        <v>47</v>
      </c>
    </row>
    <row r="196" spans="1:27" hidden="1" x14ac:dyDescent="0.25">
      <c r="A196" s="131">
        <v>1</v>
      </c>
      <c r="B196" s="136">
        <v>1108002</v>
      </c>
      <c r="C196" s="127" t="s">
        <v>30</v>
      </c>
      <c r="D196" s="128" t="s">
        <v>407</v>
      </c>
      <c r="E196" s="151" t="s">
        <v>46</v>
      </c>
      <c r="F196" s="129" t="s">
        <v>36</v>
      </c>
      <c r="G196" s="147" t="s">
        <v>34</v>
      </c>
      <c r="H196" s="189">
        <f t="shared" si="3"/>
        <v>0</v>
      </c>
      <c r="I196" s="180" t="s">
        <v>2213</v>
      </c>
      <c r="J196" s="149"/>
      <c r="K196" s="147">
        <v>2</v>
      </c>
      <c r="L196" s="147">
        <v>1</v>
      </c>
      <c r="M196" s="147">
        <v>3</v>
      </c>
      <c r="N196" s="275">
        <v>6000</v>
      </c>
      <c r="O196" s="194"/>
      <c r="P196" s="179"/>
      <c r="Q196" s="173"/>
      <c r="R196" s="260">
        <v>0</v>
      </c>
      <c r="S196" s="167"/>
      <c r="T196" s="129" t="s">
        <v>36</v>
      </c>
      <c r="U196" s="147" t="s">
        <v>37</v>
      </c>
      <c r="V196" s="129"/>
      <c r="W196" s="162" t="s">
        <v>2519</v>
      </c>
      <c r="X196" s="205"/>
      <c r="Y196" s="251"/>
      <c r="Z196" s="290"/>
      <c r="AA196" s="286"/>
    </row>
    <row r="197" spans="1:27" x14ac:dyDescent="0.25">
      <c r="A197" s="131">
        <v>1</v>
      </c>
      <c r="B197" s="136">
        <v>1108003</v>
      </c>
      <c r="C197" s="127" t="s">
        <v>30</v>
      </c>
      <c r="D197" s="128" t="s">
        <v>408</v>
      </c>
      <c r="E197" s="151" t="s">
        <v>155</v>
      </c>
      <c r="F197" s="129" t="s">
        <v>307</v>
      </c>
      <c r="G197" s="147" t="s">
        <v>34</v>
      </c>
      <c r="H197" s="189">
        <f t="shared" si="3"/>
        <v>3.65</v>
      </c>
      <c r="I197" s="210" t="s">
        <v>2082</v>
      </c>
      <c r="J197" s="146">
        <v>0</v>
      </c>
      <c r="K197" s="147">
        <v>10</v>
      </c>
      <c r="L197" s="147">
        <v>1</v>
      </c>
      <c r="M197" s="147">
        <v>11</v>
      </c>
      <c r="N197" s="275">
        <v>220</v>
      </c>
      <c r="O197" s="193">
        <v>4.13</v>
      </c>
      <c r="P197" s="179">
        <v>46037</v>
      </c>
      <c r="Q197" s="173">
        <v>3.6</v>
      </c>
      <c r="R197" s="271">
        <v>0.05</v>
      </c>
      <c r="S197" s="164"/>
      <c r="T197" s="129" t="s">
        <v>36</v>
      </c>
      <c r="U197" s="147" t="s">
        <v>37</v>
      </c>
      <c r="V197" s="129"/>
      <c r="W197" s="147" t="s">
        <v>2208</v>
      </c>
      <c r="X197" s="205" t="s">
        <v>1009</v>
      </c>
      <c r="Y197" s="251"/>
      <c r="Z197" s="290"/>
      <c r="AA197" s="286" t="s">
        <v>47</v>
      </c>
    </row>
    <row r="198" spans="1:27" ht="24" hidden="1" x14ac:dyDescent="0.25">
      <c r="A198" s="131">
        <v>1</v>
      </c>
      <c r="B198" s="136">
        <v>1108004</v>
      </c>
      <c r="C198" s="127" t="s">
        <v>30</v>
      </c>
      <c r="D198" s="128" t="s">
        <v>409</v>
      </c>
      <c r="E198" s="151" t="s">
        <v>46</v>
      </c>
      <c r="F198" s="129" t="s">
        <v>47</v>
      </c>
      <c r="G198" s="147" t="s">
        <v>34</v>
      </c>
      <c r="H198" s="189">
        <f t="shared" si="3"/>
        <v>4.57</v>
      </c>
      <c r="I198" s="210" t="s">
        <v>2223</v>
      </c>
      <c r="J198" s="146">
        <v>30</v>
      </c>
      <c r="K198" s="147">
        <v>9</v>
      </c>
      <c r="L198" s="147">
        <v>1</v>
      </c>
      <c r="M198" s="147">
        <v>10</v>
      </c>
      <c r="N198" s="275">
        <v>6400</v>
      </c>
      <c r="O198" s="194"/>
      <c r="P198" s="179"/>
      <c r="Q198" s="173">
        <v>4.57</v>
      </c>
      <c r="R198" s="271">
        <v>0</v>
      </c>
      <c r="S198" s="164" t="s">
        <v>35</v>
      </c>
      <c r="T198" s="129" t="s">
        <v>36</v>
      </c>
      <c r="U198" s="147" t="s">
        <v>37</v>
      </c>
      <c r="V198" s="129"/>
      <c r="W198" s="176" t="s">
        <v>54</v>
      </c>
      <c r="X198" s="205"/>
      <c r="Y198" s="251"/>
      <c r="Z198" s="290"/>
      <c r="AA198" s="286"/>
    </row>
    <row r="199" spans="1:27" x14ac:dyDescent="0.25">
      <c r="A199" s="131">
        <v>1</v>
      </c>
      <c r="B199" s="136">
        <v>1108005</v>
      </c>
      <c r="C199" s="127" t="s">
        <v>30</v>
      </c>
      <c r="D199" s="128" t="s">
        <v>410</v>
      </c>
      <c r="E199" s="282" t="s">
        <v>46</v>
      </c>
      <c r="F199" s="129" t="s">
        <v>1611</v>
      </c>
      <c r="G199" s="147" t="s">
        <v>34</v>
      </c>
      <c r="H199" s="189">
        <f t="shared" si="3"/>
        <v>1.7850000000000001</v>
      </c>
      <c r="I199" s="210" t="s">
        <v>2082</v>
      </c>
      <c r="J199" s="146">
        <v>0</v>
      </c>
      <c r="K199" s="147">
        <v>5</v>
      </c>
      <c r="L199" s="147">
        <v>2</v>
      </c>
      <c r="M199" s="147">
        <v>7</v>
      </c>
      <c r="N199" s="275">
        <v>2000</v>
      </c>
      <c r="O199" s="173">
        <v>1.778</v>
      </c>
      <c r="P199" s="179">
        <v>46059</v>
      </c>
      <c r="Q199" s="173">
        <v>1.7350000000000001</v>
      </c>
      <c r="R199" s="271">
        <v>0.05</v>
      </c>
      <c r="S199" s="164"/>
      <c r="T199" s="129" t="s">
        <v>36</v>
      </c>
      <c r="U199" s="147" t="s">
        <v>37</v>
      </c>
      <c r="V199" s="129"/>
      <c r="W199" s="147" t="s">
        <v>2208</v>
      </c>
      <c r="X199" s="205" t="s">
        <v>1009</v>
      </c>
      <c r="Y199" s="251"/>
      <c r="Z199" s="290"/>
      <c r="AA199" s="286" t="s">
        <v>1611</v>
      </c>
    </row>
    <row r="200" spans="1:27" s="181" customFormat="1" ht="24" hidden="1" x14ac:dyDescent="0.25">
      <c r="A200" s="131">
        <v>1</v>
      </c>
      <c r="B200" s="136">
        <v>1108006</v>
      </c>
      <c r="C200" s="127" t="s">
        <v>30</v>
      </c>
      <c r="D200" s="128" t="s">
        <v>411</v>
      </c>
      <c r="E200" s="151" t="s">
        <v>46</v>
      </c>
      <c r="F200" s="136" t="s">
        <v>1979</v>
      </c>
      <c r="G200" s="147" t="s">
        <v>34</v>
      </c>
      <c r="H200" s="189">
        <f t="shared" si="3"/>
        <v>0</v>
      </c>
      <c r="I200" s="210" t="s">
        <v>2223</v>
      </c>
      <c r="J200" s="149"/>
      <c r="K200" s="147"/>
      <c r="L200" s="147"/>
      <c r="M200" s="147">
        <v>10</v>
      </c>
      <c r="N200" s="275">
        <v>4000</v>
      </c>
      <c r="O200" s="194"/>
      <c r="P200" s="179"/>
      <c r="Q200" s="173"/>
      <c r="R200" s="260">
        <v>0</v>
      </c>
      <c r="S200" s="167"/>
      <c r="T200" s="129" t="s">
        <v>64</v>
      </c>
      <c r="U200" s="147" t="s">
        <v>37</v>
      </c>
      <c r="V200" s="129"/>
      <c r="W200" s="162" t="s">
        <v>54</v>
      </c>
      <c r="X200" s="205"/>
      <c r="Y200" s="251"/>
      <c r="Z200" s="290"/>
      <c r="AA200" s="286"/>
    </row>
    <row r="201" spans="1:27" ht="24" hidden="1" x14ac:dyDescent="0.25">
      <c r="A201" s="131">
        <v>1</v>
      </c>
      <c r="B201" s="136">
        <v>1108007</v>
      </c>
      <c r="C201" s="127" t="s">
        <v>30</v>
      </c>
      <c r="D201" s="128" t="s">
        <v>412</v>
      </c>
      <c r="E201" s="151" t="s">
        <v>46</v>
      </c>
      <c r="F201" s="129" t="s">
        <v>47</v>
      </c>
      <c r="G201" s="147" t="s">
        <v>34</v>
      </c>
      <c r="H201" s="189">
        <f t="shared" si="3"/>
        <v>0</v>
      </c>
      <c r="I201" s="210" t="s">
        <v>2223</v>
      </c>
      <c r="J201" s="148">
        <v>30</v>
      </c>
      <c r="K201" s="147">
        <v>9</v>
      </c>
      <c r="L201" s="147">
        <v>1</v>
      </c>
      <c r="M201" s="147">
        <v>10</v>
      </c>
      <c r="N201" s="275">
        <v>6400</v>
      </c>
      <c r="O201" s="194"/>
      <c r="P201" s="179"/>
      <c r="Q201" s="173"/>
      <c r="R201" s="260">
        <v>0</v>
      </c>
      <c r="S201" s="167" t="s">
        <v>35</v>
      </c>
      <c r="T201" s="129" t="s">
        <v>36</v>
      </c>
      <c r="U201" s="147" t="s">
        <v>37</v>
      </c>
      <c r="V201" s="129"/>
      <c r="W201" s="162" t="s">
        <v>54</v>
      </c>
      <c r="X201" s="205"/>
      <c r="Y201" s="251"/>
      <c r="Z201" s="290"/>
      <c r="AA201" s="286"/>
    </row>
    <row r="202" spans="1:27" s="181" customFormat="1" ht="24" hidden="1" x14ac:dyDescent="0.25">
      <c r="A202" s="131">
        <v>1</v>
      </c>
      <c r="B202" s="136">
        <v>1108008</v>
      </c>
      <c r="C202" s="127" t="s">
        <v>30</v>
      </c>
      <c r="D202" s="128" t="s">
        <v>413</v>
      </c>
      <c r="E202" s="151" t="s">
        <v>46</v>
      </c>
      <c r="F202" s="136" t="s">
        <v>1979</v>
      </c>
      <c r="G202" s="147" t="s">
        <v>34</v>
      </c>
      <c r="H202" s="189">
        <f t="shared" si="3"/>
        <v>0</v>
      </c>
      <c r="I202" s="210" t="s">
        <v>2223</v>
      </c>
      <c r="J202" s="149"/>
      <c r="K202" s="147"/>
      <c r="L202" s="147"/>
      <c r="M202" s="147">
        <v>10</v>
      </c>
      <c r="N202" s="275">
        <v>2000</v>
      </c>
      <c r="O202" s="194"/>
      <c r="P202" s="179"/>
      <c r="Q202" s="173"/>
      <c r="R202" s="260">
        <v>0</v>
      </c>
      <c r="S202" s="167"/>
      <c r="T202" s="129" t="s">
        <v>64</v>
      </c>
      <c r="U202" s="147" t="s">
        <v>37</v>
      </c>
      <c r="V202" s="129"/>
      <c r="W202" s="162" t="s">
        <v>54</v>
      </c>
      <c r="X202" s="205"/>
      <c r="Y202" s="251"/>
      <c r="Z202" s="290"/>
      <c r="AA202" s="286"/>
    </row>
    <row r="203" spans="1:27" ht="24" x14ac:dyDescent="0.25">
      <c r="A203" s="131">
        <v>1</v>
      </c>
      <c r="B203" s="136">
        <v>1108009</v>
      </c>
      <c r="C203" s="127" t="s">
        <v>30</v>
      </c>
      <c r="D203" s="128" t="s">
        <v>414</v>
      </c>
      <c r="E203" s="151" t="s">
        <v>49</v>
      </c>
      <c r="F203" s="129" t="s">
        <v>1642</v>
      </c>
      <c r="G203" s="147" t="s">
        <v>34</v>
      </c>
      <c r="H203" s="189">
        <f t="shared" si="3"/>
        <v>4</v>
      </c>
      <c r="I203" s="210" t="s">
        <v>2179</v>
      </c>
      <c r="J203" s="146">
        <v>45</v>
      </c>
      <c r="K203" s="147">
        <v>2</v>
      </c>
      <c r="L203" s="147">
        <v>2</v>
      </c>
      <c r="M203" s="147">
        <v>4</v>
      </c>
      <c r="N203" s="275">
        <v>4402</v>
      </c>
      <c r="O203" s="193">
        <v>6.51</v>
      </c>
      <c r="P203" s="179">
        <v>45371</v>
      </c>
      <c r="Q203" s="173">
        <v>3.95</v>
      </c>
      <c r="R203" s="271">
        <v>0.05</v>
      </c>
      <c r="S203" s="164"/>
      <c r="T203" s="129" t="s">
        <v>2442</v>
      </c>
      <c r="U203" s="147" t="s">
        <v>37</v>
      </c>
      <c r="V203" s="129"/>
      <c r="W203" s="147" t="s">
        <v>2208</v>
      </c>
      <c r="X203" s="205" t="s">
        <v>1009</v>
      </c>
      <c r="Y203" s="251"/>
      <c r="Z203" s="290"/>
      <c r="AA203" s="286" t="s">
        <v>2689</v>
      </c>
    </row>
    <row r="204" spans="1:27" x14ac:dyDescent="0.25">
      <c r="A204" s="131">
        <v>1</v>
      </c>
      <c r="B204" s="136">
        <v>1108010</v>
      </c>
      <c r="C204" s="127" t="s">
        <v>30</v>
      </c>
      <c r="D204" s="128" t="s">
        <v>415</v>
      </c>
      <c r="E204" s="151" t="s">
        <v>416</v>
      </c>
      <c r="F204" s="129" t="s">
        <v>1791</v>
      </c>
      <c r="G204" s="147" t="s">
        <v>34</v>
      </c>
      <c r="H204" s="189">
        <f t="shared" si="3"/>
        <v>5.54</v>
      </c>
      <c r="I204" s="223" t="s">
        <v>2082</v>
      </c>
      <c r="J204" s="146">
        <v>30</v>
      </c>
      <c r="K204" s="147">
        <v>8</v>
      </c>
      <c r="L204" s="147">
        <v>2</v>
      </c>
      <c r="M204" s="147">
        <v>10</v>
      </c>
      <c r="N204" s="275">
        <v>1102</v>
      </c>
      <c r="O204" s="173">
        <v>6.59</v>
      </c>
      <c r="P204" s="179">
        <v>46077</v>
      </c>
      <c r="Q204" s="173">
        <v>5.49</v>
      </c>
      <c r="R204" s="271">
        <v>0.05</v>
      </c>
      <c r="S204" s="164"/>
      <c r="T204" s="129" t="s">
        <v>1868</v>
      </c>
      <c r="U204" s="147" t="s">
        <v>37</v>
      </c>
      <c r="V204" s="129"/>
      <c r="W204" s="147" t="s">
        <v>2208</v>
      </c>
      <c r="X204" s="205" t="s">
        <v>1009</v>
      </c>
      <c r="Y204" s="251"/>
      <c r="Z204" s="290"/>
      <c r="AA204" s="286" t="s">
        <v>2689</v>
      </c>
    </row>
    <row r="205" spans="1:27" s="181" customFormat="1" ht="24" hidden="1" x14ac:dyDescent="0.25">
      <c r="A205" s="131">
        <v>1</v>
      </c>
      <c r="B205" s="136">
        <v>1108011</v>
      </c>
      <c r="C205" s="127" t="s">
        <v>30</v>
      </c>
      <c r="D205" s="128" t="s">
        <v>417</v>
      </c>
      <c r="E205" s="151" t="s">
        <v>416</v>
      </c>
      <c r="F205" s="136" t="s">
        <v>1979</v>
      </c>
      <c r="G205" s="147" t="s">
        <v>34</v>
      </c>
      <c r="H205" s="189">
        <f t="shared" si="3"/>
        <v>3.48</v>
      </c>
      <c r="I205" s="210" t="s">
        <v>2223</v>
      </c>
      <c r="J205" s="150"/>
      <c r="K205" s="147"/>
      <c r="L205" s="147"/>
      <c r="M205" s="147">
        <v>10</v>
      </c>
      <c r="N205" s="275">
        <v>2200</v>
      </c>
      <c r="O205" s="194"/>
      <c r="P205" s="179"/>
      <c r="Q205" s="173">
        <v>3.48</v>
      </c>
      <c r="R205" s="271"/>
      <c r="S205" s="167"/>
      <c r="T205" s="129" t="s">
        <v>64</v>
      </c>
      <c r="U205" s="147" t="s">
        <v>37</v>
      </c>
      <c r="V205" s="129"/>
      <c r="W205" s="176" t="s">
        <v>54</v>
      </c>
      <c r="X205" s="205"/>
      <c r="Y205" s="251"/>
      <c r="Z205" s="290"/>
      <c r="AA205" s="286"/>
    </row>
    <row r="206" spans="1:27" s="181" customFormat="1" ht="24" hidden="1" x14ac:dyDescent="0.25">
      <c r="A206" s="131">
        <v>1</v>
      </c>
      <c r="B206" s="136">
        <v>1108012</v>
      </c>
      <c r="C206" s="127" t="s">
        <v>30</v>
      </c>
      <c r="D206" s="128" t="s">
        <v>418</v>
      </c>
      <c r="E206" s="151" t="s">
        <v>416</v>
      </c>
      <c r="F206" s="129" t="s">
        <v>419</v>
      </c>
      <c r="G206" s="147" t="s">
        <v>34</v>
      </c>
      <c r="H206" s="189">
        <f t="shared" si="3"/>
        <v>0</v>
      </c>
      <c r="I206" s="213"/>
      <c r="J206" s="149"/>
      <c r="K206" s="147">
        <v>11</v>
      </c>
      <c r="L206" s="147">
        <v>1</v>
      </c>
      <c r="M206" s="147">
        <v>12</v>
      </c>
      <c r="N206" s="275"/>
      <c r="O206" s="194"/>
      <c r="P206" s="179"/>
      <c r="Q206" s="173"/>
      <c r="R206" s="260">
        <v>0</v>
      </c>
      <c r="S206" s="167"/>
      <c r="T206" s="129" t="s">
        <v>64</v>
      </c>
      <c r="U206" s="147" t="s">
        <v>37</v>
      </c>
      <c r="V206" s="129"/>
      <c r="W206" s="162" t="s">
        <v>54</v>
      </c>
      <c r="X206" s="205"/>
      <c r="Y206" s="251"/>
      <c r="Z206" s="290"/>
      <c r="AA206" s="286"/>
    </row>
    <row r="207" spans="1:27" ht="24" x14ac:dyDescent="0.25">
      <c r="A207" s="131">
        <v>1</v>
      </c>
      <c r="B207" s="136">
        <v>1108013</v>
      </c>
      <c r="C207" s="127" t="s">
        <v>30</v>
      </c>
      <c r="D207" s="136" t="s">
        <v>1963</v>
      </c>
      <c r="E207" s="151" t="s">
        <v>46</v>
      </c>
      <c r="F207" s="129" t="s">
        <v>307</v>
      </c>
      <c r="G207" s="147" t="s">
        <v>34</v>
      </c>
      <c r="H207" s="189">
        <f t="shared" si="3"/>
        <v>4</v>
      </c>
      <c r="I207" s="210" t="s">
        <v>2223</v>
      </c>
      <c r="J207" s="146">
        <v>0</v>
      </c>
      <c r="K207" s="147">
        <v>10</v>
      </c>
      <c r="L207" s="147">
        <v>1</v>
      </c>
      <c r="M207" s="147">
        <v>11</v>
      </c>
      <c r="N207" s="275">
        <v>1600</v>
      </c>
      <c r="O207" s="173">
        <v>3.31</v>
      </c>
      <c r="P207" s="179">
        <v>46139</v>
      </c>
      <c r="Q207" s="173">
        <v>3.95</v>
      </c>
      <c r="R207" s="345">
        <v>0.05</v>
      </c>
      <c r="S207" s="164" t="s">
        <v>35</v>
      </c>
      <c r="T207" s="129" t="s">
        <v>36</v>
      </c>
      <c r="U207" s="147" t="s">
        <v>37</v>
      </c>
      <c r="V207" s="129"/>
      <c r="W207" s="147" t="s">
        <v>2208</v>
      </c>
      <c r="X207" s="205" t="s">
        <v>1009</v>
      </c>
      <c r="Y207" s="251"/>
      <c r="Z207" s="290"/>
      <c r="AA207" s="286" t="s">
        <v>47</v>
      </c>
    </row>
    <row r="208" spans="1:27" s="181" customFormat="1" hidden="1" x14ac:dyDescent="0.25">
      <c r="A208" s="131">
        <v>1</v>
      </c>
      <c r="B208" s="136">
        <v>1108014</v>
      </c>
      <c r="C208" s="127" t="s">
        <v>30</v>
      </c>
      <c r="D208" s="136" t="s">
        <v>421</v>
      </c>
      <c r="E208" s="151" t="s">
        <v>46</v>
      </c>
      <c r="F208" s="129" t="s">
        <v>422</v>
      </c>
      <c r="G208" s="147" t="s">
        <v>34</v>
      </c>
      <c r="H208" s="189">
        <f t="shared" si="3"/>
        <v>1.9946999999999999</v>
      </c>
      <c r="I208" s="134"/>
      <c r="J208" s="150"/>
      <c r="K208" s="147"/>
      <c r="L208" s="147"/>
      <c r="M208" s="147">
        <v>8</v>
      </c>
      <c r="N208" s="275">
        <v>6000</v>
      </c>
      <c r="O208" s="194"/>
      <c r="P208" s="179"/>
      <c r="Q208" s="173">
        <v>1.599</v>
      </c>
      <c r="R208" s="271">
        <v>0.3957</v>
      </c>
      <c r="S208" s="164" t="s">
        <v>35</v>
      </c>
      <c r="T208" s="129" t="s">
        <v>36</v>
      </c>
      <c r="U208" s="147" t="s">
        <v>37</v>
      </c>
      <c r="V208" s="129"/>
      <c r="W208" s="176" t="s">
        <v>54</v>
      </c>
      <c r="X208" s="205"/>
      <c r="Y208" s="251"/>
      <c r="Z208" s="290"/>
      <c r="AA208" s="230"/>
    </row>
    <row r="209" spans="1:27" s="181" customFormat="1" hidden="1" x14ac:dyDescent="0.25">
      <c r="A209" s="131">
        <v>1</v>
      </c>
      <c r="B209" s="136">
        <v>1108015</v>
      </c>
      <c r="C209" s="127" t="s">
        <v>30</v>
      </c>
      <c r="D209" s="136" t="s">
        <v>425</v>
      </c>
      <c r="E209" s="151" t="s">
        <v>46</v>
      </c>
      <c r="F209" s="129" t="s">
        <v>426</v>
      </c>
      <c r="G209" s="147" t="s">
        <v>34</v>
      </c>
      <c r="H209" s="189">
        <f t="shared" si="3"/>
        <v>0</v>
      </c>
      <c r="I209" s="213"/>
      <c r="J209" s="149"/>
      <c r="K209" s="147">
        <v>11</v>
      </c>
      <c r="L209" s="147">
        <v>1</v>
      </c>
      <c r="M209" s="147">
        <v>12</v>
      </c>
      <c r="N209" s="275">
        <v>55</v>
      </c>
      <c r="O209" s="194"/>
      <c r="P209" s="179"/>
      <c r="Q209" s="173"/>
      <c r="R209" s="260">
        <v>0</v>
      </c>
      <c r="S209" s="167"/>
      <c r="T209" s="129" t="s">
        <v>36</v>
      </c>
      <c r="U209" s="147" t="s">
        <v>37</v>
      </c>
      <c r="V209" s="129"/>
      <c r="W209" s="162" t="s">
        <v>54</v>
      </c>
      <c r="X209" s="205"/>
      <c r="Y209" s="251"/>
      <c r="Z209" s="290"/>
      <c r="AA209" s="286"/>
    </row>
    <row r="210" spans="1:27" x14ac:dyDescent="0.25">
      <c r="A210" s="131">
        <v>1</v>
      </c>
      <c r="B210" s="136">
        <v>1108016</v>
      </c>
      <c r="C210" s="127" t="s">
        <v>30</v>
      </c>
      <c r="D210" s="136" t="s">
        <v>1680</v>
      </c>
      <c r="E210" s="151" t="s">
        <v>46</v>
      </c>
      <c r="F210" s="129" t="s">
        <v>307</v>
      </c>
      <c r="G210" s="147" t="s">
        <v>34</v>
      </c>
      <c r="H210" s="189">
        <f t="shared" si="3"/>
        <v>2.0089999999999999</v>
      </c>
      <c r="I210" s="210" t="s">
        <v>2082</v>
      </c>
      <c r="J210" s="146">
        <v>0</v>
      </c>
      <c r="K210" s="147">
        <v>7</v>
      </c>
      <c r="L210" s="147">
        <v>2</v>
      </c>
      <c r="M210" s="147">
        <v>9</v>
      </c>
      <c r="N210" s="275">
        <v>5600</v>
      </c>
      <c r="O210" s="173">
        <f>1.932+0.05</f>
        <v>1.982</v>
      </c>
      <c r="P210" s="179">
        <v>46149</v>
      </c>
      <c r="Q210" s="173">
        <v>1.9590000000000001</v>
      </c>
      <c r="R210" s="271">
        <v>0.05</v>
      </c>
      <c r="S210" s="164"/>
      <c r="T210" s="129" t="s">
        <v>36</v>
      </c>
      <c r="U210" s="147" t="s">
        <v>37</v>
      </c>
      <c r="V210" s="129"/>
      <c r="W210" s="147" t="s">
        <v>2208</v>
      </c>
      <c r="X210" s="205" t="s">
        <v>1009</v>
      </c>
      <c r="Y210" s="251"/>
      <c r="Z210" s="290"/>
      <c r="AA210" s="286" t="s">
        <v>1611</v>
      </c>
    </row>
    <row r="211" spans="1:27" ht="24" x14ac:dyDescent="0.25">
      <c r="A211" s="131">
        <v>1</v>
      </c>
      <c r="B211" s="136">
        <v>1108017</v>
      </c>
      <c r="C211" s="127" t="s">
        <v>30</v>
      </c>
      <c r="D211" s="136" t="s">
        <v>428</v>
      </c>
      <c r="E211" s="151" t="s">
        <v>46</v>
      </c>
      <c r="F211" s="129" t="s">
        <v>307</v>
      </c>
      <c r="G211" s="147" t="s">
        <v>34</v>
      </c>
      <c r="H211" s="189">
        <f t="shared" si="3"/>
        <v>2.3099999999999996</v>
      </c>
      <c r="I211" s="210" t="s">
        <v>2223</v>
      </c>
      <c r="J211" s="146">
        <v>30</v>
      </c>
      <c r="K211" s="147">
        <v>10</v>
      </c>
      <c r="L211" s="147">
        <v>1</v>
      </c>
      <c r="M211" s="147">
        <v>11</v>
      </c>
      <c r="N211" s="275">
        <v>6400</v>
      </c>
      <c r="O211" s="173">
        <v>2.52</v>
      </c>
      <c r="P211" s="179">
        <v>46041</v>
      </c>
      <c r="Q211" s="173">
        <v>2.2599999999999998</v>
      </c>
      <c r="R211" s="345">
        <v>0.05</v>
      </c>
      <c r="S211" s="164" t="s">
        <v>35</v>
      </c>
      <c r="T211" s="129" t="s">
        <v>36</v>
      </c>
      <c r="U211" s="147" t="s">
        <v>37</v>
      </c>
      <c r="V211" s="129"/>
      <c r="W211" s="147" t="s">
        <v>2208</v>
      </c>
      <c r="X211" s="205" t="s">
        <v>1009</v>
      </c>
      <c r="Y211" s="251"/>
      <c r="Z211" s="290"/>
      <c r="AA211" s="286" t="s">
        <v>47</v>
      </c>
    </row>
    <row r="212" spans="1:27" s="181" customFormat="1" hidden="1" x14ac:dyDescent="0.25">
      <c r="A212" s="131">
        <v>1</v>
      </c>
      <c r="B212" s="136">
        <v>1108018</v>
      </c>
      <c r="C212" s="127" t="s">
        <v>30</v>
      </c>
      <c r="D212" s="136" t="s">
        <v>429</v>
      </c>
      <c r="E212" s="151" t="s">
        <v>46</v>
      </c>
      <c r="F212" s="129" t="s">
        <v>426</v>
      </c>
      <c r="G212" s="147" t="s">
        <v>34</v>
      </c>
      <c r="H212" s="189">
        <f t="shared" si="3"/>
        <v>0</v>
      </c>
      <c r="I212" s="213"/>
      <c r="J212" s="149"/>
      <c r="K212" s="147"/>
      <c r="L212" s="147"/>
      <c r="M212" s="147">
        <v>3</v>
      </c>
      <c r="N212" s="275">
        <v>2000</v>
      </c>
      <c r="O212" s="194"/>
      <c r="P212" s="179"/>
      <c r="Q212" s="173"/>
      <c r="R212" s="260">
        <v>0</v>
      </c>
      <c r="S212" s="167"/>
      <c r="T212" s="129" t="s">
        <v>36</v>
      </c>
      <c r="U212" s="147" t="s">
        <v>37</v>
      </c>
      <c r="V212" s="129"/>
      <c r="W212" s="162" t="s">
        <v>54</v>
      </c>
      <c r="X212" s="205"/>
      <c r="Y212" s="251"/>
      <c r="Z212" s="290"/>
      <c r="AA212" s="286"/>
    </row>
    <row r="213" spans="1:27" hidden="1" x14ac:dyDescent="0.25">
      <c r="A213" s="131">
        <v>1</v>
      </c>
      <c r="B213" s="136">
        <v>1108020</v>
      </c>
      <c r="C213" s="127" t="s">
        <v>30</v>
      </c>
      <c r="D213" s="136" t="s">
        <v>430</v>
      </c>
      <c r="E213" s="151" t="s">
        <v>46</v>
      </c>
      <c r="F213" s="129" t="s">
        <v>1788</v>
      </c>
      <c r="G213" s="147" t="s">
        <v>34</v>
      </c>
      <c r="H213" s="189">
        <f t="shared" si="3"/>
        <v>4.63</v>
      </c>
      <c r="I213" s="180" t="s">
        <v>2082</v>
      </c>
      <c r="J213" s="146">
        <v>0</v>
      </c>
      <c r="K213" s="147">
        <v>8</v>
      </c>
      <c r="L213" s="147">
        <v>2</v>
      </c>
      <c r="M213" s="147">
        <v>10</v>
      </c>
      <c r="N213" s="275">
        <v>165</v>
      </c>
      <c r="O213" s="194"/>
      <c r="P213" s="179"/>
      <c r="Q213" s="173">
        <v>2.78</v>
      </c>
      <c r="R213" s="271">
        <v>1.85</v>
      </c>
      <c r="S213" s="164"/>
      <c r="T213" s="129" t="s">
        <v>36</v>
      </c>
      <c r="U213" s="147" t="s">
        <v>37</v>
      </c>
      <c r="V213" s="129"/>
      <c r="W213" s="176" t="s">
        <v>54</v>
      </c>
      <c r="X213" s="205"/>
      <c r="Y213" s="251"/>
      <c r="Z213" s="290"/>
      <c r="AA213" s="286"/>
    </row>
    <row r="214" spans="1:27" hidden="1" x14ac:dyDescent="0.25">
      <c r="A214" s="131">
        <v>1</v>
      </c>
      <c r="B214" s="136">
        <v>1108021</v>
      </c>
      <c r="C214" s="127" t="s">
        <v>30</v>
      </c>
      <c r="D214" s="128" t="s">
        <v>431</v>
      </c>
      <c r="E214" s="151" t="s">
        <v>432</v>
      </c>
      <c r="F214" s="129" t="s">
        <v>1748</v>
      </c>
      <c r="G214" s="147" t="s">
        <v>34</v>
      </c>
      <c r="H214" s="189">
        <f t="shared" si="3"/>
        <v>10.42</v>
      </c>
      <c r="I214" s="134" t="s">
        <v>2082</v>
      </c>
      <c r="J214" s="146">
        <v>0</v>
      </c>
      <c r="K214" s="147">
        <v>8</v>
      </c>
      <c r="L214" s="147">
        <v>2</v>
      </c>
      <c r="M214" s="147">
        <v>10</v>
      </c>
      <c r="N214" s="275">
        <v>200</v>
      </c>
      <c r="O214" s="193"/>
      <c r="P214" s="179">
        <v>44817</v>
      </c>
      <c r="Q214" s="173">
        <v>10.37</v>
      </c>
      <c r="R214" s="271">
        <v>0.05</v>
      </c>
      <c r="S214" s="164"/>
      <c r="T214" s="129" t="s">
        <v>1681</v>
      </c>
      <c r="U214" s="147" t="s">
        <v>37</v>
      </c>
      <c r="V214" s="129"/>
      <c r="W214" s="176" t="s">
        <v>54</v>
      </c>
      <c r="X214" s="205" t="s">
        <v>1911</v>
      </c>
      <c r="Y214" s="251"/>
      <c r="Z214" s="290"/>
      <c r="AA214" s="286"/>
    </row>
    <row r="215" spans="1:27" x14ac:dyDescent="0.25">
      <c r="A215" s="131">
        <v>1</v>
      </c>
      <c r="B215" s="136">
        <v>1108022</v>
      </c>
      <c r="C215" s="127" t="s">
        <v>30</v>
      </c>
      <c r="D215" s="128" t="s">
        <v>435</v>
      </c>
      <c r="E215" s="151" t="s">
        <v>436</v>
      </c>
      <c r="F215" s="129" t="s">
        <v>1788</v>
      </c>
      <c r="G215" s="147" t="s">
        <v>34</v>
      </c>
      <c r="H215" s="189">
        <f t="shared" si="3"/>
        <v>16.63</v>
      </c>
      <c r="I215" s="223" t="s">
        <v>2082</v>
      </c>
      <c r="J215" s="146">
        <v>0</v>
      </c>
      <c r="K215" s="147">
        <v>9</v>
      </c>
      <c r="L215" s="147">
        <v>1</v>
      </c>
      <c r="M215" s="147">
        <v>10</v>
      </c>
      <c r="N215" s="275">
        <v>176</v>
      </c>
      <c r="O215" s="193">
        <v>15.63</v>
      </c>
      <c r="P215" s="179">
        <v>45806</v>
      </c>
      <c r="Q215" s="173">
        <v>16.579999999999998</v>
      </c>
      <c r="R215" s="271">
        <v>0.05</v>
      </c>
      <c r="S215" s="164"/>
      <c r="T215" s="129" t="s">
        <v>36</v>
      </c>
      <c r="U215" s="147" t="s">
        <v>37</v>
      </c>
      <c r="V215" s="129"/>
      <c r="W215" s="147" t="s">
        <v>2208</v>
      </c>
      <c r="X215" s="205" t="s">
        <v>1854</v>
      </c>
      <c r="Y215" s="251"/>
      <c r="Z215" s="290"/>
      <c r="AA215" s="286" t="s">
        <v>2698</v>
      </c>
    </row>
    <row r="216" spans="1:27" x14ac:dyDescent="0.25">
      <c r="A216" s="131">
        <v>1</v>
      </c>
      <c r="B216" s="136">
        <v>1108023</v>
      </c>
      <c r="C216" s="127" t="s">
        <v>30</v>
      </c>
      <c r="D216" s="128" t="s">
        <v>437</v>
      </c>
      <c r="E216" s="151" t="s">
        <v>438</v>
      </c>
      <c r="F216" s="129" t="s">
        <v>1791</v>
      </c>
      <c r="G216" s="147" t="s">
        <v>34</v>
      </c>
      <c r="H216" s="189">
        <f t="shared" si="3"/>
        <v>6.3199999999999994</v>
      </c>
      <c r="I216" s="223" t="s">
        <v>2082</v>
      </c>
      <c r="J216" s="146">
        <v>30</v>
      </c>
      <c r="K216" s="147">
        <v>8</v>
      </c>
      <c r="L216" s="147">
        <v>2</v>
      </c>
      <c r="M216" s="147">
        <v>10</v>
      </c>
      <c r="N216" s="275">
        <v>551</v>
      </c>
      <c r="O216" s="193">
        <v>7.59</v>
      </c>
      <c r="P216" s="179">
        <v>46114</v>
      </c>
      <c r="Q216" s="173">
        <v>6.27</v>
      </c>
      <c r="R216" s="271">
        <v>0.05</v>
      </c>
      <c r="S216" s="164"/>
      <c r="T216" s="129" t="s">
        <v>36</v>
      </c>
      <c r="U216" s="147" t="s">
        <v>37</v>
      </c>
      <c r="V216" s="129"/>
      <c r="W216" s="147" t="s">
        <v>2208</v>
      </c>
      <c r="X216" s="205" t="s">
        <v>1009</v>
      </c>
      <c r="Y216" s="251"/>
      <c r="Z216" s="290"/>
      <c r="AA216" s="286" t="s">
        <v>2689</v>
      </c>
    </row>
    <row r="217" spans="1:27" ht="24" x14ac:dyDescent="0.25">
      <c r="A217" s="131">
        <v>1</v>
      </c>
      <c r="B217" s="136">
        <v>1108024</v>
      </c>
      <c r="C217" s="127" t="s">
        <v>30</v>
      </c>
      <c r="D217" s="128" t="s">
        <v>442</v>
      </c>
      <c r="E217" s="151" t="s">
        <v>432</v>
      </c>
      <c r="F217" s="129" t="s">
        <v>47</v>
      </c>
      <c r="G217" s="147" t="s">
        <v>34</v>
      </c>
      <c r="H217" s="189">
        <f t="shared" si="3"/>
        <v>3.18</v>
      </c>
      <c r="I217" s="210" t="s">
        <v>2223</v>
      </c>
      <c r="J217" s="146">
        <v>30</v>
      </c>
      <c r="K217" s="147">
        <v>9</v>
      </c>
      <c r="L217" s="147">
        <v>1</v>
      </c>
      <c r="M217" s="147">
        <v>10</v>
      </c>
      <c r="N217" s="275">
        <v>6400</v>
      </c>
      <c r="O217" s="193">
        <v>2.21</v>
      </c>
      <c r="P217" s="179">
        <v>44974</v>
      </c>
      <c r="Q217" s="173">
        <v>3.18</v>
      </c>
      <c r="R217" s="271">
        <v>0</v>
      </c>
      <c r="S217" s="164" t="s">
        <v>35</v>
      </c>
      <c r="T217" s="129" t="s">
        <v>36</v>
      </c>
      <c r="U217" s="147" t="s">
        <v>37</v>
      </c>
      <c r="V217" s="129"/>
      <c r="W217" s="147" t="s">
        <v>2208</v>
      </c>
      <c r="X217" s="205" t="s">
        <v>1904</v>
      </c>
      <c r="Y217" s="251"/>
      <c r="Z217" s="290"/>
      <c r="AA217" s="286" t="s">
        <v>47</v>
      </c>
    </row>
    <row r="218" spans="1:27" s="181" customFormat="1" hidden="1" x14ac:dyDescent="0.25">
      <c r="A218" s="131">
        <v>1</v>
      </c>
      <c r="B218" s="136">
        <v>1108025</v>
      </c>
      <c r="C218" s="127" t="s">
        <v>30</v>
      </c>
      <c r="D218" s="136" t="s">
        <v>443</v>
      </c>
      <c r="E218" s="151" t="s">
        <v>146</v>
      </c>
      <c r="F218" s="129" t="s">
        <v>444</v>
      </c>
      <c r="G218" s="147" t="s">
        <v>34</v>
      </c>
      <c r="H218" s="189">
        <f t="shared" si="3"/>
        <v>0</v>
      </c>
      <c r="I218" s="213"/>
      <c r="J218" s="149"/>
      <c r="K218" s="147"/>
      <c r="L218" s="147"/>
      <c r="M218" s="147">
        <v>4</v>
      </c>
      <c r="N218" s="275">
        <v>2000</v>
      </c>
      <c r="O218" s="194"/>
      <c r="P218" s="179"/>
      <c r="Q218" s="173"/>
      <c r="R218" s="260">
        <v>0</v>
      </c>
      <c r="S218" s="164" t="s">
        <v>35</v>
      </c>
      <c r="T218" s="129" t="s">
        <v>36</v>
      </c>
      <c r="U218" s="147" t="s">
        <v>37</v>
      </c>
      <c r="V218" s="129"/>
      <c r="W218" s="162" t="s">
        <v>54</v>
      </c>
      <c r="X218" s="205"/>
      <c r="Y218" s="251"/>
      <c r="Z218" s="290"/>
      <c r="AA218" s="286"/>
    </row>
    <row r="219" spans="1:27" hidden="1" x14ac:dyDescent="0.25">
      <c r="A219" s="131">
        <v>1</v>
      </c>
      <c r="B219" s="136">
        <v>1108026</v>
      </c>
      <c r="C219" s="127" t="s">
        <v>30</v>
      </c>
      <c r="D219" s="136" t="s">
        <v>446</v>
      </c>
      <c r="E219" s="151" t="s">
        <v>447</v>
      </c>
      <c r="F219" s="129" t="s">
        <v>307</v>
      </c>
      <c r="G219" s="147" t="s">
        <v>34</v>
      </c>
      <c r="H219" s="189">
        <f t="shared" si="3"/>
        <v>0</v>
      </c>
      <c r="I219" s="134" t="s">
        <v>2082</v>
      </c>
      <c r="J219" s="146">
        <v>0</v>
      </c>
      <c r="K219" s="147">
        <v>2</v>
      </c>
      <c r="L219" s="147">
        <v>2</v>
      </c>
      <c r="M219" s="147">
        <v>4</v>
      </c>
      <c r="N219" s="275">
        <v>6400</v>
      </c>
      <c r="O219" s="194"/>
      <c r="P219" s="179"/>
      <c r="Q219" s="173"/>
      <c r="R219" s="260">
        <v>0</v>
      </c>
      <c r="S219" s="164"/>
      <c r="T219" s="129" t="s">
        <v>162</v>
      </c>
      <c r="U219" s="147" t="s">
        <v>35</v>
      </c>
      <c r="V219" s="129"/>
      <c r="W219" s="162" t="s">
        <v>54</v>
      </c>
      <c r="X219" s="205"/>
      <c r="Y219" s="251"/>
      <c r="Z219" s="290"/>
      <c r="AA219" s="286"/>
    </row>
    <row r="220" spans="1:27" hidden="1" x14ac:dyDescent="0.25">
      <c r="A220" s="131">
        <v>1</v>
      </c>
      <c r="B220" s="136">
        <v>1108027</v>
      </c>
      <c r="C220" s="127" t="s">
        <v>30</v>
      </c>
      <c r="D220" s="136" t="s">
        <v>448</v>
      </c>
      <c r="E220" s="151" t="s">
        <v>127</v>
      </c>
      <c r="F220" s="129" t="s">
        <v>307</v>
      </c>
      <c r="G220" s="147" t="s">
        <v>34</v>
      </c>
      <c r="H220" s="189">
        <f t="shared" si="3"/>
        <v>0</v>
      </c>
      <c r="I220" s="134" t="s">
        <v>2082</v>
      </c>
      <c r="J220" s="146">
        <v>0</v>
      </c>
      <c r="K220" s="147">
        <v>2</v>
      </c>
      <c r="L220" s="147">
        <v>2</v>
      </c>
      <c r="M220" s="147">
        <v>4</v>
      </c>
      <c r="N220" s="275">
        <v>55</v>
      </c>
      <c r="O220" s="195">
        <v>15.519</v>
      </c>
      <c r="P220" s="179"/>
      <c r="Q220" s="173"/>
      <c r="R220" s="260">
        <v>0</v>
      </c>
      <c r="S220" s="164"/>
      <c r="T220" s="129" t="s">
        <v>36</v>
      </c>
      <c r="U220" s="147" t="s">
        <v>35</v>
      </c>
      <c r="V220" s="129"/>
      <c r="W220" s="162" t="s">
        <v>54</v>
      </c>
      <c r="X220" s="205"/>
      <c r="Y220" s="251"/>
      <c r="Z220" s="290"/>
      <c r="AA220" s="286"/>
    </row>
    <row r="221" spans="1:27" s="181" customFormat="1" hidden="1" x14ac:dyDescent="0.25">
      <c r="A221" s="131">
        <v>1</v>
      </c>
      <c r="B221" s="136">
        <v>1108028</v>
      </c>
      <c r="C221" s="127" t="s">
        <v>30</v>
      </c>
      <c r="D221" s="136" t="s">
        <v>449</v>
      </c>
      <c r="E221" s="151" t="s">
        <v>450</v>
      </c>
      <c r="F221" s="129" t="s">
        <v>276</v>
      </c>
      <c r="G221" s="147" t="s">
        <v>34</v>
      </c>
      <c r="H221" s="189">
        <f t="shared" si="3"/>
        <v>2.83</v>
      </c>
      <c r="I221" s="134"/>
      <c r="J221" s="150"/>
      <c r="K221" s="147"/>
      <c r="L221" s="147"/>
      <c r="M221" s="147">
        <v>7</v>
      </c>
      <c r="N221" s="275">
        <v>500</v>
      </c>
      <c r="O221" s="194"/>
      <c r="P221" s="179"/>
      <c r="Q221" s="173">
        <v>2.83</v>
      </c>
      <c r="R221" s="260">
        <v>0</v>
      </c>
      <c r="S221" s="164"/>
      <c r="T221" s="129" t="s">
        <v>102</v>
      </c>
      <c r="U221" s="147" t="s">
        <v>35</v>
      </c>
      <c r="V221" s="129"/>
      <c r="W221" s="176" t="s">
        <v>54</v>
      </c>
      <c r="X221" s="205"/>
      <c r="Y221" s="251"/>
      <c r="Z221" s="290"/>
      <c r="AA221" s="230"/>
    </row>
    <row r="222" spans="1:27" ht="24" hidden="1" x14ac:dyDescent="0.25">
      <c r="A222" s="131">
        <v>1</v>
      </c>
      <c r="B222" s="136">
        <v>1108029</v>
      </c>
      <c r="C222" s="127" t="s">
        <v>30</v>
      </c>
      <c r="D222" s="136" t="s">
        <v>451</v>
      </c>
      <c r="E222" s="147" t="s">
        <v>416</v>
      </c>
      <c r="F222" s="129" t="s">
        <v>164</v>
      </c>
      <c r="G222" s="147" t="s">
        <v>34</v>
      </c>
      <c r="H222" s="189">
        <f t="shared" si="3"/>
        <v>1.6133999999999999</v>
      </c>
      <c r="I222" s="210" t="s">
        <v>2221</v>
      </c>
      <c r="J222" s="146">
        <v>0</v>
      </c>
      <c r="K222" s="147">
        <v>8</v>
      </c>
      <c r="L222" s="147">
        <v>6</v>
      </c>
      <c r="M222" s="147">
        <v>14</v>
      </c>
      <c r="N222" s="275">
        <v>10000</v>
      </c>
      <c r="O222" s="194"/>
      <c r="P222" s="179">
        <v>45363</v>
      </c>
      <c r="Q222" s="177">
        <v>1.6133999999999999</v>
      </c>
      <c r="R222" s="271"/>
      <c r="S222" s="164" t="s">
        <v>35</v>
      </c>
      <c r="T222" s="129" t="s">
        <v>36</v>
      </c>
      <c r="U222" s="147" t="s">
        <v>37</v>
      </c>
      <c r="V222" s="129"/>
      <c r="W222" s="176" t="s">
        <v>54</v>
      </c>
      <c r="X222" s="205" t="s">
        <v>1918</v>
      </c>
      <c r="Y222" s="251"/>
      <c r="Z222" s="290"/>
      <c r="AA222" s="286"/>
    </row>
    <row r="223" spans="1:27" ht="24" x14ac:dyDescent="0.25">
      <c r="A223" s="131">
        <v>1</v>
      </c>
      <c r="B223" s="136">
        <v>1108030</v>
      </c>
      <c r="C223" s="127" t="s">
        <v>30</v>
      </c>
      <c r="D223" s="136" t="s">
        <v>1814</v>
      </c>
      <c r="E223" s="147" t="s">
        <v>2077</v>
      </c>
      <c r="F223" s="129" t="s">
        <v>164</v>
      </c>
      <c r="G223" s="147" t="s">
        <v>34</v>
      </c>
      <c r="H223" s="189">
        <f t="shared" si="3"/>
        <v>1.6593851851851851</v>
      </c>
      <c r="I223" s="210" t="s">
        <v>2221</v>
      </c>
      <c r="J223" s="146">
        <v>0</v>
      </c>
      <c r="K223" s="147">
        <v>8</v>
      </c>
      <c r="L223" s="147">
        <v>6</v>
      </c>
      <c r="M223" s="147">
        <v>15</v>
      </c>
      <c r="N223" s="275">
        <v>40500</v>
      </c>
      <c r="O223" s="193">
        <f>1.2102+0.1852</f>
        <v>1.3954</v>
      </c>
      <c r="P223" s="179">
        <v>46126</v>
      </c>
      <c r="Q223" s="177">
        <v>1.4742</v>
      </c>
      <c r="R223" s="271">
        <f>7500/N223</f>
        <v>0.18518518518518517</v>
      </c>
      <c r="S223" s="164" t="s">
        <v>35</v>
      </c>
      <c r="T223" s="129" t="s">
        <v>36</v>
      </c>
      <c r="U223" s="147" t="s">
        <v>37</v>
      </c>
      <c r="V223" s="129"/>
      <c r="W223" s="147" t="s">
        <v>2208</v>
      </c>
      <c r="X223" s="205" t="s">
        <v>1918</v>
      </c>
      <c r="Y223" s="251"/>
      <c r="Z223" s="290"/>
      <c r="AA223" s="286" t="s">
        <v>164</v>
      </c>
    </row>
    <row r="224" spans="1:27" s="181" customFormat="1" ht="24" hidden="1" x14ac:dyDescent="0.25">
      <c r="A224" s="131">
        <v>1</v>
      </c>
      <c r="B224" s="136">
        <v>1108031</v>
      </c>
      <c r="C224" s="127" t="s">
        <v>30</v>
      </c>
      <c r="D224" s="136" t="s">
        <v>455</v>
      </c>
      <c r="E224" s="147" t="s">
        <v>416</v>
      </c>
      <c r="F224" s="129" t="s">
        <v>400</v>
      </c>
      <c r="G224" s="147" t="s">
        <v>34</v>
      </c>
      <c r="H224" s="189">
        <f t="shared" si="3"/>
        <v>4.5199999999999996</v>
      </c>
      <c r="I224" s="134"/>
      <c r="J224" s="150"/>
      <c r="K224" s="147"/>
      <c r="L224" s="147"/>
      <c r="M224" s="147">
        <v>6</v>
      </c>
      <c r="N224" s="275"/>
      <c r="O224" s="194"/>
      <c r="P224" s="179"/>
      <c r="Q224" s="173">
        <v>4.5199999999999996</v>
      </c>
      <c r="R224" s="271"/>
      <c r="S224" s="164" t="s">
        <v>35</v>
      </c>
      <c r="T224" s="129" t="s">
        <v>261</v>
      </c>
      <c r="U224" s="147" t="s">
        <v>35</v>
      </c>
      <c r="V224" s="129"/>
      <c r="W224" s="176" t="s">
        <v>54</v>
      </c>
      <c r="X224" s="205"/>
      <c r="Y224" s="251"/>
      <c r="Z224" s="290"/>
      <c r="AA224" s="230"/>
    </row>
    <row r="225" spans="1:27" hidden="1" x14ac:dyDescent="0.25">
      <c r="A225" s="131">
        <v>1</v>
      </c>
      <c r="B225" s="136">
        <v>1108032</v>
      </c>
      <c r="C225" s="127" t="s">
        <v>30</v>
      </c>
      <c r="D225" s="136" t="s">
        <v>456</v>
      </c>
      <c r="E225" s="147" t="s">
        <v>416</v>
      </c>
      <c r="F225" s="129" t="s">
        <v>1791</v>
      </c>
      <c r="G225" s="147" t="s">
        <v>34</v>
      </c>
      <c r="H225" s="189">
        <f t="shared" si="3"/>
        <v>10.64</v>
      </c>
      <c r="I225" s="180" t="s">
        <v>2082</v>
      </c>
      <c r="J225" s="146">
        <v>30</v>
      </c>
      <c r="K225" s="147">
        <v>8</v>
      </c>
      <c r="L225" s="147">
        <v>2</v>
      </c>
      <c r="M225" s="147">
        <v>10</v>
      </c>
      <c r="N225" s="275">
        <v>55</v>
      </c>
      <c r="O225" s="194"/>
      <c r="P225" s="179"/>
      <c r="Q225" s="173">
        <v>10.64</v>
      </c>
      <c r="R225" s="271">
        <v>0</v>
      </c>
      <c r="S225" s="164"/>
      <c r="T225" s="129" t="s">
        <v>102</v>
      </c>
      <c r="U225" s="147" t="s">
        <v>35</v>
      </c>
      <c r="V225" s="129"/>
      <c r="W225" s="176" t="s">
        <v>54</v>
      </c>
      <c r="X225" s="205"/>
      <c r="Y225" s="251"/>
      <c r="Z225" s="290"/>
      <c r="AA225" s="286"/>
    </row>
    <row r="226" spans="1:27" hidden="1" x14ac:dyDescent="0.25">
      <c r="A226" s="131">
        <v>1</v>
      </c>
      <c r="B226" s="136">
        <v>1108033</v>
      </c>
      <c r="C226" s="127" t="s">
        <v>30</v>
      </c>
      <c r="D226" s="336" t="s">
        <v>1661</v>
      </c>
      <c r="E226" s="147" t="s">
        <v>416</v>
      </c>
      <c r="F226" s="129" t="s">
        <v>1791</v>
      </c>
      <c r="G226" s="147" t="s">
        <v>34</v>
      </c>
      <c r="H226" s="189">
        <f t="shared" si="3"/>
        <v>7.08</v>
      </c>
      <c r="I226" s="180" t="s">
        <v>2082</v>
      </c>
      <c r="J226" s="146">
        <v>30</v>
      </c>
      <c r="K226" s="147">
        <v>8</v>
      </c>
      <c r="L226" s="147">
        <v>2</v>
      </c>
      <c r="M226" s="147">
        <v>10</v>
      </c>
      <c r="N226" s="275">
        <v>1102</v>
      </c>
      <c r="O226" s="194"/>
      <c r="P226" s="179">
        <v>44684</v>
      </c>
      <c r="Q226" s="173">
        <v>7.08</v>
      </c>
      <c r="R226" s="271">
        <v>0</v>
      </c>
      <c r="S226" s="164"/>
      <c r="T226" s="129" t="s">
        <v>102</v>
      </c>
      <c r="U226" s="147" t="s">
        <v>35</v>
      </c>
      <c r="V226" s="129"/>
      <c r="W226" s="176" t="s">
        <v>54</v>
      </c>
      <c r="X226" s="205"/>
      <c r="Y226" s="251"/>
      <c r="Z226" s="290"/>
      <c r="AA226" s="286"/>
    </row>
    <row r="227" spans="1:27" s="181" customFormat="1" ht="24" hidden="1" x14ac:dyDescent="0.25">
      <c r="A227" s="131">
        <v>1</v>
      </c>
      <c r="B227" s="136">
        <v>1108034</v>
      </c>
      <c r="C227" s="127" t="s">
        <v>30</v>
      </c>
      <c r="D227" s="128" t="s">
        <v>458</v>
      </c>
      <c r="E227" s="147" t="s">
        <v>416</v>
      </c>
      <c r="F227" s="136" t="s">
        <v>1979</v>
      </c>
      <c r="G227" s="147" t="s">
        <v>34</v>
      </c>
      <c r="H227" s="189">
        <f t="shared" si="3"/>
        <v>0</v>
      </c>
      <c r="I227" s="210" t="s">
        <v>2223</v>
      </c>
      <c r="J227" s="149"/>
      <c r="K227" s="147"/>
      <c r="L227" s="147"/>
      <c r="M227" s="147">
        <v>10</v>
      </c>
      <c r="N227" s="275">
        <v>55</v>
      </c>
      <c r="O227" s="194"/>
      <c r="P227" s="179"/>
      <c r="Q227" s="173"/>
      <c r="R227" s="260">
        <v>0</v>
      </c>
      <c r="S227" s="164"/>
      <c r="T227" s="129" t="s">
        <v>64</v>
      </c>
      <c r="U227" s="147" t="s">
        <v>37</v>
      </c>
      <c r="V227" s="129"/>
      <c r="W227" s="162" t="s">
        <v>54</v>
      </c>
      <c r="X227" s="205"/>
      <c r="Y227" s="251"/>
      <c r="Z227" s="290"/>
      <c r="AA227" s="286"/>
    </row>
    <row r="228" spans="1:27" hidden="1" x14ac:dyDescent="0.25">
      <c r="A228" s="131">
        <v>1</v>
      </c>
      <c r="B228" s="136">
        <v>1108035</v>
      </c>
      <c r="C228" s="127" t="s">
        <v>30</v>
      </c>
      <c r="D228" s="128" t="s">
        <v>459</v>
      </c>
      <c r="E228" s="147" t="s">
        <v>416</v>
      </c>
      <c r="F228" s="129" t="s">
        <v>1791</v>
      </c>
      <c r="G228" s="147" t="s">
        <v>34</v>
      </c>
      <c r="H228" s="189">
        <f t="shared" si="3"/>
        <v>6.62</v>
      </c>
      <c r="I228" s="180" t="s">
        <v>2082</v>
      </c>
      <c r="J228" s="146">
        <v>30</v>
      </c>
      <c r="K228" s="147">
        <v>8</v>
      </c>
      <c r="L228" s="147">
        <v>2</v>
      </c>
      <c r="M228" s="147">
        <v>10</v>
      </c>
      <c r="N228" s="275">
        <v>1102</v>
      </c>
      <c r="O228" s="194"/>
      <c r="P228" s="179">
        <v>44684</v>
      </c>
      <c r="Q228" s="173">
        <v>6.62</v>
      </c>
      <c r="R228" s="271"/>
      <c r="S228" s="164"/>
      <c r="T228" s="129" t="s">
        <v>261</v>
      </c>
      <c r="U228" s="147" t="s">
        <v>35</v>
      </c>
      <c r="V228" s="129"/>
      <c r="W228" s="176" t="s">
        <v>54</v>
      </c>
      <c r="X228" s="205"/>
      <c r="Y228" s="251"/>
      <c r="Z228" s="290"/>
      <c r="AA228" s="286"/>
    </row>
    <row r="229" spans="1:27" ht="24" x14ac:dyDescent="0.25">
      <c r="A229" s="131">
        <v>1</v>
      </c>
      <c r="B229" s="136">
        <v>1108036</v>
      </c>
      <c r="C229" s="127" t="s">
        <v>30</v>
      </c>
      <c r="D229" s="128" t="s">
        <v>460</v>
      </c>
      <c r="E229" s="147" t="s">
        <v>46</v>
      </c>
      <c r="F229" s="129" t="s">
        <v>47</v>
      </c>
      <c r="G229" s="147" t="s">
        <v>34</v>
      </c>
      <c r="H229" s="189">
        <f t="shared" si="3"/>
        <v>2.91</v>
      </c>
      <c r="I229" s="210" t="s">
        <v>2223</v>
      </c>
      <c r="J229" s="146">
        <v>30</v>
      </c>
      <c r="K229" s="147">
        <v>9</v>
      </c>
      <c r="L229" s="147">
        <v>1</v>
      </c>
      <c r="M229" s="147">
        <v>10</v>
      </c>
      <c r="N229" s="275">
        <v>6400</v>
      </c>
      <c r="O229" s="193"/>
      <c r="P229" s="179">
        <v>44974</v>
      </c>
      <c r="Q229" s="173">
        <v>2.91</v>
      </c>
      <c r="R229" s="271">
        <v>0</v>
      </c>
      <c r="S229" s="164" t="s">
        <v>35</v>
      </c>
      <c r="T229" s="129" t="s">
        <v>36</v>
      </c>
      <c r="U229" s="147" t="s">
        <v>37</v>
      </c>
      <c r="V229" s="129"/>
      <c r="W229" s="147" t="s">
        <v>2208</v>
      </c>
      <c r="X229" s="205" t="s">
        <v>1009</v>
      </c>
      <c r="Y229" s="251"/>
      <c r="Z229" s="290"/>
      <c r="AA229" s="286" t="s">
        <v>47</v>
      </c>
    </row>
    <row r="230" spans="1:27" hidden="1" x14ac:dyDescent="0.25">
      <c r="A230" s="131">
        <v>1</v>
      </c>
      <c r="B230" s="136">
        <v>1108037</v>
      </c>
      <c r="C230" s="127" t="s">
        <v>30</v>
      </c>
      <c r="D230" s="128" t="s">
        <v>464</v>
      </c>
      <c r="E230" s="151" t="s">
        <v>49</v>
      </c>
      <c r="F230" s="129" t="s">
        <v>1791</v>
      </c>
      <c r="G230" s="147" t="s">
        <v>34</v>
      </c>
      <c r="H230" s="189">
        <f t="shared" si="3"/>
        <v>6.5</v>
      </c>
      <c r="I230" s="180" t="s">
        <v>2082</v>
      </c>
      <c r="J230" s="146">
        <v>30</v>
      </c>
      <c r="K230" s="147">
        <v>8</v>
      </c>
      <c r="L230" s="147">
        <v>2</v>
      </c>
      <c r="M230" s="147">
        <v>10</v>
      </c>
      <c r="N230" s="275">
        <v>55</v>
      </c>
      <c r="O230" s="194"/>
      <c r="P230" s="179"/>
      <c r="Q230" s="173">
        <v>6.47</v>
      </c>
      <c r="R230" s="271">
        <v>0.03</v>
      </c>
      <c r="S230" s="164"/>
      <c r="T230" s="129" t="s">
        <v>64</v>
      </c>
      <c r="U230" s="147" t="s">
        <v>37</v>
      </c>
      <c r="V230" s="129"/>
      <c r="W230" s="176" t="s">
        <v>54</v>
      </c>
      <c r="X230" s="205"/>
      <c r="Y230" s="251"/>
      <c r="Z230" s="290"/>
      <c r="AA230" s="286"/>
    </row>
    <row r="231" spans="1:27" ht="24" hidden="1" x14ac:dyDescent="0.25">
      <c r="A231" s="131">
        <v>1</v>
      </c>
      <c r="B231" s="136">
        <v>1108038</v>
      </c>
      <c r="C231" s="127" t="s">
        <v>30</v>
      </c>
      <c r="D231" s="128" t="s">
        <v>465</v>
      </c>
      <c r="E231" s="151" t="s">
        <v>466</v>
      </c>
      <c r="F231" s="129" t="s">
        <v>47</v>
      </c>
      <c r="G231" s="147" t="s">
        <v>34</v>
      </c>
      <c r="H231" s="189">
        <f t="shared" si="3"/>
        <v>2.94</v>
      </c>
      <c r="I231" s="210" t="s">
        <v>2223</v>
      </c>
      <c r="J231" s="146">
        <v>30</v>
      </c>
      <c r="K231" s="147">
        <v>9</v>
      </c>
      <c r="L231" s="147">
        <v>1</v>
      </c>
      <c r="M231" s="147">
        <v>10</v>
      </c>
      <c r="N231" s="275">
        <v>6400</v>
      </c>
      <c r="O231" s="194"/>
      <c r="P231" s="179"/>
      <c r="Q231" s="173">
        <v>2.94</v>
      </c>
      <c r="R231" s="271">
        <v>0</v>
      </c>
      <c r="S231" s="164" t="s">
        <v>35</v>
      </c>
      <c r="T231" s="129" t="s">
        <v>36</v>
      </c>
      <c r="U231" s="147" t="s">
        <v>37</v>
      </c>
      <c r="V231" s="129"/>
      <c r="W231" s="176" t="s">
        <v>54</v>
      </c>
      <c r="X231" s="205"/>
      <c r="Y231" s="251"/>
      <c r="Z231" s="290"/>
      <c r="AA231" s="286"/>
    </row>
    <row r="232" spans="1:27" hidden="1" x14ac:dyDescent="0.25">
      <c r="A232" s="131">
        <v>1</v>
      </c>
      <c r="B232" s="136">
        <v>1108039</v>
      </c>
      <c r="C232" s="127" t="s">
        <v>30</v>
      </c>
      <c r="D232" s="128" t="s">
        <v>467</v>
      </c>
      <c r="E232" s="151" t="s">
        <v>49</v>
      </c>
      <c r="F232" s="129" t="s">
        <v>1791</v>
      </c>
      <c r="G232" s="147" t="s">
        <v>34</v>
      </c>
      <c r="H232" s="189">
        <f t="shared" si="3"/>
        <v>6.6470000000000002</v>
      </c>
      <c r="I232" s="180" t="s">
        <v>2082</v>
      </c>
      <c r="J232" s="146">
        <v>30</v>
      </c>
      <c r="K232" s="147">
        <v>8</v>
      </c>
      <c r="L232" s="147">
        <v>2</v>
      </c>
      <c r="M232" s="147">
        <v>10</v>
      </c>
      <c r="N232" s="275">
        <v>1102</v>
      </c>
      <c r="O232" s="194"/>
      <c r="P232" s="179">
        <v>44684</v>
      </c>
      <c r="Q232" s="173">
        <v>6.62</v>
      </c>
      <c r="R232" s="271">
        <v>2.7E-2</v>
      </c>
      <c r="S232" s="164"/>
      <c r="T232" s="129" t="s">
        <v>468</v>
      </c>
      <c r="U232" s="147" t="s">
        <v>37</v>
      </c>
      <c r="V232" s="129"/>
      <c r="W232" s="176" t="s">
        <v>54</v>
      </c>
      <c r="X232" s="205"/>
      <c r="Y232" s="251"/>
      <c r="Z232" s="290"/>
      <c r="AA232" s="286"/>
    </row>
    <row r="233" spans="1:27" ht="24" x14ac:dyDescent="0.25">
      <c r="A233" s="131">
        <v>1</v>
      </c>
      <c r="B233" s="136">
        <v>1108040</v>
      </c>
      <c r="C233" s="127" t="s">
        <v>30</v>
      </c>
      <c r="D233" s="128" t="s">
        <v>469</v>
      </c>
      <c r="E233" s="151" t="s">
        <v>49</v>
      </c>
      <c r="F233" s="129" t="s">
        <v>47</v>
      </c>
      <c r="G233" s="147" t="s">
        <v>34</v>
      </c>
      <c r="H233" s="189">
        <f t="shared" si="3"/>
        <v>13.13</v>
      </c>
      <c r="I233" s="210" t="s">
        <v>2223</v>
      </c>
      <c r="J233" s="146">
        <v>30</v>
      </c>
      <c r="K233" s="147">
        <v>9</v>
      </c>
      <c r="L233" s="147">
        <v>1</v>
      </c>
      <c r="M233" s="147">
        <v>10</v>
      </c>
      <c r="N233" s="275">
        <v>6400</v>
      </c>
      <c r="O233" s="193">
        <v>12.99</v>
      </c>
      <c r="P233" s="179">
        <v>44971</v>
      </c>
      <c r="Q233" s="173">
        <v>13.13</v>
      </c>
      <c r="R233" s="271">
        <v>0</v>
      </c>
      <c r="S233" s="164" t="s">
        <v>35</v>
      </c>
      <c r="T233" s="129" t="s">
        <v>36</v>
      </c>
      <c r="U233" s="147" t="s">
        <v>37</v>
      </c>
      <c r="V233" s="129"/>
      <c r="W233" s="147" t="s">
        <v>2208</v>
      </c>
      <c r="X233" s="205" t="s">
        <v>1904</v>
      </c>
      <c r="Y233" s="251"/>
      <c r="Z233" s="290"/>
      <c r="AA233" s="286" t="s">
        <v>47</v>
      </c>
    </row>
    <row r="234" spans="1:27" hidden="1" x14ac:dyDescent="0.25">
      <c r="A234" s="131">
        <v>1</v>
      </c>
      <c r="B234" s="136">
        <v>1108041</v>
      </c>
      <c r="C234" s="127" t="s">
        <v>30</v>
      </c>
      <c r="D234" s="128" t="s">
        <v>470</v>
      </c>
      <c r="E234" s="151" t="s">
        <v>471</v>
      </c>
      <c r="F234" s="129" t="s">
        <v>323</v>
      </c>
      <c r="G234" s="147" t="s">
        <v>34</v>
      </c>
      <c r="H234" s="189">
        <f t="shared" si="3"/>
        <v>2.74</v>
      </c>
      <c r="I234" s="134" t="s">
        <v>2082</v>
      </c>
      <c r="J234" s="146">
        <v>30</v>
      </c>
      <c r="K234" s="147">
        <v>2</v>
      </c>
      <c r="L234" s="147">
        <v>2</v>
      </c>
      <c r="M234" s="147">
        <v>4</v>
      </c>
      <c r="N234" s="275">
        <v>1653</v>
      </c>
      <c r="O234" s="194"/>
      <c r="P234" s="179"/>
      <c r="Q234" s="173">
        <v>2.74</v>
      </c>
      <c r="R234" s="260">
        <v>0</v>
      </c>
      <c r="S234" s="164"/>
      <c r="T234" s="129" t="s">
        <v>102</v>
      </c>
      <c r="U234" s="147" t="s">
        <v>35</v>
      </c>
      <c r="V234" s="129"/>
      <c r="W234" s="176" t="s">
        <v>54</v>
      </c>
      <c r="X234" s="205"/>
      <c r="Y234" s="251"/>
      <c r="Z234" s="290"/>
      <c r="AA234" s="286"/>
    </row>
    <row r="235" spans="1:27" s="181" customFormat="1" hidden="1" x14ac:dyDescent="0.25">
      <c r="A235" s="131">
        <v>1</v>
      </c>
      <c r="B235" s="136">
        <v>1108042</v>
      </c>
      <c r="C235" s="127" t="s">
        <v>30</v>
      </c>
      <c r="D235" s="128" t="s">
        <v>474</v>
      </c>
      <c r="E235" s="151" t="s">
        <v>475</v>
      </c>
      <c r="F235" s="129" t="s">
        <v>1640</v>
      </c>
      <c r="G235" s="147" t="s">
        <v>34</v>
      </c>
      <c r="H235" s="189">
        <f t="shared" si="3"/>
        <v>4.8</v>
      </c>
      <c r="I235" s="134"/>
      <c r="J235" s="150"/>
      <c r="K235" s="147"/>
      <c r="L235" s="147"/>
      <c r="M235" s="147">
        <v>16</v>
      </c>
      <c r="N235" s="275">
        <v>2200</v>
      </c>
      <c r="O235" s="194">
        <v>1.5422</v>
      </c>
      <c r="P235" s="179">
        <v>45049</v>
      </c>
      <c r="Q235" s="173">
        <v>4.8</v>
      </c>
      <c r="R235" s="271">
        <v>0</v>
      </c>
      <c r="S235" s="164"/>
      <c r="T235" s="129" t="s">
        <v>102</v>
      </c>
      <c r="U235" s="147" t="s">
        <v>35</v>
      </c>
      <c r="V235" s="129"/>
      <c r="W235" s="176" t="s">
        <v>54</v>
      </c>
      <c r="X235" s="205"/>
      <c r="Y235" s="251"/>
      <c r="Z235" s="290"/>
      <c r="AA235" s="230"/>
    </row>
    <row r="236" spans="1:27" ht="36" x14ac:dyDescent="0.25">
      <c r="A236" s="131">
        <v>1</v>
      </c>
      <c r="B236" s="136">
        <v>1108043</v>
      </c>
      <c r="C236" s="127" t="s">
        <v>30</v>
      </c>
      <c r="D236" s="128" t="s">
        <v>476</v>
      </c>
      <c r="E236" s="151" t="s">
        <v>416</v>
      </c>
      <c r="F236" s="129" t="s">
        <v>1748</v>
      </c>
      <c r="G236" s="147" t="s">
        <v>34</v>
      </c>
      <c r="H236" s="189">
        <f t="shared" si="3"/>
        <v>9.4400000000000013</v>
      </c>
      <c r="I236" s="210" t="s">
        <v>2341</v>
      </c>
      <c r="J236" s="146">
        <v>0</v>
      </c>
      <c r="K236" s="147">
        <v>6</v>
      </c>
      <c r="L236" s="147">
        <v>1</v>
      </c>
      <c r="M236" s="147">
        <v>7</v>
      </c>
      <c r="N236" s="275">
        <v>2200</v>
      </c>
      <c r="O236" s="193">
        <v>8.51</v>
      </c>
      <c r="P236" s="179">
        <v>46146</v>
      </c>
      <c r="Q236" s="173">
        <v>9.39</v>
      </c>
      <c r="R236" s="271">
        <v>0.05</v>
      </c>
      <c r="S236" s="164"/>
      <c r="T236" s="129" t="s">
        <v>2089</v>
      </c>
      <c r="U236" s="147" t="s">
        <v>37</v>
      </c>
      <c r="V236" s="129"/>
      <c r="W236" s="147" t="s">
        <v>2208</v>
      </c>
      <c r="X236" s="205" t="s">
        <v>1911</v>
      </c>
      <c r="Y236" s="251"/>
      <c r="Z236" s="290"/>
      <c r="AA236" s="286" t="s">
        <v>2706</v>
      </c>
    </row>
    <row r="237" spans="1:27" ht="24" x14ac:dyDescent="0.25">
      <c r="A237" s="131">
        <v>1</v>
      </c>
      <c r="B237" s="136">
        <v>1108044</v>
      </c>
      <c r="C237" s="127" t="s">
        <v>30</v>
      </c>
      <c r="D237" s="128" t="s">
        <v>1494</v>
      </c>
      <c r="E237" s="151" t="s">
        <v>1495</v>
      </c>
      <c r="F237" s="129" t="s">
        <v>164</v>
      </c>
      <c r="G237" s="147" t="s">
        <v>34</v>
      </c>
      <c r="H237" s="189">
        <f t="shared" si="3"/>
        <v>1.7205851851851852</v>
      </c>
      <c r="I237" s="210" t="s">
        <v>2221</v>
      </c>
      <c r="J237" s="146">
        <v>0</v>
      </c>
      <c r="K237" s="147">
        <v>8</v>
      </c>
      <c r="L237" s="147">
        <v>6</v>
      </c>
      <c r="M237" s="147">
        <v>15</v>
      </c>
      <c r="N237" s="275">
        <v>40500</v>
      </c>
      <c r="O237" s="193">
        <f>1.2927+0.1852</f>
        <v>1.4779</v>
      </c>
      <c r="P237" s="179">
        <v>46126</v>
      </c>
      <c r="Q237" s="177">
        <v>1.5354000000000001</v>
      </c>
      <c r="R237" s="271">
        <f>7500/N237</f>
        <v>0.18518518518518517</v>
      </c>
      <c r="S237" s="164" t="s">
        <v>35</v>
      </c>
      <c r="T237" s="129" t="s">
        <v>36</v>
      </c>
      <c r="U237" s="147" t="s">
        <v>37</v>
      </c>
      <c r="V237" s="129"/>
      <c r="W237" s="147" t="s">
        <v>2208</v>
      </c>
      <c r="X237" s="205" t="s">
        <v>1918</v>
      </c>
      <c r="Y237" s="251"/>
      <c r="Z237" s="290"/>
      <c r="AA237" s="286" t="s">
        <v>164</v>
      </c>
    </row>
    <row r="238" spans="1:27" hidden="1" x14ac:dyDescent="0.25">
      <c r="A238" s="131">
        <v>1</v>
      </c>
      <c r="B238" s="136">
        <v>1108045</v>
      </c>
      <c r="C238" s="127" t="s">
        <v>30</v>
      </c>
      <c r="D238" s="128" t="s">
        <v>1509</v>
      </c>
      <c r="E238" s="147" t="s">
        <v>46</v>
      </c>
      <c r="F238" s="129" t="s">
        <v>1889</v>
      </c>
      <c r="G238" s="147" t="s">
        <v>34</v>
      </c>
      <c r="H238" s="189">
        <f t="shared" si="3"/>
        <v>1.5422158920811799</v>
      </c>
      <c r="I238" s="134"/>
      <c r="J238" s="150"/>
      <c r="K238" s="147"/>
      <c r="L238" s="147"/>
      <c r="M238" s="147">
        <v>10</v>
      </c>
      <c r="N238" s="275"/>
      <c r="O238" s="194"/>
      <c r="P238" s="179"/>
      <c r="Q238" s="173">
        <v>1.5422158920811799</v>
      </c>
      <c r="R238" s="271">
        <v>0</v>
      </c>
      <c r="S238" s="164"/>
      <c r="T238" s="129" t="s">
        <v>102</v>
      </c>
      <c r="U238" s="147" t="s">
        <v>35</v>
      </c>
      <c r="V238" s="129"/>
      <c r="W238" s="176" t="s">
        <v>54</v>
      </c>
      <c r="X238" s="205"/>
      <c r="Y238" s="251"/>
      <c r="Z238" s="290"/>
      <c r="AA238" s="230"/>
    </row>
    <row r="239" spans="1:27" s="181" customFormat="1" hidden="1" x14ac:dyDescent="0.25">
      <c r="A239" s="131">
        <v>1</v>
      </c>
      <c r="B239" s="136">
        <v>1108046</v>
      </c>
      <c r="C239" s="127" t="s">
        <v>30</v>
      </c>
      <c r="D239" s="128" t="s">
        <v>1581</v>
      </c>
      <c r="E239" s="147" t="s">
        <v>49</v>
      </c>
      <c r="F239" s="129" t="s">
        <v>329</v>
      </c>
      <c r="G239" s="147" t="s">
        <v>34</v>
      </c>
      <c r="H239" s="189">
        <f t="shared" si="3"/>
        <v>0.05</v>
      </c>
      <c r="I239" s="180" t="s">
        <v>2213</v>
      </c>
      <c r="J239" s="150"/>
      <c r="K239" s="147">
        <v>2</v>
      </c>
      <c r="L239" s="147">
        <v>2</v>
      </c>
      <c r="M239" s="147">
        <v>4</v>
      </c>
      <c r="N239" s="275"/>
      <c r="O239" s="194"/>
      <c r="P239" s="179"/>
      <c r="Q239" s="173"/>
      <c r="R239" s="271">
        <v>0.05</v>
      </c>
      <c r="S239" s="164" t="s">
        <v>35</v>
      </c>
      <c r="T239" s="129" t="s">
        <v>329</v>
      </c>
      <c r="U239" s="147" t="s">
        <v>35</v>
      </c>
      <c r="V239" s="129" t="s">
        <v>1606</v>
      </c>
      <c r="W239" s="176" t="s">
        <v>2519</v>
      </c>
      <c r="X239" s="205"/>
      <c r="Y239" s="251"/>
      <c r="Z239" s="290"/>
      <c r="AA239" s="286"/>
    </row>
    <row r="240" spans="1:27" s="181" customFormat="1" ht="24" hidden="1" x14ac:dyDescent="0.25">
      <c r="A240" s="131">
        <v>1</v>
      </c>
      <c r="B240" s="136">
        <v>1108047</v>
      </c>
      <c r="C240" s="127" t="s">
        <v>30</v>
      </c>
      <c r="D240" s="128" t="s">
        <v>1592</v>
      </c>
      <c r="E240" s="147" t="s">
        <v>450</v>
      </c>
      <c r="F240" s="129" t="s">
        <v>1585</v>
      </c>
      <c r="G240" s="147" t="s">
        <v>34</v>
      </c>
      <c r="H240" s="189">
        <f t="shared" si="3"/>
        <v>2.83</v>
      </c>
      <c r="I240" s="134"/>
      <c r="J240" s="150"/>
      <c r="K240" s="147"/>
      <c r="L240" s="147"/>
      <c r="M240" s="147">
        <v>2</v>
      </c>
      <c r="N240" s="275"/>
      <c r="O240" s="194"/>
      <c r="P240" s="179"/>
      <c r="Q240" s="173">
        <v>2.83</v>
      </c>
      <c r="R240" s="271">
        <v>0</v>
      </c>
      <c r="S240" s="164" t="s">
        <v>186</v>
      </c>
      <c r="T240" s="128" t="s">
        <v>1588</v>
      </c>
      <c r="U240" s="147" t="s">
        <v>37</v>
      </c>
      <c r="V240" s="129"/>
      <c r="W240" s="176" t="s">
        <v>54</v>
      </c>
      <c r="X240" s="205"/>
      <c r="Y240" s="251"/>
      <c r="Z240" s="290"/>
      <c r="AA240" s="230"/>
    </row>
    <row r="241" spans="1:27" s="181" customFormat="1" hidden="1" x14ac:dyDescent="0.25">
      <c r="A241" s="131">
        <v>1</v>
      </c>
      <c r="B241" s="136">
        <v>1108048</v>
      </c>
      <c r="C241" s="127" t="s">
        <v>30</v>
      </c>
      <c r="D241" s="128" t="s">
        <v>1600</v>
      </c>
      <c r="E241" s="147" t="s">
        <v>49</v>
      </c>
      <c r="F241" s="136" t="s">
        <v>329</v>
      </c>
      <c r="G241" s="147" t="s">
        <v>34</v>
      </c>
      <c r="H241" s="189">
        <f t="shared" si="3"/>
        <v>0.05</v>
      </c>
      <c r="I241" s="180" t="s">
        <v>2213</v>
      </c>
      <c r="J241" s="150"/>
      <c r="K241" s="147">
        <v>2</v>
      </c>
      <c r="L241" s="147">
        <v>2</v>
      </c>
      <c r="M241" s="147">
        <v>4</v>
      </c>
      <c r="N241" s="275"/>
      <c r="O241" s="194"/>
      <c r="P241" s="179"/>
      <c r="Q241" s="173"/>
      <c r="R241" s="271">
        <v>0.05</v>
      </c>
      <c r="S241" s="164"/>
      <c r="T241" s="128" t="s">
        <v>329</v>
      </c>
      <c r="U241" s="147" t="s">
        <v>35</v>
      </c>
      <c r="V241" s="129"/>
      <c r="W241" s="176" t="s">
        <v>2519</v>
      </c>
      <c r="X241" s="205"/>
      <c r="Y241" s="251"/>
      <c r="Z241" s="290"/>
      <c r="AA241" s="286"/>
    </row>
    <row r="242" spans="1:27" s="181" customFormat="1" ht="24" hidden="1" x14ac:dyDescent="0.25">
      <c r="A242" s="131">
        <v>1</v>
      </c>
      <c r="B242" s="136">
        <v>1108049</v>
      </c>
      <c r="C242" s="127" t="s">
        <v>30</v>
      </c>
      <c r="D242" s="136" t="s">
        <v>1609</v>
      </c>
      <c r="E242" s="147" t="s">
        <v>450</v>
      </c>
      <c r="F242" s="129" t="s">
        <v>1585</v>
      </c>
      <c r="G242" s="147" t="s">
        <v>34</v>
      </c>
      <c r="H242" s="189">
        <f t="shared" si="3"/>
        <v>2.83</v>
      </c>
      <c r="I242" s="134"/>
      <c r="J242" s="150"/>
      <c r="K242" s="147">
        <v>11</v>
      </c>
      <c r="L242" s="147">
        <v>1</v>
      </c>
      <c r="M242" s="147">
        <v>12</v>
      </c>
      <c r="N242" s="275"/>
      <c r="O242" s="194"/>
      <c r="P242" s="179"/>
      <c r="Q242" s="173">
        <v>2.83</v>
      </c>
      <c r="R242" s="271">
        <v>0</v>
      </c>
      <c r="S242" s="164" t="s">
        <v>186</v>
      </c>
      <c r="T242" s="128" t="s">
        <v>1588</v>
      </c>
      <c r="U242" s="147" t="s">
        <v>37</v>
      </c>
      <c r="V242" s="129">
        <v>19138</v>
      </c>
      <c r="W242" s="176" t="s">
        <v>54</v>
      </c>
      <c r="X242" s="205"/>
      <c r="Y242" s="251"/>
      <c r="Z242" s="290"/>
      <c r="AA242" s="230"/>
    </row>
    <row r="243" spans="1:27" ht="24" hidden="1" x14ac:dyDescent="0.25">
      <c r="A243" s="131">
        <v>1</v>
      </c>
      <c r="B243" s="136">
        <v>1108050</v>
      </c>
      <c r="C243" s="127" t="s">
        <v>30</v>
      </c>
      <c r="D243" s="136" t="s">
        <v>1638</v>
      </c>
      <c r="E243" s="147" t="s">
        <v>46</v>
      </c>
      <c r="F243" s="129" t="s">
        <v>164</v>
      </c>
      <c r="G243" s="147" t="s">
        <v>34</v>
      </c>
      <c r="H243" s="189">
        <f t="shared" si="3"/>
        <v>1.7096</v>
      </c>
      <c r="I243" s="210" t="s">
        <v>2221</v>
      </c>
      <c r="J243" s="146">
        <v>30</v>
      </c>
      <c r="K243" s="147">
        <v>8</v>
      </c>
      <c r="L243" s="147">
        <v>6</v>
      </c>
      <c r="M243" s="147">
        <v>15</v>
      </c>
      <c r="N243" s="275">
        <v>15000</v>
      </c>
      <c r="O243" s="177">
        <v>1.4569000000000001</v>
      </c>
      <c r="P243" s="179">
        <v>46126</v>
      </c>
      <c r="Q243" s="177">
        <v>1.7096</v>
      </c>
      <c r="R243" s="309"/>
      <c r="S243" s="164" t="s">
        <v>35</v>
      </c>
      <c r="T243" s="129" t="s">
        <v>36</v>
      </c>
      <c r="U243" s="147" t="s">
        <v>37</v>
      </c>
      <c r="V243" s="129"/>
      <c r="W243" s="176" t="s">
        <v>54</v>
      </c>
      <c r="X243" s="205" t="s">
        <v>1918</v>
      </c>
      <c r="Y243" s="251"/>
      <c r="Z243" s="290"/>
      <c r="AA243" s="286"/>
    </row>
    <row r="244" spans="1:27" x14ac:dyDescent="0.25">
      <c r="A244" s="131">
        <v>1</v>
      </c>
      <c r="B244" s="136">
        <v>1109001</v>
      </c>
      <c r="C244" s="127" t="s">
        <v>30</v>
      </c>
      <c r="D244" s="128" t="s">
        <v>478</v>
      </c>
      <c r="E244" s="151" t="s">
        <v>49</v>
      </c>
      <c r="F244" s="129" t="s">
        <v>1836</v>
      </c>
      <c r="G244" s="147" t="s">
        <v>34</v>
      </c>
      <c r="H244" s="189">
        <f t="shared" si="3"/>
        <v>15.979590000000002</v>
      </c>
      <c r="I244" s="210" t="s">
        <v>2082</v>
      </c>
      <c r="J244" s="146">
        <v>0</v>
      </c>
      <c r="K244" s="147">
        <v>8</v>
      </c>
      <c r="L244" s="147">
        <v>2</v>
      </c>
      <c r="M244" s="147">
        <v>10</v>
      </c>
      <c r="N244" s="275">
        <v>276</v>
      </c>
      <c r="O244" s="173">
        <v>15.8</v>
      </c>
      <c r="P244" s="179">
        <v>46128</v>
      </c>
      <c r="Q244" s="173">
        <f>15.8+0.05</f>
        <v>15.850000000000001</v>
      </c>
      <c r="R244" s="271">
        <f>0.07959+0.05</f>
        <v>0.12958999999999998</v>
      </c>
      <c r="S244" s="164"/>
      <c r="T244" s="129" t="s">
        <v>36</v>
      </c>
      <c r="U244" s="147" t="s">
        <v>35</v>
      </c>
      <c r="V244" s="129"/>
      <c r="W244" s="147" t="s">
        <v>2208</v>
      </c>
      <c r="X244" s="205" t="s">
        <v>1009</v>
      </c>
      <c r="Y244" s="251"/>
      <c r="Z244" s="290"/>
      <c r="AA244" s="286" t="s">
        <v>33</v>
      </c>
    </row>
    <row r="245" spans="1:27" s="181" customFormat="1" hidden="1" x14ac:dyDescent="0.25">
      <c r="A245" s="131">
        <v>1</v>
      </c>
      <c r="B245" s="136">
        <v>1109002</v>
      </c>
      <c r="C245" s="127" t="s">
        <v>30</v>
      </c>
      <c r="D245" s="128" t="s">
        <v>479</v>
      </c>
      <c r="E245" s="151" t="s">
        <v>181</v>
      </c>
      <c r="F245" s="129" t="s">
        <v>384</v>
      </c>
      <c r="G245" s="147" t="s">
        <v>34</v>
      </c>
      <c r="H245" s="189">
        <f t="shared" si="3"/>
        <v>0</v>
      </c>
      <c r="I245" s="213"/>
      <c r="J245" s="149"/>
      <c r="K245" s="147"/>
      <c r="L245" s="147"/>
      <c r="M245" s="147">
        <v>6</v>
      </c>
      <c r="N245" s="275"/>
      <c r="O245" s="194"/>
      <c r="P245" s="179"/>
      <c r="Q245" s="173"/>
      <c r="R245" s="260">
        <v>0</v>
      </c>
      <c r="S245" s="167"/>
      <c r="T245" s="129" t="s">
        <v>36</v>
      </c>
      <c r="U245" s="147" t="s">
        <v>37</v>
      </c>
      <c r="V245" s="129"/>
      <c r="W245" s="162" t="s">
        <v>54</v>
      </c>
      <c r="X245" s="205"/>
      <c r="Y245" s="251"/>
      <c r="Z245" s="290"/>
      <c r="AA245" s="286"/>
    </row>
    <row r="246" spans="1:27" x14ac:dyDescent="0.25">
      <c r="A246" s="131">
        <v>1</v>
      </c>
      <c r="B246" s="136">
        <v>1109003</v>
      </c>
      <c r="C246" s="127" t="s">
        <v>30</v>
      </c>
      <c r="D246" s="128" t="s">
        <v>481</v>
      </c>
      <c r="E246" s="151" t="s">
        <v>127</v>
      </c>
      <c r="F246" s="129" t="s">
        <v>307</v>
      </c>
      <c r="G246" s="147" t="s">
        <v>34</v>
      </c>
      <c r="H246" s="189">
        <f t="shared" si="3"/>
        <v>14.06</v>
      </c>
      <c r="I246" s="210" t="s">
        <v>2082</v>
      </c>
      <c r="J246" s="146">
        <v>0</v>
      </c>
      <c r="K246" s="147">
        <v>9</v>
      </c>
      <c r="L246" s="147">
        <v>1</v>
      </c>
      <c r="M246" s="147">
        <v>10</v>
      </c>
      <c r="N246" s="275">
        <v>55</v>
      </c>
      <c r="O246" s="193">
        <v>6.26</v>
      </c>
      <c r="P246" s="179">
        <v>45331</v>
      </c>
      <c r="Q246" s="173">
        <v>14.01</v>
      </c>
      <c r="R246" s="271">
        <v>0.05</v>
      </c>
      <c r="S246" s="164"/>
      <c r="T246" s="129" t="s">
        <v>36</v>
      </c>
      <c r="U246" s="147" t="s">
        <v>35</v>
      </c>
      <c r="V246" s="129"/>
      <c r="W246" s="147" t="s">
        <v>2208</v>
      </c>
      <c r="X246" s="205" t="s">
        <v>1009</v>
      </c>
      <c r="Y246" s="251"/>
      <c r="Z246" s="290"/>
      <c r="AA246" s="286" t="s">
        <v>481</v>
      </c>
    </row>
    <row r="247" spans="1:27" hidden="1" x14ac:dyDescent="0.25">
      <c r="A247" s="131">
        <v>1</v>
      </c>
      <c r="B247" s="136">
        <v>1109004</v>
      </c>
      <c r="C247" s="127" t="s">
        <v>30</v>
      </c>
      <c r="D247" s="128" t="s">
        <v>482</v>
      </c>
      <c r="E247" s="147" t="s">
        <v>38</v>
      </c>
      <c r="F247" s="129" t="s">
        <v>1793</v>
      </c>
      <c r="G247" s="147" t="s">
        <v>34</v>
      </c>
      <c r="H247" s="189">
        <f t="shared" si="3"/>
        <v>0</v>
      </c>
      <c r="I247" s="134" t="s">
        <v>2082</v>
      </c>
      <c r="J247" s="146">
        <v>0</v>
      </c>
      <c r="K247" s="147">
        <v>2</v>
      </c>
      <c r="L247" s="147">
        <v>2</v>
      </c>
      <c r="M247" s="147">
        <v>4</v>
      </c>
      <c r="N247" s="275">
        <v>100</v>
      </c>
      <c r="O247" s="194"/>
      <c r="P247" s="179"/>
      <c r="Q247" s="173"/>
      <c r="R247" s="260">
        <v>0</v>
      </c>
      <c r="S247" s="167"/>
      <c r="T247" s="129" t="s">
        <v>189</v>
      </c>
      <c r="U247" s="147" t="s">
        <v>37</v>
      </c>
      <c r="V247" s="129"/>
      <c r="W247" s="162" t="s">
        <v>54</v>
      </c>
      <c r="X247" s="205"/>
      <c r="Y247" s="251"/>
      <c r="Z247" s="290"/>
      <c r="AA247" s="286"/>
    </row>
    <row r="248" spans="1:27" ht="24" hidden="1" x14ac:dyDescent="0.25">
      <c r="A248" s="131">
        <v>1</v>
      </c>
      <c r="B248" s="136">
        <v>1109010</v>
      </c>
      <c r="C248" s="127" t="s">
        <v>30</v>
      </c>
      <c r="D248" s="128" t="s">
        <v>487</v>
      </c>
      <c r="E248" s="151" t="s">
        <v>66</v>
      </c>
      <c r="F248" s="129" t="s">
        <v>33</v>
      </c>
      <c r="G248" s="147" t="s">
        <v>34</v>
      </c>
      <c r="H248" s="189">
        <f t="shared" si="3"/>
        <v>0</v>
      </c>
      <c r="I248" s="210" t="s">
        <v>2223</v>
      </c>
      <c r="J248" s="146">
        <v>0</v>
      </c>
      <c r="K248" s="147">
        <v>5</v>
      </c>
      <c r="L248" s="147">
        <v>1</v>
      </c>
      <c r="M248" s="147">
        <v>6</v>
      </c>
      <c r="N248" s="275"/>
      <c r="O248" s="194"/>
      <c r="P248" s="179"/>
      <c r="Q248" s="173"/>
      <c r="R248" s="260">
        <v>0</v>
      </c>
      <c r="S248" s="164"/>
      <c r="T248" s="129" t="s">
        <v>189</v>
      </c>
      <c r="U248" s="147" t="s">
        <v>37</v>
      </c>
      <c r="V248" s="129"/>
      <c r="W248" s="162" t="s">
        <v>54</v>
      </c>
      <c r="X248" s="205"/>
      <c r="Y248" s="251"/>
      <c r="Z248" s="290"/>
      <c r="AA248" s="286"/>
    </row>
    <row r="249" spans="1:27" s="181" customFormat="1" hidden="1" x14ac:dyDescent="0.25">
      <c r="A249" s="131">
        <v>1</v>
      </c>
      <c r="B249" s="136">
        <v>1109011</v>
      </c>
      <c r="C249" s="127" t="s">
        <v>30</v>
      </c>
      <c r="D249" s="128" t="s">
        <v>488</v>
      </c>
      <c r="E249" s="151" t="s">
        <v>66</v>
      </c>
      <c r="F249" s="129" t="s">
        <v>336</v>
      </c>
      <c r="G249" s="147" t="s">
        <v>34</v>
      </c>
      <c r="H249" s="189">
        <f t="shared" si="3"/>
        <v>0</v>
      </c>
      <c r="I249" s="213"/>
      <c r="J249" s="149"/>
      <c r="K249" s="147">
        <v>11</v>
      </c>
      <c r="L249" s="147">
        <v>1</v>
      </c>
      <c r="M249" s="147">
        <v>12</v>
      </c>
      <c r="N249" s="275"/>
      <c r="O249" s="194"/>
      <c r="P249" s="179"/>
      <c r="Q249" s="173"/>
      <c r="R249" s="260">
        <v>0</v>
      </c>
      <c r="S249" s="167"/>
      <c r="T249" s="129" t="s">
        <v>189</v>
      </c>
      <c r="U249" s="147" t="s">
        <v>37</v>
      </c>
      <c r="V249" s="129"/>
      <c r="W249" s="162" t="s">
        <v>54</v>
      </c>
      <c r="X249" s="205"/>
      <c r="Y249" s="251"/>
      <c r="Z249" s="290"/>
      <c r="AA249" s="286"/>
    </row>
    <row r="250" spans="1:27" ht="24" hidden="1" x14ac:dyDescent="0.25">
      <c r="A250" s="131">
        <v>1</v>
      </c>
      <c r="B250" s="136">
        <v>1109012</v>
      </c>
      <c r="C250" s="127" t="s">
        <v>30</v>
      </c>
      <c r="D250" s="128" t="s">
        <v>489</v>
      </c>
      <c r="E250" s="151" t="s">
        <v>66</v>
      </c>
      <c r="F250" s="129" t="s">
        <v>33</v>
      </c>
      <c r="G250" s="147" t="s">
        <v>34</v>
      </c>
      <c r="H250" s="189">
        <f t="shared" si="3"/>
        <v>0</v>
      </c>
      <c r="I250" s="210" t="s">
        <v>2223</v>
      </c>
      <c r="J250" s="146">
        <v>0</v>
      </c>
      <c r="K250" s="147">
        <v>5</v>
      </c>
      <c r="L250" s="147">
        <v>1</v>
      </c>
      <c r="M250" s="147">
        <v>6</v>
      </c>
      <c r="N250" s="275"/>
      <c r="O250" s="194"/>
      <c r="P250" s="179"/>
      <c r="Q250" s="173"/>
      <c r="R250" s="260">
        <v>0</v>
      </c>
      <c r="S250" s="164"/>
      <c r="T250" s="129" t="s">
        <v>189</v>
      </c>
      <c r="U250" s="147" t="s">
        <v>37</v>
      </c>
      <c r="V250" s="129"/>
      <c r="W250" s="162" t="s">
        <v>54</v>
      </c>
      <c r="X250" s="205"/>
      <c r="Y250" s="251"/>
      <c r="Z250" s="290"/>
      <c r="AA250" s="286"/>
    </row>
    <row r="251" spans="1:27" ht="24" hidden="1" x14ac:dyDescent="0.25">
      <c r="A251" s="131">
        <v>1</v>
      </c>
      <c r="B251" s="136">
        <v>1109013</v>
      </c>
      <c r="C251" s="127" t="s">
        <v>30</v>
      </c>
      <c r="D251" s="128" t="s">
        <v>490</v>
      </c>
      <c r="E251" s="151" t="s">
        <v>66</v>
      </c>
      <c r="F251" s="129" t="s">
        <v>33</v>
      </c>
      <c r="G251" s="147" t="s">
        <v>34</v>
      </c>
      <c r="H251" s="189">
        <f t="shared" si="3"/>
        <v>0</v>
      </c>
      <c r="I251" s="210" t="s">
        <v>2223</v>
      </c>
      <c r="J251" s="146">
        <v>0</v>
      </c>
      <c r="K251" s="147">
        <v>5</v>
      </c>
      <c r="L251" s="147">
        <v>1</v>
      </c>
      <c r="M251" s="147">
        <v>6</v>
      </c>
      <c r="N251" s="275"/>
      <c r="O251" s="194"/>
      <c r="P251" s="179"/>
      <c r="Q251" s="173"/>
      <c r="R251" s="260">
        <v>0</v>
      </c>
      <c r="S251" s="164"/>
      <c r="T251" s="129" t="s">
        <v>189</v>
      </c>
      <c r="U251" s="147" t="s">
        <v>37</v>
      </c>
      <c r="V251" s="129"/>
      <c r="W251" s="162" t="s">
        <v>54</v>
      </c>
      <c r="X251" s="205"/>
      <c r="Y251" s="251"/>
      <c r="Z251" s="290"/>
      <c r="AA251" s="286"/>
    </row>
    <row r="252" spans="1:27" x14ac:dyDescent="0.25">
      <c r="A252" s="131">
        <v>1</v>
      </c>
      <c r="B252" s="136">
        <v>1109014</v>
      </c>
      <c r="C252" s="127" t="s">
        <v>30</v>
      </c>
      <c r="D252" s="128" t="s">
        <v>491</v>
      </c>
      <c r="E252" s="151" t="s">
        <v>46</v>
      </c>
      <c r="F252" s="129" t="s">
        <v>1545</v>
      </c>
      <c r="G252" s="147" t="s">
        <v>34</v>
      </c>
      <c r="H252" s="189">
        <f t="shared" si="3"/>
        <v>4.5999999999999996</v>
      </c>
      <c r="I252" s="210" t="s">
        <v>2082</v>
      </c>
      <c r="J252" s="146">
        <v>30</v>
      </c>
      <c r="K252" s="147">
        <v>11</v>
      </c>
      <c r="L252" s="147">
        <v>1</v>
      </c>
      <c r="M252" s="147">
        <v>12</v>
      </c>
      <c r="N252" s="275">
        <v>1600</v>
      </c>
      <c r="O252" s="193"/>
      <c r="P252" s="179">
        <v>45146</v>
      </c>
      <c r="Q252" s="173">
        <v>4.55</v>
      </c>
      <c r="R252" s="271">
        <v>0.05</v>
      </c>
      <c r="S252" s="164"/>
      <c r="T252" s="129" t="s">
        <v>36</v>
      </c>
      <c r="U252" s="147" t="s">
        <v>37</v>
      </c>
      <c r="V252" s="129"/>
      <c r="W252" s="147" t="s">
        <v>2208</v>
      </c>
      <c r="X252" s="205" t="s">
        <v>1009</v>
      </c>
      <c r="Y252" s="251"/>
      <c r="Z252" s="290"/>
      <c r="AA252" s="286" t="s">
        <v>47</v>
      </c>
    </row>
    <row r="253" spans="1:27" ht="24" hidden="1" x14ac:dyDescent="0.25">
      <c r="A253" s="131">
        <v>1</v>
      </c>
      <c r="B253" s="136">
        <v>1109015</v>
      </c>
      <c r="C253" s="127" t="s">
        <v>30</v>
      </c>
      <c r="D253" s="136" t="s">
        <v>493</v>
      </c>
      <c r="E253" s="151" t="s">
        <v>143</v>
      </c>
      <c r="F253" s="129" t="s">
        <v>33</v>
      </c>
      <c r="G253" s="147" t="s">
        <v>34</v>
      </c>
      <c r="H253" s="189">
        <f t="shared" si="3"/>
        <v>3.6469</v>
      </c>
      <c r="I253" s="210" t="s">
        <v>2223</v>
      </c>
      <c r="J253" s="146">
        <v>0</v>
      </c>
      <c r="K253" s="147">
        <v>5</v>
      </c>
      <c r="L253" s="147">
        <v>1</v>
      </c>
      <c r="M253" s="147">
        <v>6</v>
      </c>
      <c r="N253" s="275">
        <v>19000</v>
      </c>
      <c r="O253" s="194"/>
      <c r="P253" s="179">
        <v>44687</v>
      </c>
      <c r="Q253" s="173">
        <v>3.6469</v>
      </c>
      <c r="R253" s="271">
        <v>0</v>
      </c>
      <c r="S253" s="164" t="s">
        <v>35</v>
      </c>
      <c r="T253" s="129" t="s">
        <v>36</v>
      </c>
      <c r="U253" s="147" t="s">
        <v>37</v>
      </c>
      <c r="V253" s="129"/>
      <c r="W253" s="176" t="s">
        <v>54</v>
      </c>
      <c r="X253" s="205"/>
      <c r="Y253" s="251"/>
      <c r="Z253" s="290"/>
      <c r="AA253" s="286"/>
    </row>
    <row r="254" spans="1:27" ht="24" hidden="1" x14ac:dyDescent="0.25">
      <c r="A254" s="131">
        <v>1</v>
      </c>
      <c r="B254" s="136">
        <v>1109016</v>
      </c>
      <c r="C254" s="127" t="s">
        <v>30</v>
      </c>
      <c r="D254" s="136" t="s">
        <v>494</v>
      </c>
      <c r="E254" s="151" t="s">
        <v>138</v>
      </c>
      <c r="F254" s="129" t="s">
        <v>1616</v>
      </c>
      <c r="G254" s="147" t="s">
        <v>34</v>
      </c>
      <c r="H254" s="189">
        <f t="shared" si="3"/>
        <v>6.6614000000000004</v>
      </c>
      <c r="I254" s="134" t="s">
        <v>2082</v>
      </c>
      <c r="J254" s="146">
        <v>0</v>
      </c>
      <c r="K254" s="147">
        <v>2</v>
      </c>
      <c r="L254" s="147">
        <v>2</v>
      </c>
      <c r="M254" s="147">
        <v>4</v>
      </c>
      <c r="N254" s="275">
        <v>1375</v>
      </c>
      <c r="O254" s="194">
        <v>2.8113999999999999</v>
      </c>
      <c r="P254" s="179">
        <v>44676</v>
      </c>
      <c r="Q254" s="173">
        <v>6.44</v>
      </c>
      <c r="R254" s="271">
        <v>0.22140000000000001</v>
      </c>
      <c r="S254" s="164"/>
      <c r="T254" s="129" t="s">
        <v>36</v>
      </c>
      <c r="U254" s="147" t="s">
        <v>37</v>
      </c>
      <c r="V254" s="129"/>
      <c r="W254" s="176" t="s">
        <v>54</v>
      </c>
      <c r="X254" s="205" t="s">
        <v>1009</v>
      </c>
      <c r="Y254" s="251"/>
      <c r="Z254" s="290"/>
      <c r="AA254" s="286"/>
    </row>
    <row r="255" spans="1:27" ht="24" hidden="1" x14ac:dyDescent="0.25">
      <c r="A255" s="131">
        <v>1</v>
      </c>
      <c r="B255" s="136">
        <v>1109017</v>
      </c>
      <c r="C255" s="127" t="s">
        <v>30</v>
      </c>
      <c r="D255" s="136" t="s">
        <v>495</v>
      </c>
      <c r="E255" s="151" t="s">
        <v>32</v>
      </c>
      <c r="F255" s="129" t="s">
        <v>33</v>
      </c>
      <c r="G255" s="147" t="s">
        <v>34</v>
      </c>
      <c r="H255" s="189">
        <f t="shared" si="3"/>
        <v>0</v>
      </c>
      <c r="I255" s="210" t="s">
        <v>2223</v>
      </c>
      <c r="J255" s="146">
        <v>0</v>
      </c>
      <c r="K255" s="147">
        <v>5</v>
      </c>
      <c r="L255" s="147">
        <v>1</v>
      </c>
      <c r="M255" s="147">
        <v>6</v>
      </c>
      <c r="N255" s="275"/>
      <c r="O255" s="194"/>
      <c r="P255" s="179"/>
      <c r="Q255" s="173"/>
      <c r="R255" s="260">
        <v>0</v>
      </c>
      <c r="S255" s="164"/>
      <c r="T255" s="129" t="s">
        <v>496</v>
      </c>
      <c r="U255" s="147" t="s">
        <v>37</v>
      </c>
      <c r="V255" s="129"/>
      <c r="W255" s="162" t="s">
        <v>54</v>
      </c>
      <c r="X255" s="205"/>
      <c r="Y255" s="251"/>
      <c r="Z255" s="290"/>
      <c r="AA255" s="286"/>
    </row>
    <row r="256" spans="1:27" ht="24" hidden="1" x14ac:dyDescent="0.25">
      <c r="A256" s="131">
        <v>1</v>
      </c>
      <c r="B256" s="136">
        <v>1109018</v>
      </c>
      <c r="C256" s="127" t="s">
        <v>30</v>
      </c>
      <c r="D256" s="136" t="s">
        <v>497</v>
      </c>
      <c r="E256" s="151" t="s">
        <v>66</v>
      </c>
      <c r="F256" s="129" t="s">
        <v>33</v>
      </c>
      <c r="G256" s="147" t="s">
        <v>34</v>
      </c>
      <c r="H256" s="189">
        <f t="shared" si="3"/>
        <v>0</v>
      </c>
      <c r="I256" s="210" t="s">
        <v>2223</v>
      </c>
      <c r="J256" s="146">
        <v>0</v>
      </c>
      <c r="K256" s="147">
        <v>5</v>
      </c>
      <c r="L256" s="147">
        <v>1</v>
      </c>
      <c r="M256" s="147">
        <v>6</v>
      </c>
      <c r="N256" s="275"/>
      <c r="O256" s="194"/>
      <c r="P256" s="179"/>
      <c r="Q256" s="173"/>
      <c r="R256" s="260">
        <v>0</v>
      </c>
      <c r="S256" s="164"/>
      <c r="T256" s="129" t="s">
        <v>496</v>
      </c>
      <c r="U256" s="147" t="s">
        <v>37</v>
      </c>
      <c r="V256" s="129"/>
      <c r="W256" s="162" t="s">
        <v>54</v>
      </c>
      <c r="X256" s="205"/>
      <c r="Y256" s="251"/>
      <c r="Z256" s="290"/>
      <c r="AA256" s="286"/>
    </row>
    <row r="257" spans="1:27" hidden="1" x14ac:dyDescent="0.25">
      <c r="A257" s="131">
        <v>1</v>
      </c>
      <c r="B257" s="136">
        <v>1109019</v>
      </c>
      <c r="C257" s="127" t="s">
        <v>30</v>
      </c>
      <c r="D257" s="136" t="s">
        <v>498</v>
      </c>
      <c r="E257" s="151" t="s">
        <v>66</v>
      </c>
      <c r="F257" s="129" t="s">
        <v>1791</v>
      </c>
      <c r="G257" s="147" t="s">
        <v>34</v>
      </c>
      <c r="H257" s="189">
        <f t="shared" si="3"/>
        <v>25.83</v>
      </c>
      <c r="I257" s="180" t="s">
        <v>2082</v>
      </c>
      <c r="J257" s="146">
        <v>30</v>
      </c>
      <c r="K257" s="147">
        <v>6</v>
      </c>
      <c r="L257" s="147">
        <v>2</v>
      </c>
      <c r="M257" s="147">
        <v>8</v>
      </c>
      <c r="N257" s="275"/>
      <c r="O257" s="194"/>
      <c r="P257" s="179"/>
      <c r="Q257" s="173">
        <v>25.83</v>
      </c>
      <c r="R257" s="271"/>
      <c r="S257" s="164"/>
      <c r="T257" s="129" t="s">
        <v>36</v>
      </c>
      <c r="U257" s="147" t="s">
        <v>37</v>
      </c>
      <c r="V257" s="129"/>
      <c r="W257" s="176" t="s">
        <v>54</v>
      </c>
      <c r="X257" s="205"/>
      <c r="Y257" s="251"/>
      <c r="Z257" s="290"/>
      <c r="AA257" s="286"/>
    </row>
    <row r="258" spans="1:27" hidden="1" x14ac:dyDescent="0.25">
      <c r="A258" s="131">
        <v>1</v>
      </c>
      <c r="B258" s="136">
        <v>1109020</v>
      </c>
      <c r="C258" s="127" t="s">
        <v>30</v>
      </c>
      <c r="D258" s="136" t="s">
        <v>502</v>
      </c>
      <c r="E258" s="151" t="s">
        <v>259</v>
      </c>
      <c r="F258" s="129" t="s">
        <v>1791</v>
      </c>
      <c r="G258" s="147" t="s">
        <v>34</v>
      </c>
      <c r="H258" s="189">
        <f t="shared" si="3"/>
        <v>2.77</v>
      </c>
      <c r="I258" s="180" t="s">
        <v>2082</v>
      </c>
      <c r="J258" s="146">
        <v>30</v>
      </c>
      <c r="K258" s="147">
        <v>6</v>
      </c>
      <c r="L258" s="147">
        <v>2</v>
      </c>
      <c r="M258" s="147">
        <v>8</v>
      </c>
      <c r="N258" s="275">
        <v>1102</v>
      </c>
      <c r="O258" s="194"/>
      <c r="P258" s="179">
        <v>44684</v>
      </c>
      <c r="Q258" s="173">
        <v>2.77</v>
      </c>
      <c r="R258" s="271"/>
      <c r="S258" s="164"/>
      <c r="T258" s="129" t="s">
        <v>36</v>
      </c>
      <c r="U258" s="147" t="s">
        <v>37</v>
      </c>
      <c r="V258" s="129"/>
      <c r="W258" s="176" t="s">
        <v>54</v>
      </c>
      <c r="X258" s="205"/>
      <c r="Y258" s="251"/>
      <c r="Z258" s="290"/>
      <c r="AA258" s="286"/>
    </row>
    <row r="259" spans="1:27" hidden="1" x14ac:dyDescent="0.25">
      <c r="A259" s="131">
        <v>1</v>
      </c>
      <c r="B259" s="136">
        <v>1109021</v>
      </c>
      <c r="C259" s="127" t="s">
        <v>30</v>
      </c>
      <c r="D259" s="136" t="s">
        <v>504</v>
      </c>
      <c r="E259" s="151" t="s">
        <v>66</v>
      </c>
      <c r="F259" s="129" t="s">
        <v>1791</v>
      </c>
      <c r="G259" s="147" t="s">
        <v>34</v>
      </c>
      <c r="H259" s="189">
        <f t="shared" ref="H259:H322" si="4">Q259+R259</f>
        <v>27.89</v>
      </c>
      <c r="I259" s="180" t="s">
        <v>2082</v>
      </c>
      <c r="J259" s="146">
        <v>30</v>
      </c>
      <c r="K259" s="147">
        <v>6</v>
      </c>
      <c r="L259" s="147">
        <v>2</v>
      </c>
      <c r="M259" s="147">
        <v>8</v>
      </c>
      <c r="N259" s="275"/>
      <c r="O259" s="194"/>
      <c r="P259" s="179"/>
      <c r="Q259" s="173">
        <v>27.89</v>
      </c>
      <c r="R259" s="271"/>
      <c r="S259" s="164"/>
      <c r="T259" s="129" t="s">
        <v>36</v>
      </c>
      <c r="U259" s="147" t="s">
        <v>37</v>
      </c>
      <c r="V259" s="129"/>
      <c r="W259" s="176" t="s">
        <v>54</v>
      </c>
      <c r="X259" s="205"/>
      <c r="Y259" s="251"/>
      <c r="Z259" s="290"/>
      <c r="AA259" s="286"/>
    </row>
    <row r="260" spans="1:27" ht="24" hidden="1" x14ac:dyDescent="0.25">
      <c r="A260" s="131">
        <v>1</v>
      </c>
      <c r="B260" s="136">
        <v>1109022</v>
      </c>
      <c r="C260" s="127" t="s">
        <v>30</v>
      </c>
      <c r="D260" s="136" t="s">
        <v>505</v>
      </c>
      <c r="E260" s="151" t="s">
        <v>66</v>
      </c>
      <c r="F260" s="129" t="s">
        <v>33</v>
      </c>
      <c r="G260" s="147" t="s">
        <v>34</v>
      </c>
      <c r="H260" s="189">
        <f t="shared" si="4"/>
        <v>0</v>
      </c>
      <c r="I260" s="210" t="s">
        <v>2223</v>
      </c>
      <c r="J260" s="146">
        <v>0</v>
      </c>
      <c r="K260" s="147">
        <v>5</v>
      </c>
      <c r="L260" s="147">
        <v>1</v>
      </c>
      <c r="M260" s="147">
        <v>6</v>
      </c>
      <c r="N260" s="275"/>
      <c r="O260" s="194"/>
      <c r="P260" s="179"/>
      <c r="Q260" s="173"/>
      <c r="R260" s="260">
        <v>0</v>
      </c>
      <c r="S260" s="164"/>
      <c r="T260" s="129" t="s">
        <v>189</v>
      </c>
      <c r="U260" s="147" t="s">
        <v>37</v>
      </c>
      <c r="V260" s="129"/>
      <c r="W260" s="162" t="s">
        <v>54</v>
      </c>
      <c r="X260" s="205"/>
      <c r="Y260" s="251"/>
      <c r="Z260" s="290"/>
      <c r="AA260" s="286"/>
    </row>
    <row r="261" spans="1:27" s="181" customFormat="1" hidden="1" x14ac:dyDescent="0.25">
      <c r="A261" s="131">
        <v>1</v>
      </c>
      <c r="B261" s="136">
        <v>1109023</v>
      </c>
      <c r="C261" s="127" t="s">
        <v>30</v>
      </c>
      <c r="D261" s="136" t="s">
        <v>506</v>
      </c>
      <c r="E261" s="151" t="s">
        <v>66</v>
      </c>
      <c r="F261" s="129" t="s">
        <v>507</v>
      </c>
      <c r="G261" s="147" t="s">
        <v>34</v>
      </c>
      <c r="H261" s="189">
        <f t="shared" si="4"/>
        <v>0</v>
      </c>
      <c r="I261" s="213"/>
      <c r="J261" s="149"/>
      <c r="K261" s="147">
        <v>11</v>
      </c>
      <c r="L261" s="147">
        <v>1</v>
      </c>
      <c r="M261" s="147">
        <v>12</v>
      </c>
      <c r="N261" s="275"/>
      <c r="O261" s="194"/>
      <c r="P261" s="179"/>
      <c r="Q261" s="173"/>
      <c r="R261" s="260">
        <v>0</v>
      </c>
      <c r="S261" s="165"/>
      <c r="T261" s="129" t="s">
        <v>189</v>
      </c>
      <c r="U261" s="147" t="s">
        <v>37</v>
      </c>
      <c r="V261" s="129"/>
      <c r="W261" s="162" t="s">
        <v>54</v>
      </c>
      <c r="X261" s="205"/>
      <c r="Y261" s="251"/>
      <c r="Z261" s="290"/>
      <c r="AA261" s="286"/>
    </row>
    <row r="262" spans="1:27" s="181" customFormat="1" hidden="1" x14ac:dyDescent="0.25">
      <c r="A262" s="131">
        <v>1</v>
      </c>
      <c r="B262" s="136">
        <v>1109024</v>
      </c>
      <c r="C262" s="127" t="s">
        <v>30</v>
      </c>
      <c r="D262" s="136" t="s">
        <v>508</v>
      </c>
      <c r="E262" s="151" t="s">
        <v>509</v>
      </c>
      <c r="F262" s="129" t="s">
        <v>510</v>
      </c>
      <c r="G262" s="147" t="s">
        <v>34</v>
      </c>
      <c r="H262" s="189">
        <f t="shared" si="4"/>
        <v>2.3633448244579509</v>
      </c>
      <c r="I262" s="213"/>
      <c r="J262" s="149"/>
      <c r="K262" s="147"/>
      <c r="L262" s="147"/>
      <c r="M262" s="147">
        <v>8</v>
      </c>
      <c r="N262" s="275">
        <v>55</v>
      </c>
      <c r="O262" s="194"/>
      <c r="P262" s="179"/>
      <c r="Q262" s="173">
        <f>5.1/2.2046</f>
        <v>2.3133448244579511</v>
      </c>
      <c r="R262" s="260">
        <v>0.05</v>
      </c>
      <c r="S262" s="165"/>
      <c r="T262" s="129" t="s">
        <v>206</v>
      </c>
      <c r="U262" s="147" t="s">
        <v>37</v>
      </c>
      <c r="V262" s="129"/>
      <c r="W262" s="162" t="s">
        <v>54</v>
      </c>
      <c r="X262" s="205"/>
      <c r="Y262" s="251"/>
      <c r="Z262" s="290"/>
      <c r="AA262" s="286"/>
    </row>
    <row r="263" spans="1:27" hidden="1" x14ac:dyDescent="0.25">
      <c r="A263" s="131">
        <v>1</v>
      </c>
      <c r="B263" s="136">
        <v>1109025</v>
      </c>
      <c r="C263" s="127" t="s">
        <v>30</v>
      </c>
      <c r="D263" s="136" t="s">
        <v>511</v>
      </c>
      <c r="E263" s="151" t="s">
        <v>259</v>
      </c>
      <c r="F263" s="129" t="s">
        <v>1748</v>
      </c>
      <c r="G263" s="147" t="s">
        <v>34</v>
      </c>
      <c r="H263" s="189">
        <f t="shared" si="4"/>
        <v>0</v>
      </c>
      <c r="I263" s="134" t="s">
        <v>2082</v>
      </c>
      <c r="J263" s="150"/>
      <c r="K263" s="147">
        <v>2</v>
      </c>
      <c r="L263" s="147">
        <v>2</v>
      </c>
      <c r="M263" s="147">
        <v>4</v>
      </c>
      <c r="N263" s="275">
        <v>1100</v>
      </c>
      <c r="O263" s="194"/>
      <c r="P263" s="179"/>
      <c r="Q263" s="173"/>
      <c r="R263" s="260">
        <v>0</v>
      </c>
      <c r="S263" s="165"/>
      <c r="T263" s="129" t="s">
        <v>189</v>
      </c>
      <c r="U263" s="147" t="s">
        <v>37</v>
      </c>
      <c r="V263" s="129"/>
      <c r="W263" s="162" t="s">
        <v>54</v>
      </c>
      <c r="X263" s="205"/>
      <c r="Y263" s="251"/>
      <c r="Z263" s="290"/>
      <c r="AA263" s="286"/>
    </row>
    <row r="264" spans="1:27" ht="24" hidden="1" x14ac:dyDescent="0.25">
      <c r="A264" s="131">
        <v>1</v>
      </c>
      <c r="B264" s="136">
        <v>1109026</v>
      </c>
      <c r="C264" s="127" t="s">
        <v>30</v>
      </c>
      <c r="D264" s="136" t="s">
        <v>512</v>
      </c>
      <c r="E264" s="151" t="s">
        <v>32</v>
      </c>
      <c r="F264" s="129" t="s">
        <v>33</v>
      </c>
      <c r="G264" s="147" t="s">
        <v>34</v>
      </c>
      <c r="H264" s="189">
        <f t="shared" si="4"/>
        <v>3</v>
      </c>
      <c r="I264" s="210" t="s">
        <v>2223</v>
      </c>
      <c r="J264" s="146">
        <v>0</v>
      </c>
      <c r="K264" s="147">
        <v>5</v>
      </c>
      <c r="L264" s="147">
        <v>1</v>
      </c>
      <c r="M264" s="147">
        <v>6</v>
      </c>
      <c r="N264" s="275">
        <v>1100</v>
      </c>
      <c r="O264" s="194"/>
      <c r="P264" s="179"/>
      <c r="Q264" s="173">
        <v>3</v>
      </c>
      <c r="R264" s="271">
        <v>0</v>
      </c>
      <c r="S264" s="164" t="s">
        <v>35</v>
      </c>
      <c r="T264" s="129" t="s">
        <v>36</v>
      </c>
      <c r="U264" s="147" t="s">
        <v>37</v>
      </c>
      <c r="V264" s="129"/>
      <c r="W264" s="176" t="s">
        <v>54</v>
      </c>
      <c r="X264" s="205"/>
      <c r="Y264" s="251"/>
      <c r="Z264" s="290"/>
      <c r="AA264" s="286"/>
    </row>
    <row r="265" spans="1:27" ht="24" hidden="1" x14ac:dyDescent="0.25">
      <c r="A265" s="131">
        <v>1</v>
      </c>
      <c r="B265" s="136">
        <v>1109027</v>
      </c>
      <c r="C265" s="127" t="s">
        <v>30</v>
      </c>
      <c r="D265" s="136" t="s">
        <v>513</v>
      </c>
      <c r="E265" s="151" t="s">
        <v>32</v>
      </c>
      <c r="F265" s="129" t="s">
        <v>33</v>
      </c>
      <c r="G265" s="147" t="s">
        <v>34</v>
      </c>
      <c r="H265" s="189">
        <f t="shared" si="4"/>
        <v>3.48</v>
      </c>
      <c r="I265" s="210" t="s">
        <v>2223</v>
      </c>
      <c r="J265" s="146">
        <v>0</v>
      </c>
      <c r="K265" s="147">
        <v>5</v>
      </c>
      <c r="L265" s="147">
        <v>1</v>
      </c>
      <c r="M265" s="147">
        <v>6</v>
      </c>
      <c r="N265" s="275">
        <v>1100</v>
      </c>
      <c r="O265" s="194"/>
      <c r="P265" s="179"/>
      <c r="Q265" s="173">
        <v>3.48</v>
      </c>
      <c r="R265" s="271">
        <v>0</v>
      </c>
      <c r="S265" s="164" t="s">
        <v>35</v>
      </c>
      <c r="T265" s="129" t="s">
        <v>36</v>
      </c>
      <c r="U265" s="147" t="s">
        <v>37</v>
      </c>
      <c r="V265" s="129"/>
      <c r="W265" s="176" t="s">
        <v>54</v>
      </c>
      <c r="X265" s="205"/>
      <c r="Y265" s="251"/>
      <c r="Z265" s="290"/>
      <c r="AA265" s="286"/>
    </row>
    <row r="266" spans="1:27" s="181" customFormat="1" hidden="1" x14ac:dyDescent="0.25">
      <c r="A266" s="131">
        <v>1</v>
      </c>
      <c r="B266" s="136">
        <v>1109030</v>
      </c>
      <c r="C266" s="127" t="s">
        <v>30</v>
      </c>
      <c r="D266" s="136" t="s">
        <v>514</v>
      </c>
      <c r="E266" s="151" t="s">
        <v>515</v>
      </c>
      <c r="F266" s="129" t="s">
        <v>516</v>
      </c>
      <c r="G266" s="147" t="s">
        <v>34</v>
      </c>
      <c r="H266" s="189">
        <f t="shared" si="4"/>
        <v>0</v>
      </c>
      <c r="I266" s="213"/>
      <c r="J266" s="149"/>
      <c r="K266" s="147"/>
      <c r="L266" s="147"/>
      <c r="M266" s="147">
        <v>5</v>
      </c>
      <c r="N266" s="275">
        <v>39683</v>
      </c>
      <c r="O266" s="194"/>
      <c r="P266" s="179"/>
      <c r="Q266" s="173"/>
      <c r="R266" s="260">
        <v>0</v>
      </c>
      <c r="S266" s="164" t="s">
        <v>35</v>
      </c>
      <c r="T266" s="129" t="s">
        <v>517</v>
      </c>
      <c r="U266" s="147" t="s">
        <v>35</v>
      </c>
      <c r="V266" s="129"/>
      <c r="W266" s="162" t="s">
        <v>54</v>
      </c>
      <c r="X266" s="205"/>
      <c r="Y266" s="251"/>
      <c r="Z266" s="290"/>
      <c r="AA266" s="286"/>
    </row>
    <row r="267" spans="1:27" s="181" customFormat="1" hidden="1" x14ac:dyDescent="0.25">
      <c r="A267" s="131">
        <v>1</v>
      </c>
      <c r="B267" s="136">
        <v>1109031</v>
      </c>
      <c r="C267" s="127" t="s">
        <v>30</v>
      </c>
      <c r="D267" s="136" t="s">
        <v>521</v>
      </c>
      <c r="E267" s="151" t="s">
        <v>515</v>
      </c>
      <c r="F267" s="129" t="s">
        <v>516</v>
      </c>
      <c r="G267" s="147" t="s">
        <v>34</v>
      </c>
      <c r="H267" s="189">
        <f t="shared" si="4"/>
        <v>0</v>
      </c>
      <c r="I267" s="213"/>
      <c r="J267" s="149"/>
      <c r="K267" s="147"/>
      <c r="L267" s="147"/>
      <c r="M267" s="147">
        <v>5</v>
      </c>
      <c r="N267" s="275">
        <v>39683</v>
      </c>
      <c r="O267" s="194"/>
      <c r="P267" s="179"/>
      <c r="Q267" s="173"/>
      <c r="R267" s="260">
        <v>0</v>
      </c>
      <c r="S267" s="164" t="s">
        <v>35</v>
      </c>
      <c r="T267" s="129" t="s">
        <v>517</v>
      </c>
      <c r="U267" s="147" t="s">
        <v>35</v>
      </c>
      <c r="V267" s="129"/>
      <c r="W267" s="162" t="s">
        <v>54</v>
      </c>
      <c r="X267" s="205"/>
      <c r="Y267" s="251"/>
      <c r="Z267" s="290"/>
      <c r="AA267" s="286"/>
    </row>
    <row r="268" spans="1:27" s="181" customFormat="1" hidden="1" x14ac:dyDescent="0.25">
      <c r="A268" s="131">
        <v>1</v>
      </c>
      <c r="B268" s="136">
        <v>1109040</v>
      </c>
      <c r="C268" s="127" t="s">
        <v>30</v>
      </c>
      <c r="D268" s="136" t="s">
        <v>522</v>
      </c>
      <c r="E268" s="151" t="s">
        <v>523</v>
      </c>
      <c r="F268" s="129" t="s">
        <v>524</v>
      </c>
      <c r="G268" s="147" t="s">
        <v>34</v>
      </c>
      <c r="H268" s="189">
        <f t="shared" si="4"/>
        <v>0</v>
      </c>
      <c r="I268" s="213"/>
      <c r="J268" s="149"/>
      <c r="K268" s="147"/>
      <c r="L268" s="147"/>
      <c r="M268" s="147">
        <v>6</v>
      </c>
      <c r="N268" s="275">
        <v>1500</v>
      </c>
      <c r="O268" s="194"/>
      <c r="P268" s="179"/>
      <c r="Q268" s="173"/>
      <c r="R268" s="260">
        <v>0</v>
      </c>
      <c r="S268" s="164" t="s">
        <v>35</v>
      </c>
      <c r="T268" s="129" t="s">
        <v>517</v>
      </c>
      <c r="U268" s="147" t="s">
        <v>35</v>
      </c>
      <c r="V268" s="129"/>
      <c r="W268" s="162" t="s">
        <v>54</v>
      </c>
      <c r="X268" s="205"/>
      <c r="Y268" s="251"/>
      <c r="Z268" s="290"/>
      <c r="AA268" s="286"/>
    </row>
    <row r="269" spans="1:27" s="181" customFormat="1" ht="24" hidden="1" x14ac:dyDescent="0.25">
      <c r="A269" s="131">
        <v>1</v>
      </c>
      <c r="B269" s="136">
        <v>1109041</v>
      </c>
      <c r="C269" s="127" t="s">
        <v>30</v>
      </c>
      <c r="D269" s="136" t="s">
        <v>528</v>
      </c>
      <c r="E269" s="151" t="s">
        <v>523</v>
      </c>
      <c r="F269" s="129" t="s">
        <v>517</v>
      </c>
      <c r="G269" s="147" t="s">
        <v>34</v>
      </c>
      <c r="H269" s="189">
        <f t="shared" si="4"/>
        <v>0</v>
      </c>
      <c r="I269" s="213"/>
      <c r="J269" s="149"/>
      <c r="K269" s="147">
        <v>11</v>
      </c>
      <c r="L269" s="147">
        <v>1</v>
      </c>
      <c r="M269" s="147">
        <v>12</v>
      </c>
      <c r="N269" s="275"/>
      <c r="O269" s="194"/>
      <c r="P269" s="179"/>
      <c r="Q269" s="173"/>
      <c r="R269" s="260">
        <v>0</v>
      </c>
      <c r="S269" s="164" t="s">
        <v>35</v>
      </c>
      <c r="T269" s="129" t="s">
        <v>517</v>
      </c>
      <c r="U269" s="147" t="s">
        <v>35</v>
      </c>
      <c r="V269" s="129"/>
      <c r="W269" s="176" t="s">
        <v>2519</v>
      </c>
      <c r="X269" s="205"/>
      <c r="Y269" s="251"/>
      <c r="Z269" s="290"/>
      <c r="AA269" s="286"/>
    </row>
    <row r="270" spans="1:27" s="181" customFormat="1" ht="24" hidden="1" x14ac:dyDescent="0.25">
      <c r="A270" s="131">
        <v>1</v>
      </c>
      <c r="B270" s="136">
        <v>1109042</v>
      </c>
      <c r="C270" s="127" t="s">
        <v>30</v>
      </c>
      <c r="D270" s="136" t="s">
        <v>532</v>
      </c>
      <c r="E270" s="151" t="s">
        <v>523</v>
      </c>
      <c r="F270" s="129" t="s">
        <v>517</v>
      </c>
      <c r="G270" s="147" t="s">
        <v>34</v>
      </c>
      <c r="H270" s="189">
        <f t="shared" si="4"/>
        <v>0</v>
      </c>
      <c r="I270" s="213"/>
      <c r="J270" s="149"/>
      <c r="K270" s="147">
        <v>11</v>
      </c>
      <c r="L270" s="147">
        <v>1</v>
      </c>
      <c r="M270" s="147">
        <v>12</v>
      </c>
      <c r="N270" s="275"/>
      <c r="O270" s="194"/>
      <c r="P270" s="179"/>
      <c r="Q270" s="173"/>
      <c r="R270" s="260">
        <v>0</v>
      </c>
      <c r="S270" s="164" t="s">
        <v>35</v>
      </c>
      <c r="T270" s="129" t="s">
        <v>517</v>
      </c>
      <c r="U270" s="147" t="s">
        <v>35</v>
      </c>
      <c r="V270" s="129"/>
      <c r="W270" s="176" t="s">
        <v>2519</v>
      </c>
      <c r="X270" s="205"/>
      <c r="Y270" s="251"/>
      <c r="Z270" s="290"/>
      <c r="AA270" s="286"/>
    </row>
    <row r="271" spans="1:27" s="181" customFormat="1" hidden="1" x14ac:dyDescent="0.25">
      <c r="A271" s="131">
        <v>1</v>
      </c>
      <c r="B271" s="136">
        <v>1109043</v>
      </c>
      <c r="C271" s="127" t="s">
        <v>30</v>
      </c>
      <c r="D271" s="136" t="s">
        <v>533</v>
      </c>
      <c r="E271" s="151" t="s">
        <v>32</v>
      </c>
      <c r="F271" s="129" t="s">
        <v>189</v>
      </c>
      <c r="G271" s="147" t="s">
        <v>34</v>
      </c>
      <c r="H271" s="189">
        <f t="shared" si="4"/>
        <v>0</v>
      </c>
      <c r="I271" s="134"/>
      <c r="J271" s="150"/>
      <c r="K271" s="147">
        <v>12</v>
      </c>
      <c r="L271" s="147">
        <v>1</v>
      </c>
      <c r="M271" s="147">
        <v>13</v>
      </c>
      <c r="N271" s="275"/>
      <c r="O271" s="194"/>
      <c r="P271" s="179"/>
      <c r="Q271" s="173"/>
      <c r="R271" s="271"/>
      <c r="S271" s="164"/>
      <c r="T271" s="129" t="s">
        <v>189</v>
      </c>
      <c r="U271" s="147" t="s">
        <v>37</v>
      </c>
      <c r="V271" s="129"/>
      <c r="W271" s="176" t="s">
        <v>2519</v>
      </c>
      <c r="X271" s="205"/>
      <c r="Y271" s="251"/>
      <c r="Z271" s="290"/>
      <c r="AA271" s="230"/>
    </row>
    <row r="272" spans="1:27" ht="24" hidden="1" x14ac:dyDescent="0.25">
      <c r="A272" s="131">
        <v>1</v>
      </c>
      <c r="B272" s="136">
        <v>1109044</v>
      </c>
      <c r="C272" s="127" t="s">
        <v>30</v>
      </c>
      <c r="D272" s="136" t="s">
        <v>534</v>
      </c>
      <c r="E272" s="151" t="s">
        <v>535</v>
      </c>
      <c r="F272" s="129" t="s">
        <v>33</v>
      </c>
      <c r="G272" s="147" t="s">
        <v>34</v>
      </c>
      <c r="H272" s="189">
        <f t="shared" si="4"/>
        <v>0</v>
      </c>
      <c r="I272" s="210" t="s">
        <v>2223</v>
      </c>
      <c r="J272" s="146">
        <v>0</v>
      </c>
      <c r="K272" s="147">
        <v>11</v>
      </c>
      <c r="L272" s="147">
        <v>1</v>
      </c>
      <c r="M272" s="147">
        <v>12</v>
      </c>
      <c r="N272" s="275"/>
      <c r="O272" s="194"/>
      <c r="P272" s="179"/>
      <c r="Q272" s="173"/>
      <c r="R272" s="271">
        <v>0</v>
      </c>
      <c r="S272" s="164"/>
      <c r="T272" s="129"/>
      <c r="U272" s="147" t="s">
        <v>37</v>
      </c>
      <c r="V272" s="129"/>
      <c r="W272" s="176" t="s">
        <v>54</v>
      </c>
      <c r="X272" s="205"/>
      <c r="Y272" s="251"/>
      <c r="Z272" s="290"/>
      <c r="AA272" s="286"/>
    </row>
    <row r="273" spans="1:27" ht="24" hidden="1" x14ac:dyDescent="0.25">
      <c r="A273" s="131">
        <v>1</v>
      </c>
      <c r="B273" s="136">
        <v>1109045</v>
      </c>
      <c r="C273" s="127" t="s">
        <v>30</v>
      </c>
      <c r="D273" s="136" t="s">
        <v>536</v>
      </c>
      <c r="E273" s="151" t="s">
        <v>535</v>
      </c>
      <c r="F273" s="129" t="s">
        <v>33</v>
      </c>
      <c r="G273" s="147" t="s">
        <v>34</v>
      </c>
      <c r="H273" s="189">
        <f t="shared" si="4"/>
        <v>0</v>
      </c>
      <c r="I273" s="210" t="s">
        <v>2223</v>
      </c>
      <c r="J273" s="146">
        <v>0</v>
      </c>
      <c r="K273" s="147">
        <v>11</v>
      </c>
      <c r="L273" s="147">
        <v>1</v>
      </c>
      <c r="M273" s="147">
        <v>12</v>
      </c>
      <c r="N273" s="275"/>
      <c r="O273" s="194"/>
      <c r="P273" s="179"/>
      <c r="Q273" s="173"/>
      <c r="R273" s="271">
        <v>0</v>
      </c>
      <c r="S273" s="164"/>
      <c r="T273" s="129"/>
      <c r="U273" s="147" t="s">
        <v>37</v>
      </c>
      <c r="V273" s="129"/>
      <c r="W273" s="176" t="s">
        <v>54</v>
      </c>
      <c r="X273" s="205"/>
      <c r="Y273" s="251"/>
      <c r="Z273" s="290"/>
      <c r="AA273" s="286"/>
    </row>
    <row r="274" spans="1:27" ht="24" x14ac:dyDescent="0.25">
      <c r="A274" s="131">
        <v>1</v>
      </c>
      <c r="B274" s="136">
        <v>1109046</v>
      </c>
      <c r="C274" s="127" t="s">
        <v>30</v>
      </c>
      <c r="D274" s="136" t="s">
        <v>537</v>
      </c>
      <c r="E274" s="151" t="s">
        <v>86</v>
      </c>
      <c r="F274" s="129" t="s">
        <v>33</v>
      </c>
      <c r="G274" s="147" t="s">
        <v>34</v>
      </c>
      <c r="H274" s="189">
        <f t="shared" si="4"/>
        <v>3.23</v>
      </c>
      <c r="I274" s="210" t="s">
        <v>2223</v>
      </c>
      <c r="J274" s="146">
        <v>0</v>
      </c>
      <c r="K274" s="147">
        <v>11</v>
      </c>
      <c r="L274" s="147">
        <v>1</v>
      </c>
      <c r="M274" s="147">
        <v>12</v>
      </c>
      <c r="N274" s="275">
        <v>1102</v>
      </c>
      <c r="O274" s="193"/>
      <c r="P274" s="179"/>
      <c r="Q274" s="173">
        <v>3.23</v>
      </c>
      <c r="R274" s="271">
        <v>0</v>
      </c>
      <c r="S274" s="164"/>
      <c r="T274" s="129" t="s">
        <v>2089</v>
      </c>
      <c r="U274" s="147" t="s">
        <v>37</v>
      </c>
      <c r="V274" s="129"/>
      <c r="W274" s="147" t="s">
        <v>2208</v>
      </c>
      <c r="X274" s="205" t="s">
        <v>1009</v>
      </c>
      <c r="Y274" s="251"/>
      <c r="Z274" s="290"/>
      <c r="AA274" s="286" t="s">
        <v>33</v>
      </c>
    </row>
    <row r="275" spans="1:27" s="181" customFormat="1" hidden="1" x14ac:dyDescent="0.25">
      <c r="A275" s="131">
        <v>1</v>
      </c>
      <c r="B275" s="156">
        <v>1109047</v>
      </c>
      <c r="C275" s="127" t="s">
        <v>30</v>
      </c>
      <c r="D275" s="136" t="s">
        <v>1631</v>
      </c>
      <c r="E275" s="151" t="s">
        <v>1632</v>
      </c>
      <c r="F275" s="129" t="s">
        <v>1625</v>
      </c>
      <c r="G275" s="147" t="s">
        <v>34</v>
      </c>
      <c r="H275" s="189">
        <f t="shared" si="4"/>
        <v>0</v>
      </c>
      <c r="I275" s="180" t="s">
        <v>2213</v>
      </c>
      <c r="J275" s="150"/>
      <c r="K275" s="147">
        <v>11</v>
      </c>
      <c r="L275" s="147">
        <v>1</v>
      </c>
      <c r="M275" s="147">
        <v>12</v>
      </c>
      <c r="N275" s="275"/>
      <c r="O275" s="194"/>
      <c r="P275" s="179"/>
      <c r="Q275" s="173"/>
      <c r="R275" s="271"/>
      <c r="S275" s="164"/>
      <c r="T275" s="129" t="s">
        <v>1625</v>
      </c>
      <c r="U275" s="147" t="s">
        <v>37</v>
      </c>
      <c r="V275" s="129"/>
      <c r="W275" s="162" t="s">
        <v>2519</v>
      </c>
      <c r="X275" s="205"/>
      <c r="Y275" s="251"/>
      <c r="Z275" s="290"/>
      <c r="AA275" s="286"/>
    </row>
    <row r="276" spans="1:27" s="181" customFormat="1" hidden="1" x14ac:dyDescent="0.25">
      <c r="A276" s="131">
        <v>1</v>
      </c>
      <c r="B276" s="136">
        <v>1109100</v>
      </c>
      <c r="C276" s="127" t="s">
        <v>30</v>
      </c>
      <c r="D276" s="136" t="s">
        <v>538</v>
      </c>
      <c r="E276" s="151" t="s">
        <v>545</v>
      </c>
      <c r="F276" s="129" t="s">
        <v>539</v>
      </c>
      <c r="G276" s="147" t="s">
        <v>34</v>
      </c>
      <c r="H276" s="189">
        <f t="shared" si="4"/>
        <v>0</v>
      </c>
      <c r="I276" s="213"/>
      <c r="J276" s="149"/>
      <c r="K276" s="147">
        <v>11</v>
      </c>
      <c r="L276" s="147">
        <v>1</v>
      </c>
      <c r="M276" s="147">
        <v>12</v>
      </c>
      <c r="N276" s="275"/>
      <c r="O276" s="194"/>
      <c r="P276" s="179"/>
      <c r="Q276" s="173"/>
      <c r="R276" s="260">
        <v>0</v>
      </c>
      <c r="S276" s="165"/>
      <c r="T276" s="129" t="s">
        <v>36</v>
      </c>
      <c r="U276" s="147" t="s">
        <v>37</v>
      </c>
      <c r="V276" s="129"/>
      <c r="W276" s="162" t="s">
        <v>54</v>
      </c>
      <c r="X276" s="205"/>
      <c r="Y276" s="251"/>
      <c r="Z276" s="290"/>
      <c r="AA276" s="286"/>
    </row>
    <row r="277" spans="1:27" s="181" customFormat="1" hidden="1" x14ac:dyDescent="0.25">
      <c r="A277" s="131">
        <v>1</v>
      </c>
      <c r="B277" s="136">
        <v>1109101</v>
      </c>
      <c r="C277" s="127" t="s">
        <v>30</v>
      </c>
      <c r="D277" s="136" t="s">
        <v>543</v>
      </c>
      <c r="E277" s="151" t="s">
        <v>1931</v>
      </c>
      <c r="F277" s="129" t="s">
        <v>539</v>
      </c>
      <c r="G277" s="147" t="s">
        <v>34</v>
      </c>
      <c r="H277" s="189">
        <f t="shared" si="4"/>
        <v>0</v>
      </c>
      <c r="I277" s="213"/>
      <c r="J277" s="149"/>
      <c r="K277" s="147">
        <v>11</v>
      </c>
      <c r="L277" s="147">
        <v>1</v>
      </c>
      <c r="M277" s="147">
        <v>12</v>
      </c>
      <c r="N277" s="275"/>
      <c r="O277" s="194"/>
      <c r="P277" s="179"/>
      <c r="Q277" s="173"/>
      <c r="R277" s="260">
        <v>0</v>
      </c>
      <c r="S277" s="165"/>
      <c r="T277" s="129" t="s">
        <v>36</v>
      </c>
      <c r="U277" s="147" t="s">
        <v>37</v>
      </c>
      <c r="V277" s="129"/>
      <c r="W277" s="162" t="s">
        <v>54</v>
      </c>
      <c r="X277" s="205"/>
      <c r="Y277" s="251"/>
      <c r="Z277" s="290"/>
      <c r="AA277" s="286"/>
    </row>
    <row r="278" spans="1:27" s="181" customFormat="1" hidden="1" x14ac:dyDescent="0.25">
      <c r="A278" s="131">
        <v>1</v>
      </c>
      <c r="B278" s="136">
        <v>1109102</v>
      </c>
      <c r="C278" s="127" t="s">
        <v>30</v>
      </c>
      <c r="D278" s="136" t="s">
        <v>544</v>
      </c>
      <c r="E278" s="151" t="s">
        <v>545</v>
      </c>
      <c r="F278" s="129" t="s">
        <v>539</v>
      </c>
      <c r="G278" s="147" t="s">
        <v>34</v>
      </c>
      <c r="H278" s="189">
        <f t="shared" si="4"/>
        <v>2.1</v>
      </c>
      <c r="I278" s="134"/>
      <c r="J278" s="150"/>
      <c r="K278" s="147"/>
      <c r="L278" s="147"/>
      <c r="M278" s="147">
        <v>5</v>
      </c>
      <c r="N278" s="275">
        <v>2500</v>
      </c>
      <c r="O278" s="194"/>
      <c r="P278" s="179"/>
      <c r="Q278" s="173">
        <v>2.1</v>
      </c>
      <c r="R278" s="271">
        <v>0</v>
      </c>
      <c r="S278" s="164" t="s">
        <v>35</v>
      </c>
      <c r="T278" s="129" t="s">
        <v>36</v>
      </c>
      <c r="U278" s="147" t="s">
        <v>37</v>
      </c>
      <c r="V278" s="129"/>
      <c r="W278" s="176" t="s">
        <v>54</v>
      </c>
      <c r="X278" s="205"/>
      <c r="Y278" s="251"/>
      <c r="Z278" s="290"/>
      <c r="AA278" s="230"/>
    </row>
    <row r="279" spans="1:27" s="181" customFormat="1" hidden="1" x14ac:dyDescent="0.25">
      <c r="A279" s="131">
        <v>1</v>
      </c>
      <c r="B279" s="136">
        <v>1109110</v>
      </c>
      <c r="C279" s="127" t="s">
        <v>30</v>
      </c>
      <c r="D279" s="136" t="s">
        <v>549</v>
      </c>
      <c r="E279" s="151" t="s">
        <v>550</v>
      </c>
      <c r="F279" s="129" t="s">
        <v>551</v>
      </c>
      <c r="G279" s="147" t="s">
        <v>34</v>
      </c>
      <c r="H279" s="189">
        <f t="shared" si="4"/>
        <v>2.83</v>
      </c>
      <c r="I279" s="213"/>
      <c r="J279" s="149"/>
      <c r="K279" s="147"/>
      <c r="L279" s="147"/>
      <c r="M279" s="147">
        <v>6</v>
      </c>
      <c r="N279" s="275">
        <v>10500</v>
      </c>
      <c r="O279" s="194"/>
      <c r="P279" s="179"/>
      <c r="Q279" s="173">
        <v>2.83</v>
      </c>
      <c r="R279" s="260">
        <v>0</v>
      </c>
      <c r="S279" s="165"/>
      <c r="T279" s="129" t="s">
        <v>517</v>
      </c>
      <c r="U279" s="147" t="s">
        <v>35</v>
      </c>
      <c r="V279" s="129"/>
      <c r="W279" s="162" t="s">
        <v>54</v>
      </c>
      <c r="X279" s="205"/>
      <c r="Y279" s="251"/>
      <c r="Z279" s="290"/>
      <c r="AA279" s="286"/>
    </row>
    <row r="280" spans="1:27" s="181" customFormat="1" hidden="1" x14ac:dyDescent="0.25">
      <c r="A280" s="131">
        <v>1</v>
      </c>
      <c r="B280" s="136">
        <v>1109111</v>
      </c>
      <c r="C280" s="127" t="s">
        <v>30</v>
      </c>
      <c r="D280" s="128" t="s">
        <v>555</v>
      </c>
      <c r="E280" s="282" t="s">
        <v>1926</v>
      </c>
      <c r="F280" s="129" t="s">
        <v>556</v>
      </c>
      <c r="G280" s="147" t="s">
        <v>1731</v>
      </c>
      <c r="H280" s="189">
        <f t="shared" si="4"/>
        <v>0</v>
      </c>
      <c r="I280" s="134"/>
      <c r="J280" s="150"/>
      <c r="K280" s="147">
        <v>11</v>
      </c>
      <c r="L280" s="147">
        <v>1</v>
      </c>
      <c r="M280" s="147">
        <v>12</v>
      </c>
      <c r="N280" s="275">
        <v>0</v>
      </c>
      <c r="O280" s="194"/>
      <c r="P280" s="179"/>
      <c r="Q280" s="173"/>
      <c r="R280" s="271">
        <v>0</v>
      </c>
      <c r="S280" s="167"/>
      <c r="T280" s="129"/>
      <c r="U280" s="147" t="s">
        <v>37</v>
      </c>
      <c r="V280" s="129"/>
      <c r="W280" s="176" t="s">
        <v>54</v>
      </c>
      <c r="X280" s="205"/>
      <c r="Y280" s="251"/>
      <c r="Z280" s="290"/>
      <c r="AA280" s="230"/>
    </row>
    <row r="281" spans="1:27" s="181" customFormat="1" hidden="1" x14ac:dyDescent="0.25">
      <c r="A281" s="131">
        <v>1</v>
      </c>
      <c r="B281" s="136">
        <v>1109112</v>
      </c>
      <c r="C281" s="127" t="s">
        <v>30</v>
      </c>
      <c r="D281" s="128" t="s">
        <v>558</v>
      </c>
      <c r="E281" s="282" t="s">
        <v>32</v>
      </c>
      <c r="F281" s="138" t="s">
        <v>57</v>
      </c>
      <c r="G281" s="147" t="s">
        <v>34</v>
      </c>
      <c r="H281" s="189">
        <f t="shared" si="4"/>
        <v>0</v>
      </c>
      <c r="I281" s="134"/>
      <c r="J281" s="150"/>
      <c r="K281" s="147">
        <v>12</v>
      </c>
      <c r="L281" s="147">
        <v>1</v>
      </c>
      <c r="M281" s="147">
        <v>13</v>
      </c>
      <c r="N281" s="275"/>
      <c r="O281" s="194"/>
      <c r="P281" s="179"/>
      <c r="Q281" s="173"/>
      <c r="R281" s="271">
        <v>0</v>
      </c>
      <c r="S281" s="167"/>
      <c r="T281" s="129" t="s">
        <v>102</v>
      </c>
      <c r="U281" s="147" t="s">
        <v>35</v>
      </c>
      <c r="V281" s="129"/>
      <c r="W281" s="176" t="s">
        <v>54</v>
      </c>
      <c r="X281" s="205"/>
      <c r="Y281" s="251"/>
      <c r="Z281" s="290"/>
      <c r="AA281" s="230"/>
    </row>
    <row r="282" spans="1:27" x14ac:dyDescent="0.25">
      <c r="A282" s="131">
        <v>1</v>
      </c>
      <c r="B282" s="136">
        <v>1109113</v>
      </c>
      <c r="C282" s="127" t="s">
        <v>657</v>
      </c>
      <c r="D282" s="136" t="s">
        <v>559</v>
      </c>
      <c r="E282" s="147" t="s">
        <v>138</v>
      </c>
      <c r="F282" s="129" t="s">
        <v>1616</v>
      </c>
      <c r="G282" s="147" t="s">
        <v>34</v>
      </c>
      <c r="H282" s="189">
        <f t="shared" si="4"/>
        <v>3.3299999999999996</v>
      </c>
      <c r="I282" s="210" t="s">
        <v>2082</v>
      </c>
      <c r="J282" s="146">
        <v>0</v>
      </c>
      <c r="K282" s="147">
        <v>6</v>
      </c>
      <c r="L282" s="147">
        <v>2</v>
      </c>
      <c r="M282" s="147">
        <v>8</v>
      </c>
      <c r="N282" s="275">
        <v>1650</v>
      </c>
      <c r="O282" s="193">
        <v>3.16</v>
      </c>
      <c r="P282" s="179">
        <v>46133</v>
      </c>
      <c r="Q282" s="173">
        <v>3.28</v>
      </c>
      <c r="R282" s="271">
        <v>0.05</v>
      </c>
      <c r="S282" s="164"/>
      <c r="T282" s="129" t="s">
        <v>36</v>
      </c>
      <c r="U282" s="147" t="s">
        <v>37</v>
      </c>
      <c r="V282" s="129"/>
      <c r="W282" s="147" t="s">
        <v>2208</v>
      </c>
      <c r="X282" s="205" t="s">
        <v>1009</v>
      </c>
      <c r="Y282" s="251"/>
      <c r="Z282" s="290"/>
      <c r="AA282" s="286"/>
    </row>
    <row r="283" spans="1:27" hidden="1" x14ac:dyDescent="0.25">
      <c r="A283" s="131">
        <v>1</v>
      </c>
      <c r="B283" s="136">
        <v>1109114</v>
      </c>
      <c r="C283" s="127" t="s">
        <v>30</v>
      </c>
      <c r="D283" s="136" t="s">
        <v>560</v>
      </c>
      <c r="E283" s="147" t="s">
        <v>380</v>
      </c>
      <c r="F283" s="129" t="s">
        <v>36</v>
      </c>
      <c r="G283" s="147" t="s">
        <v>34</v>
      </c>
      <c r="H283" s="189">
        <f t="shared" si="4"/>
        <v>0</v>
      </c>
      <c r="I283" s="180" t="s">
        <v>2213</v>
      </c>
      <c r="J283" s="150"/>
      <c r="K283" s="147">
        <v>2</v>
      </c>
      <c r="L283" s="147">
        <v>1</v>
      </c>
      <c r="M283" s="147">
        <v>3</v>
      </c>
      <c r="N283" s="275"/>
      <c r="O283" s="194"/>
      <c r="P283" s="179"/>
      <c r="Q283" s="173"/>
      <c r="R283" s="260">
        <v>0</v>
      </c>
      <c r="S283" s="165"/>
      <c r="T283" s="129" t="s">
        <v>36</v>
      </c>
      <c r="U283" s="147" t="s">
        <v>37</v>
      </c>
      <c r="V283" s="129"/>
      <c r="W283" s="162" t="s">
        <v>2519</v>
      </c>
      <c r="X283" s="205"/>
      <c r="Y283" s="251"/>
      <c r="Z283" s="290"/>
      <c r="AA283" s="286"/>
    </row>
    <row r="284" spans="1:27" s="181" customFormat="1" hidden="1" x14ac:dyDescent="0.25">
      <c r="A284" s="131">
        <v>1</v>
      </c>
      <c r="B284" s="136">
        <v>1109115</v>
      </c>
      <c r="C284" s="127" t="s">
        <v>30</v>
      </c>
      <c r="D284" s="136" t="s">
        <v>562</v>
      </c>
      <c r="E284" s="147" t="s">
        <v>380</v>
      </c>
      <c r="F284" s="129" t="s">
        <v>563</v>
      </c>
      <c r="G284" s="147" t="s">
        <v>34</v>
      </c>
      <c r="H284" s="189">
        <f t="shared" si="4"/>
        <v>2.4900000000000002</v>
      </c>
      <c r="I284" s="134"/>
      <c r="J284" s="150"/>
      <c r="K284" s="147"/>
      <c r="L284" s="147"/>
      <c r="M284" s="147">
        <v>10</v>
      </c>
      <c r="N284" s="275">
        <v>2202</v>
      </c>
      <c r="O284" s="194"/>
      <c r="P284" s="179"/>
      <c r="Q284" s="173">
        <v>2.25</v>
      </c>
      <c r="R284" s="271">
        <v>0.24</v>
      </c>
      <c r="S284" s="165"/>
      <c r="T284" s="129" t="s">
        <v>36</v>
      </c>
      <c r="U284" s="147" t="s">
        <v>37</v>
      </c>
      <c r="V284" s="129"/>
      <c r="W284" s="176" t="s">
        <v>54</v>
      </c>
      <c r="X284" s="205"/>
      <c r="Y284" s="251"/>
      <c r="Z284" s="290"/>
      <c r="AA284" s="230"/>
    </row>
    <row r="285" spans="1:27" s="181" customFormat="1" hidden="1" x14ac:dyDescent="0.25">
      <c r="A285" s="131">
        <v>1</v>
      </c>
      <c r="B285" s="136">
        <v>1109116</v>
      </c>
      <c r="C285" s="127" t="s">
        <v>30</v>
      </c>
      <c r="D285" s="136" t="s">
        <v>1623</v>
      </c>
      <c r="E285" s="147" t="s">
        <v>1624</v>
      </c>
      <c r="F285" s="129" t="s">
        <v>1625</v>
      </c>
      <c r="G285" s="147" t="s">
        <v>34</v>
      </c>
      <c r="H285" s="189">
        <f t="shared" si="4"/>
        <v>4.95</v>
      </c>
      <c r="I285" s="180" t="s">
        <v>2213</v>
      </c>
      <c r="J285" s="150"/>
      <c r="K285" s="147">
        <v>11</v>
      </c>
      <c r="L285" s="147">
        <v>1</v>
      </c>
      <c r="M285" s="147">
        <v>12</v>
      </c>
      <c r="N285" s="275"/>
      <c r="O285" s="194"/>
      <c r="P285" s="179"/>
      <c r="Q285" s="173">
        <v>4.9000000000000004</v>
      </c>
      <c r="R285" s="271">
        <v>0.05</v>
      </c>
      <c r="S285" s="165"/>
      <c r="T285" s="129" t="s">
        <v>1625</v>
      </c>
      <c r="U285" s="147" t="s">
        <v>37</v>
      </c>
      <c r="V285" s="129"/>
      <c r="W285" s="162" t="s">
        <v>2519</v>
      </c>
      <c r="X285" s="205"/>
      <c r="Y285" s="251"/>
      <c r="Z285" s="290"/>
      <c r="AA285" s="286"/>
    </row>
    <row r="286" spans="1:27" s="181" customFormat="1" ht="24" hidden="1" x14ac:dyDescent="0.25">
      <c r="A286" s="131">
        <v>1</v>
      </c>
      <c r="B286" s="136">
        <v>1109117</v>
      </c>
      <c r="C286" s="127" t="s">
        <v>30</v>
      </c>
      <c r="D286" s="136" t="s">
        <v>1628</v>
      </c>
      <c r="E286" s="147" t="s">
        <v>146</v>
      </c>
      <c r="F286" s="129" t="s">
        <v>1625</v>
      </c>
      <c r="G286" s="147" t="s">
        <v>34</v>
      </c>
      <c r="H286" s="189">
        <f t="shared" si="4"/>
        <v>0</v>
      </c>
      <c r="I286" s="180" t="s">
        <v>2213</v>
      </c>
      <c r="J286" s="150"/>
      <c r="K286" s="147">
        <v>11</v>
      </c>
      <c r="L286" s="147">
        <v>1</v>
      </c>
      <c r="M286" s="147">
        <v>12</v>
      </c>
      <c r="N286" s="275"/>
      <c r="O286" s="194"/>
      <c r="P286" s="179"/>
      <c r="Q286" s="173"/>
      <c r="R286" s="271"/>
      <c r="S286" s="165"/>
      <c r="T286" s="129" t="s">
        <v>1625</v>
      </c>
      <c r="U286" s="147" t="s">
        <v>37</v>
      </c>
      <c r="V286" s="129"/>
      <c r="W286" s="162" t="s">
        <v>2519</v>
      </c>
      <c r="X286" s="205"/>
      <c r="Y286" s="251"/>
      <c r="Z286" s="290"/>
      <c r="AA286" s="286"/>
    </row>
    <row r="287" spans="1:27" ht="24" x14ac:dyDescent="0.25">
      <c r="A287" s="131">
        <v>1</v>
      </c>
      <c r="B287" s="129">
        <v>1109118</v>
      </c>
      <c r="C287" s="127" t="s">
        <v>30</v>
      </c>
      <c r="D287" s="128" t="s">
        <v>1692</v>
      </c>
      <c r="E287" s="151" t="s">
        <v>84</v>
      </c>
      <c r="F287" s="129" t="s">
        <v>1791</v>
      </c>
      <c r="G287" s="147" t="s">
        <v>34</v>
      </c>
      <c r="H287" s="189">
        <f t="shared" si="4"/>
        <v>2.75</v>
      </c>
      <c r="I287" s="223" t="s">
        <v>2082</v>
      </c>
      <c r="J287" s="146">
        <v>30</v>
      </c>
      <c r="K287" s="147">
        <v>4</v>
      </c>
      <c r="L287" s="147">
        <v>2</v>
      </c>
      <c r="M287" s="147">
        <v>6</v>
      </c>
      <c r="N287" s="275">
        <v>4408</v>
      </c>
      <c r="O287" s="173">
        <v>2.69</v>
      </c>
      <c r="P287" s="179">
        <v>46133</v>
      </c>
      <c r="Q287" s="173">
        <v>2.7</v>
      </c>
      <c r="R287" s="271">
        <v>0.05</v>
      </c>
      <c r="S287" s="153"/>
      <c r="T287" s="129" t="s">
        <v>1703</v>
      </c>
      <c r="U287" s="147" t="s">
        <v>35</v>
      </c>
      <c r="V287" s="129"/>
      <c r="W287" s="147" t="s">
        <v>2208</v>
      </c>
      <c r="X287" s="205" t="s">
        <v>1009</v>
      </c>
      <c r="Y287" s="251"/>
      <c r="Z287" s="290"/>
      <c r="AA287" s="286" t="s">
        <v>2689</v>
      </c>
    </row>
    <row r="288" spans="1:27" x14ac:dyDescent="0.25">
      <c r="A288" s="131">
        <v>1</v>
      </c>
      <c r="B288" s="129">
        <v>1109119</v>
      </c>
      <c r="C288" s="127" t="s">
        <v>30</v>
      </c>
      <c r="D288" s="128" t="s">
        <v>2406</v>
      </c>
      <c r="E288" s="151" t="s">
        <v>1929</v>
      </c>
      <c r="F288" s="129" t="s">
        <v>1886</v>
      </c>
      <c r="G288" s="147" t="s">
        <v>34</v>
      </c>
      <c r="H288" s="189">
        <f t="shared" si="4"/>
        <v>4.3</v>
      </c>
      <c r="I288" s="210" t="s">
        <v>2082</v>
      </c>
      <c r="J288" s="146">
        <v>0</v>
      </c>
      <c r="K288" s="147">
        <v>4</v>
      </c>
      <c r="L288" s="147">
        <v>1</v>
      </c>
      <c r="M288" s="147">
        <v>5</v>
      </c>
      <c r="N288" s="275">
        <v>600</v>
      </c>
      <c r="O288" s="193">
        <v>5.24</v>
      </c>
      <c r="P288" s="179">
        <v>45722</v>
      </c>
      <c r="Q288" s="173">
        <v>4.25</v>
      </c>
      <c r="R288" s="271">
        <v>0.05</v>
      </c>
      <c r="S288" s="147"/>
      <c r="T288" s="129" t="s">
        <v>2441</v>
      </c>
      <c r="U288" s="147" t="s">
        <v>37</v>
      </c>
      <c r="V288" s="129"/>
      <c r="W288" s="147" t="s">
        <v>2208</v>
      </c>
      <c r="X288" s="205" t="s">
        <v>1009</v>
      </c>
      <c r="Y288" s="251"/>
      <c r="Z288" s="290"/>
      <c r="AA288" s="286" t="s">
        <v>2702</v>
      </c>
    </row>
    <row r="289" spans="1:27" x14ac:dyDescent="0.25">
      <c r="A289" s="131">
        <v>1</v>
      </c>
      <c r="B289" s="129">
        <v>1109120</v>
      </c>
      <c r="C289" s="127" t="s">
        <v>30</v>
      </c>
      <c r="D289" s="128" t="s">
        <v>1658</v>
      </c>
      <c r="E289" s="151" t="s">
        <v>32</v>
      </c>
      <c r="F289" s="129" t="s">
        <v>307</v>
      </c>
      <c r="G289" s="147" t="s">
        <v>34</v>
      </c>
      <c r="H289" s="189">
        <f t="shared" si="4"/>
        <v>4.95</v>
      </c>
      <c r="I289" s="210" t="s">
        <v>2082</v>
      </c>
      <c r="J289" s="146">
        <v>0</v>
      </c>
      <c r="K289" s="147">
        <v>11</v>
      </c>
      <c r="L289" s="147">
        <v>1</v>
      </c>
      <c r="M289" s="147">
        <v>12</v>
      </c>
      <c r="N289" s="275">
        <v>220</v>
      </c>
      <c r="O289" s="193">
        <v>6.5</v>
      </c>
      <c r="P289" s="179">
        <v>46183</v>
      </c>
      <c r="Q289" s="173">
        <v>4.9000000000000004</v>
      </c>
      <c r="R289" s="271">
        <v>0.05</v>
      </c>
      <c r="S289" s="147"/>
      <c r="T289" s="129" t="s">
        <v>2441</v>
      </c>
      <c r="U289" s="147" t="s">
        <v>35</v>
      </c>
      <c r="V289" s="129"/>
      <c r="W289" s="147" t="s">
        <v>2208</v>
      </c>
      <c r="X289" s="205" t="s">
        <v>1009</v>
      </c>
      <c r="Y289" s="251"/>
      <c r="Z289" s="290"/>
      <c r="AA289" s="286" t="s">
        <v>33</v>
      </c>
    </row>
    <row r="290" spans="1:27" x14ac:dyDescent="0.25">
      <c r="A290" s="131">
        <v>1</v>
      </c>
      <c r="B290" s="129">
        <v>1109121</v>
      </c>
      <c r="C290" s="127" t="s">
        <v>30</v>
      </c>
      <c r="D290" s="128" t="s">
        <v>1659</v>
      </c>
      <c r="E290" s="151" t="s">
        <v>1930</v>
      </c>
      <c r="F290" s="129" t="s">
        <v>1611</v>
      </c>
      <c r="G290" s="147" t="s">
        <v>34</v>
      </c>
      <c r="H290" s="189">
        <f t="shared" si="4"/>
        <v>4.5999999999999996</v>
      </c>
      <c r="I290" s="134" t="s">
        <v>2082</v>
      </c>
      <c r="J290" s="146">
        <v>0</v>
      </c>
      <c r="K290" s="147">
        <v>6</v>
      </c>
      <c r="L290" s="147">
        <v>2</v>
      </c>
      <c r="M290" s="147">
        <v>8</v>
      </c>
      <c r="N290" s="275">
        <v>1600</v>
      </c>
      <c r="O290" s="194"/>
      <c r="P290" s="179">
        <v>45355</v>
      </c>
      <c r="Q290" s="173">
        <v>4.55</v>
      </c>
      <c r="R290" s="271">
        <v>0.05</v>
      </c>
      <c r="S290" s="147"/>
      <c r="T290" s="129" t="s">
        <v>2441</v>
      </c>
      <c r="U290" s="147" t="s">
        <v>37</v>
      </c>
      <c r="V290" s="129"/>
      <c r="W290" s="147" t="s">
        <v>2208</v>
      </c>
      <c r="X290" s="205" t="s">
        <v>1009</v>
      </c>
      <c r="Y290" s="251"/>
      <c r="Z290" s="290"/>
      <c r="AA290" s="286" t="s">
        <v>1611</v>
      </c>
    </row>
    <row r="291" spans="1:27" hidden="1" x14ac:dyDescent="0.25">
      <c r="A291" s="131">
        <v>1</v>
      </c>
      <c r="B291" s="129">
        <v>1109122</v>
      </c>
      <c r="C291" s="127" t="s">
        <v>30</v>
      </c>
      <c r="D291" s="128" t="s">
        <v>1660</v>
      </c>
      <c r="E291" s="151" t="s">
        <v>1808</v>
      </c>
      <c r="F291" s="129" t="s">
        <v>1852</v>
      </c>
      <c r="G291" s="147"/>
      <c r="H291" s="189">
        <f t="shared" si="4"/>
        <v>2.3633448244579509</v>
      </c>
      <c r="I291" s="134"/>
      <c r="J291" s="150"/>
      <c r="K291" s="147">
        <v>11</v>
      </c>
      <c r="L291" s="147">
        <v>1</v>
      </c>
      <c r="M291" s="147">
        <v>12</v>
      </c>
      <c r="N291" s="275"/>
      <c r="O291" s="194"/>
      <c r="P291" s="179"/>
      <c r="Q291" s="173">
        <f>5.1/2.2046</f>
        <v>2.3133448244579511</v>
      </c>
      <c r="R291" s="271">
        <v>0.05</v>
      </c>
      <c r="S291" s="147"/>
      <c r="T291" s="129" t="s">
        <v>468</v>
      </c>
      <c r="U291" s="147" t="s">
        <v>37</v>
      </c>
      <c r="V291" s="129"/>
      <c r="W291" s="176" t="s">
        <v>54</v>
      </c>
      <c r="X291" s="205"/>
      <c r="Y291" s="251"/>
      <c r="Z291" s="290"/>
      <c r="AA291" s="230"/>
    </row>
    <row r="292" spans="1:27" s="181" customFormat="1" hidden="1" x14ac:dyDescent="0.25">
      <c r="A292" s="131"/>
      <c r="B292" s="129">
        <v>1109123</v>
      </c>
      <c r="C292" s="127" t="s">
        <v>30</v>
      </c>
      <c r="D292" s="128" t="s">
        <v>1676</v>
      </c>
      <c r="E292" s="151" t="s">
        <v>545</v>
      </c>
      <c r="F292" s="129" t="s">
        <v>1675</v>
      </c>
      <c r="G292" s="147" t="s">
        <v>34</v>
      </c>
      <c r="H292" s="189">
        <f t="shared" si="4"/>
        <v>4.8999999999999995</v>
      </c>
      <c r="I292" s="134"/>
      <c r="J292" s="150"/>
      <c r="K292" s="147"/>
      <c r="L292" s="147"/>
      <c r="M292" s="147">
        <v>16</v>
      </c>
      <c r="N292" s="275">
        <v>3000</v>
      </c>
      <c r="O292" s="194"/>
      <c r="P292" s="179">
        <v>44907</v>
      </c>
      <c r="Q292" s="173">
        <v>4.8499999999999996</v>
      </c>
      <c r="R292" s="271">
        <v>0.05</v>
      </c>
      <c r="S292" s="147" t="s">
        <v>35</v>
      </c>
      <c r="T292" s="129" t="s">
        <v>1681</v>
      </c>
      <c r="U292" s="147" t="s">
        <v>37</v>
      </c>
      <c r="V292" s="129"/>
      <c r="W292" s="176" t="s">
        <v>54</v>
      </c>
      <c r="X292" s="205"/>
      <c r="Y292" s="251"/>
      <c r="Z292" s="290"/>
      <c r="AA292" s="286"/>
    </row>
    <row r="293" spans="1:27" ht="24" hidden="1" x14ac:dyDescent="0.25">
      <c r="B293" s="129">
        <v>1109124</v>
      </c>
      <c r="C293" s="127" t="s">
        <v>30</v>
      </c>
      <c r="D293" s="128" t="s">
        <v>1678</v>
      </c>
      <c r="E293" s="151" t="s">
        <v>1924</v>
      </c>
      <c r="F293" s="129" t="s">
        <v>323</v>
      </c>
      <c r="G293" s="147" t="s">
        <v>34</v>
      </c>
      <c r="H293" s="189">
        <f t="shared" si="4"/>
        <v>5.8999999999999995</v>
      </c>
      <c r="I293" s="134" t="s">
        <v>2082</v>
      </c>
      <c r="J293" s="146">
        <v>30</v>
      </c>
      <c r="K293" s="147">
        <v>2</v>
      </c>
      <c r="L293" s="147">
        <v>2</v>
      </c>
      <c r="M293" s="147">
        <v>4</v>
      </c>
      <c r="N293" s="275">
        <v>551</v>
      </c>
      <c r="O293" s="193"/>
      <c r="P293" s="179"/>
      <c r="Q293" s="173">
        <v>5.85</v>
      </c>
      <c r="R293" s="271">
        <v>0.05</v>
      </c>
      <c r="S293" s="164"/>
      <c r="T293" s="129" t="s">
        <v>1681</v>
      </c>
      <c r="U293" s="147" t="s">
        <v>35</v>
      </c>
      <c r="V293" s="129"/>
      <c r="W293" s="176" t="s">
        <v>54</v>
      </c>
      <c r="X293" s="205" t="s">
        <v>1009</v>
      </c>
      <c r="Y293" s="251"/>
      <c r="Z293" s="290"/>
      <c r="AA293" s="286"/>
    </row>
    <row r="294" spans="1:27" ht="24" hidden="1" x14ac:dyDescent="0.25">
      <c r="B294" s="129">
        <v>1109125</v>
      </c>
      <c r="C294" s="127" t="s">
        <v>30</v>
      </c>
      <c r="D294" s="128" t="s">
        <v>1677</v>
      </c>
      <c r="E294" s="151" t="s">
        <v>1924</v>
      </c>
      <c r="F294" s="129" t="s">
        <v>323</v>
      </c>
      <c r="G294" s="147" t="s">
        <v>34</v>
      </c>
      <c r="H294" s="189">
        <f t="shared" si="4"/>
        <v>4.8199999999999994</v>
      </c>
      <c r="I294" s="134" t="s">
        <v>2082</v>
      </c>
      <c r="J294" s="146">
        <v>30</v>
      </c>
      <c r="K294" s="147">
        <v>2</v>
      </c>
      <c r="L294" s="147">
        <v>2</v>
      </c>
      <c r="M294" s="147">
        <v>4</v>
      </c>
      <c r="N294" s="275">
        <v>551</v>
      </c>
      <c r="O294" s="193"/>
      <c r="P294" s="179">
        <v>44927</v>
      </c>
      <c r="Q294" s="173">
        <v>4.7699999999999996</v>
      </c>
      <c r="R294" s="271">
        <v>0.05</v>
      </c>
      <c r="S294" s="164"/>
      <c r="T294" s="129" t="s">
        <v>1681</v>
      </c>
      <c r="U294" s="147" t="s">
        <v>35</v>
      </c>
      <c r="V294" s="129"/>
      <c r="W294" s="176" t="s">
        <v>54</v>
      </c>
      <c r="X294" s="205" t="s">
        <v>1009</v>
      </c>
      <c r="Y294" s="251"/>
      <c r="Z294" s="290"/>
      <c r="AA294" s="286"/>
    </row>
    <row r="295" spans="1:27" hidden="1" x14ac:dyDescent="0.25">
      <c r="B295" s="129">
        <v>1109126</v>
      </c>
      <c r="C295" s="127" t="s">
        <v>30</v>
      </c>
      <c r="D295" s="128" t="s">
        <v>1679</v>
      </c>
      <c r="E295" s="151" t="s">
        <v>127</v>
      </c>
      <c r="F295" s="129" t="s">
        <v>307</v>
      </c>
      <c r="G295" s="147" t="s">
        <v>34</v>
      </c>
      <c r="H295" s="189">
        <f t="shared" si="4"/>
        <v>7.25</v>
      </c>
      <c r="I295" s="134" t="s">
        <v>2082</v>
      </c>
      <c r="J295" s="146">
        <v>0</v>
      </c>
      <c r="K295" s="147">
        <v>6</v>
      </c>
      <c r="L295" s="147">
        <v>2</v>
      </c>
      <c r="M295" s="147">
        <v>8</v>
      </c>
      <c r="N295" s="275">
        <v>4400</v>
      </c>
      <c r="O295" s="193"/>
      <c r="P295" s="179">
        <v>45178</v>
      </c>
      <c r="Q295" s="173">
        <v>7.2</v>
      </c>
      <c r="R295" s="271">
        <v>0.05</v>
      </c>
      <c r="S295" s="164"/>
      <c r="T295" s="129" t="s">
        <v>1681</v>
      </c>
      <c r="U295" s="147" t="s">
        <v>35</v>
      </c>
      <c r="V295" s="129"/>
      <c r="W295" s="176" t="s">
        <v>54</v>
      </c>
      <c r="X295" s="205" t="s">
        <v>1009</v>
      </c>
      <c r="Y295" s="251"/>
      <c r="Z295" s="290"/>
      <c r="AA295" s="286"/>
    </row>
    <row r="296" spans="1:27" ht="36" hidden="1" x14ac:dyDescent="0.25">
      <c r="A296" s="261">
        <v>1109126</v>
      </c>
      <c r="B296" s="129">
        <v>1109127</v>
      </c>
      <c r="C296" s="127" t="s">
        <v>30</v>
      </c>
      <c r="D296" s="128" t="s">
        <v>1683</v>
      </c>
      <c r="E296" s="151" t="s">
        <v>1682</v>
      </c>
      <c r="F296" s="129" t="s">
        <v>33</v>
      </c>
      <c r="G296" s="147" t="s">
        <v>34</v>
      </c>
      <c r="H296" s="189">
        <f t="shared" si="4"/>
        <v>3.5878999999999999</v>
      </c>
      <c r="I296" s="210" t="s">
        <v>2228</v>
      </c>
      <c r="J296" s="146">
        <v>0</v>
      </c>
      <c r="K296" s="147">
        <v>5</v>
      </c>
      <c r="L296" s="147">
        <v>1</v>
      </c>
      <c r="M296" s="147">
        <v>6</v>
      </c>
      <c r="N296" s="275">
        <v>55</v>
      </c>
      <c r="O296" s="194"/>
      <c r="P296" s="179"/>
      <c r="Q296" s="173">
        <v>3.5878999999999999</v>
      </c>
      <c r="R296" s="271">
        <v>0</v>
      </c>
      <c r="S296" s="164"/>
      <c r="T296" s="129" t="s">
        <v>468</v>
      </c>
      <c r="U296" s="147" t="s">
        <v>37</v>
      </c>
      <c r="V296" s="129"/>
      <c r="W296" s="176" t="s">
        <v>54</v>
      </c>
      <c r="X296" s="205"/>
      <c r="Y296" s="251"/>
      <c r="Z296" s="290"/>
      <c r="AA296" s="286"/>
    </row>
    <row r="297" spans="1:27" ht="24" hidden="1" x14ac:dyDescent="0.25">
      <c r="B297" s="129">
        <v>1109128</v>
      </c>
      <c r="C297" s="127" t="s">
        <v>30</v>
      </c>
      <c r="D297" s="128" t="s">
        <v>1686</v>
      </c>
      <c r="E297" s="151" t="s">
        <v>1687</v>
      </c>
      <c r="F297" s="129" t="s">
        <v>1685</v>
      </c>
      <c r="G297" s="147" t="s">
        <v>34</v>
      </c>
      <c r="H297" s="189">
        <f t="shared" si="4"/>
        <v>0</v>
      </c>
      <c r="I297" s="210" t="s">
        <v>2221</v>
      </c>
      <c r="J297" s="146">
        <v>0</v>
      </c>
      <c r="K297" s="147">
        <v>4</v>
      </c>
      <c r="L297" s="147">
        <v>8</v>
      </c>
      <c r="M297" s="147">
        <v>12</v>
      </c>
      <c r="N297" s="275"/>
      <c r="O297" s="194"/>
      <c r="P297" s="179">
        <v>44854</v>
      </c>
      <c r="Q297" s="175"/>
      <c r="R297" s="271"/>
      <c r="S297" s="164"/>
      <c r="T297" s="129" t="s">
        <v>468</v>
      </c>
      <c r="U297" s="147" t="s">
        <v>37</v>
      </c>
      <c r="V297" s="129"/>
      <c r="W297" s="176" t="s">
        <v>54</v>
      </c>
      <c r="X297" s="205" t="s">
        <v>1854</v>
      </c>
      <c r="Y297" s="251"/>
      <c r="Z297" s="290"/>
      <c r="AA297" s="286"/>
    </row>
    <row r="298" spans="1:27" hidden="1" x14ac:dyDescent="0.25">
      <c r="B298" s="129">
        <v>1109129</v>
      </c>
      <c r="C298" s="129" t="s">
        <v>30</v>
      </c>
      <c r="D298" s="336" t="s">
        <v>1693</v>
      </c>
      <c r="E298" s="147" t="s">
        <v>1690</v>
      </c>
      <c r="F298" s="129" t="s">
        <v>1691</v>
      </c>
      <c r="G298" s="147" t="s">
        <v>34</v>
      </c>
      <c r="H298" s="189">
        <f t="shared" si="4"/>
        <v>4.1099999999999994</v>
      </c>
      <c r="I298" s="134" t="s">
        <v>2082</v>
      </c>
      <c r="J298" s="146">
        <v>0</v>
      </c>
      <c r="K298" s="147">
        <v>16</v>
      </c>
      <c r="L298" s="147">
        <v>2</v>
      </c>
      <c r="M298" s="147">
        <v>18</v>
      </c>
      <c r="N298" s="275">
        <v>8000</v>
      </c>
      <c r="O298" s="196"/>
      <c r="P298" s="179">
        <v>45178</v>
      </c>
      <c r="Q298" s="175">
        <v>4.0599999999999996</v>
      </c>
      <c r="R298" s="271">
        <v>0.05</v>
      </c>
      <c r="S298" s="164"/>
      <c r="T298" s="129" t="s">
        <v>1681</v>
      </c>
      <c r="U298" s="147" t="s">
        <v>35</v>
      </c>
      <c r="V298" s="129"/>
      <c r="W298" s="176" t="s">
        <v>54</v>
      </c>
      <c r="X298" s="205" t="s">
        <v>1009</v>
      </c>
      <c r="Y298" s="251"/>
      <c r="Z298" s="290"/>
      <c r="AA298" s="286"/>
    </row>
    <row r="299" spans="1:27" s="181" customFormat="1" hidden="1" x14ac:dyDescent="0.25">
      <c r="A299" s="131"/>
      <c r="B299" s="129">
        <v>1109130</v>
      </c>
      <c r="C299" s="129" t="s">
        <v>30</v>
      </c>
      <c r="D299" s="136" t="s">
        <v>1694</v>
      </c>
      <c r="E299" s="151" t="s">
        <v>259</v>
      </c>
      <c r="F299" s="129" t="s">
        <v>1695</v>
      </c>
      <c r="G299" s="147" t="s">
        <v>34</v>
      </c>
      <c r="H299" s="189">
        <f t="shared" si="4"/>
        <v>8.1647464392633573</v>
      </c>
      <c r="I299" s="134" t="s">
        <v>2082</v>
      </c>
      <c r="J299" s="150"/>
      <c r="K299" s="147"/>
      <c r="L299" s="147"/>
      <c r="M299" s="147">
        <v>4</v>
      </c>
      <c r="N299" s="275">
        <v>100</v>
      </c>
      <c r="O299" s="185"/>
      <c r="P299" s="164"/>
      <c r="Q299" s="175">
        <v>8.1647464392633573</v>
      </c>
      <c r="R299" s="271">
        <v>0</v>
      </c>
      <c r="S299" s="164"/>
      <c r="T299" s="129" t="s">
        <v>1696</v>
      </c>
      <c r="U299" s="147" t="s">
        <v>37</v>
      </c>
      <c r="V299" s="129"/>
      <c r="W299" s="176" t="s">
        <v>54</v>
      </c>
      <c r="X299" s="205"/>
      <c r="Y299" s="251"/>
      <c r="Z299" s="290"/>
      <c r="AA299" s="230"/>
    </row>
    <row r="300" spans="1:27" hidden="1" x14ac:dyDescent="0.25">
      <c r="B300" s="129">
        <v>1109131</v>
      </c>
      <c r="C300" s="129" t="s">
        <v>30</v>
      </c>
      <c r="D300" s="136" t="s">
        <v>1698</v>
      </c>
      <c r="E300" s="147" t="s">
        <v>1697</v>
      </c>
      <c r="F300" s="129" t="s">
        <v>323</v>
      </c>
      <c r="G300" s="147" t="s">
        <v>34</v>
      </c>
      <c r="H300" s="189">
        <f t="shared" si="4"/>
        <v>2.8499999999999996</v>
      </c>
      <c r="I300" s="210" t="s">
        <v>2082</v>
      </c>
      <c r="J300" s="146">
        <v>30</v>
      </c>
      <c r="K300" s="147">
        <v>8</v>
      </c>
      <c r="L300" s="147">
        <v>2</v>
      </c>
      <c r="M300" s="147">
        <v>10</v>
      </c>
      <c r="N300" s="275">
        <v>12815</v>
      </c>
      <c r="O300" s="196"/>
      <c r="P300" s="179">
        <v>45083</v>
      </c>
      <c r="Q300" s="173">
        <v>2.8</v>
      </c>
      <c r="R300" s="271">
        <v>0.05</v>
      </c>
      <c r="S300" s="164"/>
      <c r="T300" s="129" t="s">
        <v>1850</v>
      </c>
      <c r="U300" s="147" t="s">
        <v>35</v>
      </c>
      <c r="V300" s="129"/>
      <c r="W300" s="176" t="s">
        <v>54</v>
      </c>
      <c r="X300" s="205" t="s">
        <v>1009</v>
      </c>
      <c r="Y300" s="288">
        <v>45849</v>
      </c>
      <c r="Z300" s="290"/>
      <c r="AA300" s="286"/>
    </row>
    <row r="301" spans="1:27" ht="24" hidden="1" x14ac:dyDescent="0.25">
      <c r="B301" s="129">
        <v>1109132</v>
      </c>
      <c r="C301" s="129" t="s">
        <v>30</v>
      </c>
      <c r="D301" s="136" t="s">
        <v>1709</v>
      </c>
      <c r="E301" s="147" t="s">
        <v>32</v>
      </c>
      <c r="F301" s="129" t="s">
        <v>1829</v>
      </c>
      <c r="G301" s="147" t="s">
        <v>34</v>
      </c>
      <c r="H301" s="189">
        <f t="shared" si="4"/>
        <v>4.2850000000000001</v>
      </c>
      <c r="I301" s="222" t="s">
        <v>2084</v>
      </c>
      <c r="J301" s="146">
        <v>0</v>
      </c>
      <c r="K301" s="147">
        <v>4</v>
      </c>
      <c r="L301" s="147">
        <v>2</v>
      </c>
      <c r="M301" s="147">
        <v>6</v>
      </c>
      <c r="N301" s="275">
        <v>220</v>
      </c>
      <c r="O301" s="185"/>
      <c r="P301" s="179">
        <v>44972</v>
      </c>
      <c r="Q301" s="175">
        <v>4.24</v>
      </c>
      <c r="R301" s="271">
        <v>4.4999999999999998E-2</v>
      </c>
      <c r="S301" s="164"/>
      <c r="T301" s="129" t="s">
        <v>468</v>
      </c>
      <c r="U301" s="147" t="s">
        <v>37</v>
      </c>
      <c r="V301" s="129"/>
      <c r="W301" s="176" t="s">
        <v>54</v>
      </c>
      <c r="X301" s="205" t="s">
        <v>1009</v>
      </c>
      <c r="Y301" s="251"/>
      <c r="Z301" s="290"/>
      <c r="AA301" s="286"/>
    </row>
    <row r="302" spans="1:27" hidden="1" x14ac:dyDescent="0.25">
      <c r="B302" s="129">
        <v>1109134</v>
      </c>
      <c r="C302" s="129" t="s">
        <v>30</v>
      </c>
      <c r="D302" s="136" t="s">
        <v>1713</v>
      </c>
      <c r="E302" s="147" t="s">
        <v>1704</v>
      </c>
      <c r="F302" s="129" t="s">
        <v>1791</v>
      </c>
      <c r="G302" s="147" t="s">
        <v>34</v>
      </c>
      <c r="H302" s="189">
        <f t="shared" si="4"/>
        <v>6.71</v>
      </c>
      <c r="I302" s="180" t="s">
        <v>2082</v>
      </c>
      <c r="J302" s="146">
        <v>30</v>
      </c>
      <c r="K302" s="147">
        <v>4</v>
      </c>
      <c r="L302" s="147">
        <v>2</v>
      </c>
      <c r="M302" s="147">
        <v>6</v>
      </c>
      <c r="N302" s="275">
        <v>2204</v>
      </c>
      <c r="O302" s="185"/>
      <c r="P302" s="164"/>
      <c r="Q302" s="175">
        <v>6.66</v>
      </c>
      <c r="R302" s="271">
        <v>0.05</v>
      </c>
      <c r="S302" s="164"/>
      <c r="T302" s="129" t="s">
        <v>1705</v>
      </c>
      <c r="U302" s="147" t="s">
        <v>37</v>
      </c>
      <c r="V302" s="129"/>
      <c r="W302" s="162" t="s">
        <v>54</v>
      </c>
      <c r="X302" s="205" t="s">
        <v>1009</v>
      </c>
      <c r="Y302" s="251"/>
      <c r="Z302" s="290"/>
      <c r="AA302" s="286"/>
    </row>
    <row r="303" spans="1:27" x14ac:dyDescent="0.25">
      <c r="B303" s="129">
        <v>1109135</v>
      </c>
      <c r="C303" s="129" t="s">
        <v>30</v>
      </c>
      <c r="D303" s="136" t="s">
        <v>1710</v>
      </c>
      <c r="E303" s="147" t="s">
        <v>1712</v>
      </c>
      <c r="F303" s="129" t="s">
        <v>307</v>
      </c>
      <c r="G303" s="147" t="s">
        <v>34</v>
      </c>
      <c r="H303" s="189">
        <f t="shared" si="4"/>
        <v>1.1000000000000001</v>
      </c>
      <c r="I303" s="210" t="s">
        <v>2082</v>
      </c>
      <c r="J303" s="146">
        <v>0</v>
      </c>
      <c r="K303" s="147">
        <v>11</v>
      </c>
      <c r="L303" s="147">
        <v>2</v>
      </c>
      <c r="M303" s="147">
        <v>12</v>
      </c>
      <c r="N303" s="275">
        <v>15000</v>
      </c>
      <c r="O303" s="175">
        <v>1.02</v>
      </c>
      <c r="P303" s="179">
        <v>46108</v>
      </c>
      <c r="Q303" s="175">
        <v>1.05</v>
      </c>
      <c r="R303" s="271">
        <v>0.05</v>
      </c>
      <c r="S303" s="164"/>
      <c r="T303" s="129" t="s">
        <v>1711</v>
      </c>
      <c r="U303" s="147" t="s">
        <v>37</v>
      </c>
      <c r="V303" s="129"/>
      <c r="W303" s="147" t="s">
        <v>2208</v>
      </c>
      <c r="X303" s="205" t="s">
        <v>1009</v>
      </c>
      <c r="Y303" s="251"/>
      <c r="Z303" s="290"/>
      <c r="AA303" s="286" t="s">
        <v>2700</v>
      </c>
    </row>
    <row r="304" spans="1:27" ht="24" x14ac:dyDescent="0.25">
      <c r="B304" s="129">
        <v>1109136</v>
      </c>
      <c r="C304" s="129" t="s">
        <v>30</v>
      </c>
      <c r="D304" s="136" t="s">
        <v>2654</v>
      </c>
      <c r="E304" s="147" t="s">
        <v>32</v>
      </c>
      <c r="F304" s="129" t="s">
        <v>2013</v>
      </c>
      <c r="G304" s="147" t="s">
        <v>34</v>
      </c>
      <c r="H304" s="189">
        <f t="shared" si="4"/>
        <v>11.200000000000001</v>
      </c>
      <c r="I304" s="222" t="s">
        <v>2088</v>
      </c>
      <c r="J304" s="146">
        <v>0</v>
      </c>
      <c r="K304" s="147">
        <v>7</v>
      </c>
      <c r="L304" s="147">
        <v>1</v>
      </c>
      <c r="M304" s="147">
        <v>8</v>
      </c>
      <c r="N304" s="275">
        <v>300</v>
      </c>
      <c r="O304" s="196">
        <v>11.85</v>
      </c>
      <c r="P304" s="152">
        <v>46126</v>
      </c>
      <c r="Q304" s="175">
        <v>11.15</v>
      </c>
      <c r="R304" s="271">
        <v>0.05</v>
      </c>
      <c r="S304" s="164"/>
      <c r="T304" s="129" t="s">
        <v>2089</v>
      </c>
      <c r="U304" s="147" t="s">
        <v>37</v>
      </c>
      <c r="V304" s="129"/>
      <c r="W304" s="147" t="s">
        <v>2208</v>
      </c>
      <c r="X304" s="205" t="s">
        <v>1009</v>
      </c>
      <c r="Y304" s="251"/>
      <c r="Z304" s="290"/>
      <c r="AA304" s="286" t="s">
        <v>2692</v>
      </c>
    </row>
    <row r="305" spans="2:27" ht="24" x14ac:dyDescent="0.25">
      <c r="B305" s="129">
        <v>1109137</v>
      </c>
      <c r="C305" s="129" t="s">
        <v>30</v>
      </c>
      <c r="D305" s="136" t="s">
        <v>1714</v>
      </c>
      <c r="E305" s="147" t="s">
        <v>1933</v>
      </c>
      <c r="F305" s="129" t="s">
        <v>1941</v>
      </c>
      <c r="G305" s="147" t="s">
        <v>34</v>
      </c>
      <c r="H305" s="189">
        <f t="shared" si="4"/>
        <v>1.96</v>
      </c>
      <c r="I305" s="210" t="s">
        <v>2452</v>
      </c>
      <c r="J305" s="146">
        <v>30</v>
      </c>
      <c r="K305" s="147">
        <v>21</v>
      </c>
      <c r="L305" s="147">
        <v>1</v>
      </c>
      <c r="M305" s="147">
        <v>22</v>
      </c>
      <c r="N305" s="275" t="s">
        <v>1940</v>
      </c>
      <c r="O305" s="196"/>
      <c r="P305" s="179">
        <v>45455</v>
      </c>
      <c r="Q305" s="175">
        <v>1.96</v>
      </c>
      <c r="R305" s="271">
        <v>0</v>
      </c>
      <c r="S305" s="164"/>
      <c r="T305" s="138" t="s">
        <v>242</v>
      </c>
      <c r="U305" s="147" t="s">
        <v>35</v>
      </c>
      <c r="V305" s="129"/>
      <c r="W305" s="147" t="s">
        <v>2450</v>
      </c>
      <c r="X305" s="205" t="s">
        <v>1904</v>
      </c>
      <c r="Y305" s="253" t="s">
        <v>2129</v>
      </c>
      <c r="Z305" s="290"/>
      <c r="AA305" s="286" t="s">
        <v>47</v>
      </c>
    </row>
    <row r="306" spans="2:27" hidden="1" x14ac:dyDescent="0.25">
      <c r="B306" s="129">
        <v>1109138</v>
      </c>
      <c r="C306" s="129" t="s">
        <v>30</v>
      </c>
      <c r="D306" s="136" t="s">
        <v>1739</v>
      </c>
      <c r="E306" s="147" t="s">
        <v>1790</v>
      </c>
      <c r="F306" s="129" t="s">
        <v>1738</v>
      </c>
      <c r="G306" s="147" t="s">
        <v>34</v>
      </c>
      <c r="H306" s="189">
        <f t="shared" si="4"/>
        <v>1.24</v>
      </c>
      <c r="I306" s="210" t="s">
        <v>2082</v>
      </c>
      <c r="J306" s="146">
        <v>60</v>
      </c>
      <c r="K306" s="147">
        <v>4</v>
      </c>
      <c r="L306" s="147">
        <v>1</v>
      </c>
      <c r="M306" s="147">
        <v>5</v>
      </c>
      <c r="N306" s="275">
        <v>41600</v>
      </c>
      <c r="O306" s="196"/>
      <c r="P306" s="179">
        <v>45055</v>
      </c>
      <c r="Q306" s="173">
        <v>1.19</v>
      </c>
      <c r="R306" s="271">
        <v>0.05</v>
      </c>
      <c r="S306" s="164"/>
      <c r="T306" s="129" t="s">
        <v>1738</v>
      </c>
      <c r="U306" s="147" t="s">
        <v>37</v>
      </c>
      <c r="V306" s="129"/>
      <c r="W306" s="176" t="s">
        <v>2519</v>
      </c>
      <c r="X306" s="205" t="s">
        <v>1009</v>
      </c>
      <c r="Y306" s="251"/>
      <c r="Z306" s="290"/>
      <c r="AA306" s="286"/>
    </row>
    <row r="307" spans="2:27" hidden="1" x14ac:dyDescent="0.25">
      <c r="B307" s="129">
        <v>1109139</v>
      </c>
      <c r="C307" s="129" t="s">
        <v>30</v>
      </c>
      <c r="D307" s="136" t="s">
        <v>1708</v>
      </c>
      <c r="E307" s="147" t="s">
        <v>32</v>
      </c>
      <c r="F307" s="129" t="s">
        <v>307</v>
      </c>
      <c r="G307" s="147" t="s">
        <v>34</v>
      </c>
      <c r="H307" s="189">
        <f t="shared" si="4"/>
        <v>0</v>
      </c>
      <c r="I307" s="134" t="s">
        <v>2082</v>
      </c>
      <c r="J307" s="146">
        <v>0</v>
      </c>
      <c r="K307" s="147">
        <v>6</v>
      </c>
      <c r="L307" s="147">
        <v>2</v>
      </c>
      <c r="M307" s="147">
        <v>8</v>
      </c>
      <c r="N307" s="275"/>
      <c r="O307" s="185"/>
      <c r="P307" s="179"/>
      <c r="Q307" s="175"/>
      <c r="R307" s="271"/>
      <c r="S307" s="164"/>
      <c r="T307" s="129"/>
      <c r="U307" s="147" t="s">
        <v>35</v>
      </c>
      <c r="V307" s="129"/>
      <c r="W307" s="176" t="s">
        <v>54</v>
      </c>
      <c r="X307" s="205"/>
      <c r="Y307" s="251"/>
      <c r="Z307" s="290"/>
      <c r="AA307" s="286"/>
    </row>
    <row r="308" spans="2:27" x14ac:dyDescent="0.25">
      <c r="B308" s="129">
        <v>1109140</v>
      </c>
      <c r="C308" s="129" t="s">
        <v>30</v>
      </c>
      <c r="D308" s="136" t="s">
        <v>1769</v>
      </c>
      <c r="E308" s="147" t="s">
        <v>1934</v>
      </c>
      <c r="F308" s="129" t="s">
        <v>1770</v>
      </c>
      <c r="G308" s="147" t="s">
        <v>34</v>
      </c>
      <c r="H308" s="189">
        <f t="shared" si="4"/>
        <v>2.52</v>
      </c>
      <c r="I308" s="210" t="s">
        <v>2082</v>
      </c>
      <c r="J308" s="146">
        <v>0</v>
      </c>
      <c r="K308" s="147">
        <v>6</v>
      </c>
      <c r="L308" s="147">
        <v>2</v>
      </c>
      <c r="M308" s="147">
        <v>8</v>
      </c>
      <c r="N308" s="275">
        <v>1800</v>
      </c>
      <c r="O308" s="196"/>
      <c r="P308" s="179"/>
      <c r="Q308" s="175">
        <v>2.4700000000000002</v>
      </c>
      <c r="R308" s="271">
        <v>0.05</v>
      </c>
      <c r="S308" s="164" t="s">
        <v>35</v>
      </c>
      <c r="T308" s="129" t="s">
        <v>1799</v>
      </c>
      <c r="U308" s="147" t="s">
        <v>35</v>
      </c>
      <c r="V308" s="129"/>
      <c r="W308" s="147" t="s">
        <v>2208</v>
      </c>
      <c r="X308" s="205" t="s">
        <v>1009</v>
      </c>
      <c r="Y308" s="288">
        <v>45848</v>
      </c>
      <c r="Z308" s="290"/>
      <c r="AA308" s="286" t="s">
        <v>1770</v>
      </c>
    </row>
    <row r="309" spans="2:27" ht="24" x14ac:dyDescent="0.25">
      <c r="B309" s="129">
        <v>1109141</v>
      </c>
      <c r="C309" s="129" t="s">
        <v>30</v>
      </c>
      <c r="D309" s="136" t="s">
        <v>1771</v>
      </c>
      <c r="E309" s="147" t="s">
        <v>1687</v>
      </c>
      <c r="F309" s="129" t="s">
        <v>307</v>
      </c>
      <c r="G309" s="147" t="s">
        <v>34</v>
      </c>
      <c r="H309" s="189">
        <f t="shared" si="4"/>
        <v>15.05</v>
      </c>
      <c r="I309" s="210" t="s">
        <v>2082</v>
      </c>
      <c r="J309" s="146">
        <v>0</v>
      </c>
      <c r="K309" s="147">
        <v>12</v>
      </c>
      <c r="L309" s="147">
        <v>1</v>
      </c>
      <c r="M309" s="147">
        <v>13</v>
      </c>
      <c r="N309" s="275">
        <v>110</v>
      </c>
      <c r="O309" s="196">
        <v>9</v>
      </c>
      <c r="P309" s="179">
        <v>46184</v>
      </c>
      <c r="Q309" s="175">
        <v>15</v>
      </c>
      <c r="R309" s="271">
        <v>0.05</v>
      </c>
      <c r="S309" s="164"/>
      <c r="T309" s="129" t="s">
        <v>1798</v>
      </c>
      <c r="U309" s="147" t="s">
        <v>35</v>
      </c>
      <c r="V309" s="129"/>
      <c r="W309" s="147" t="s">
        <v>2208</v>
      </c>
      <c r="X309" s="205" t="s">
        <v>1009</v>
      </c>
      <c r="Y309" s="251"/>
      <c r="Z309" s="290"/>
      <c r="AA309" s="286" t="s">
        <v>33</v>
      </c>
    </row>
    <row r="310" spans="2:27" ht="36" x14ac:dyDescent="0.25">
      <c r="B310" s="129">
        <v>1109142</v>
      </c>
      <c r="C310" s="129" t="s">
        <v>30</v>
      </c>
      <c r="D310" s="136" t="s">
        <v>1787</v>
      </c>
      <c r="E310" s="151" t="s">
        <v>259</v>
      </c>
      <c r="F310" s="129" t="s">
        <v>2395</v>
      </c>
      <c r="G310" s="147" t="s">
        <v>34</v>
      </c>
      <c r="H310" s="189">
        <f t="shared" si="4"/>
        <v>8.8800000000000008</v>
      </c>
      <c r="I310" s="211" t="s">
        <v>2083</v>
      </c>
      <c r="J310" s="146">
        <v>0</v>
      </c>
      <c r="K310" s="147">
        <v>4</v>
      </c>
      <c r="L310" s="147">
        <v>1</v>
      </c>
      <c r="M310" s="147">
        <v>5</v>
      </c>
      <c r="N310" s="275">
        <v>600</v>
      </c>
      <c r="O310" s="196">
        <v>6.16</v>
      </c>
      <c r="P310" s="179">
        <v>45303</v>
      </c>
      <c r="Q310" s="175">
        <v>8.58</v>
      </c>
      <c r="R310" s="271">
        <v>0.3</v>
      </c>
      <c r="S310" s="164"/>
      <c r="T310" s="129" t="s">
        <v>2089</v>
      </c>
      <c r="U310" s="147" t="s">
        <v>37</v>
      </c>
      <c r="V310" s="129"/>
      <c r="W310" s="147" t="s">
        <v>2208</v>
      </c>
      <c r="X310" s="207" t="s">
        <v>1009</v>
      </c>
      <c r="Y310" s="251"/>
      <c r="Z310" s="290"/>
      <c r="AA310" s="286" t="s">
        <v>2692</v>
      </c>
    </row>
    <row r="311" spans="2:27" ht="24" x14ac:dyDescent="0.25">
      <c r="B311" s="129">
        <v>1109143</v>
      </c>
      <c r="C311" s="129" t="s">
        <v>30</v>
      </c>
      <c r="D311" s="136" t="s">
        <v>2680</v>
      </c>
      <c r="E311" s="147" t="s">
        <v>1808</v>
      </c>
      <c r="F311" s="129" t="s">
        <v>1791</v>
      </c>
      <c r="G311" s="147" t="s">
        <v>34</v>
      </c>
      <c r="H311" s="189">
        <f t="shared" si="4"/>
        <v>3.3099999999999996</v>
      </c>
      <c r="I311" s="223" t="s">
        <v>2082</v>
      </c>
      <c r="J311" s="146">
        <v>30</v>
      </c>
      <c r="K311" s="147">
        <v>19</v>
      </c>
      <c r="L311" s="147">
        <v>2</v>
      </c>
      <c r="M311" s="147">
        <v>21</v>
      </c>
      <c r="N311" s="275">
        <v>1653</v>
      </c>
      <c r="O311" s="196">
        <v>3.2669999999999999</v>
      </c>
      <c r="P311" s="179">
        <v>45519</v>
      </c>
      <c r="Q311" s="175">
        <v>3.26</v>
      </c>
      <c r="R311" s="271">
        <v>0.05</v>
      </c>
      <c r="S311" s="164"/>
      <c r="T311" s="129" t="s">
        <v>1846</v>
      </c>
      <c r="U311" s="147" t="s">
        <v>35</v>
      </c>
      <c r="V311" s="129"/>
      <c r="W311" s="147" t="s">
        <v>2208</v>
      </c>
      <c r="X311" s="205" t="s">
        <v>1009</v>
      </c>
      <c r="Y311" s="288">
        <v>46161</v>
      </c>
      <c r="Z311" s="291" t="s">
        <v>2655</v>
      </c>
      <c r="AA311" s="286" t="s">
        <v>2705</v>
      </c>
    </row>
    <row r="312" spans="2:27" hidden="1" x14ac:dyDescent="0.25">
      <c r="B312" s="129">
        <v>1109144</v>
      </c>
      <c r="C312" s="129" t="s">
        <v>30</v>
      </c>
      <c r="D312" s="136" t="s">
        <v>1807</v>
      </c>
      <c r="E312" s="147" t="s">
        <v>1808</v>
      </c>
      <c r="F312" s="129" t="s">
        <v>1791</v>
      </c>
      <c r="G312" s="147" t="s">
        <v>34</v>
      </c>
      <c r="H312" s="189">
        <f t="shared" si="4"/>
        <v>3.2271999999999998</v>
      </c>
      <c r="I312" s="180" t="s">
        <v>2082</v>
      </c>
      <c r="J312" s="146">
        <v>30</v>
      </c>
      <c r="K312" s="147">
        <v>19</v>
      </c>
      <c r="L312" s="147">
        <v>2</v>
      </c>
      <c r="M312" s="147">
        <v>21</v>
      </c>
      <c r="N312" s="275">
        <v>1653</v>
      </c>
      <c r="O312" s="196"/>
      <c r="P312" s="179">
        <v>45246</v>
      </c>
      <c r="Q312" s="175">
        <v>3.1772</v>
      </c>
      <c r="R312" s="271">
        <v>0.05</v>
      </c>
      <c r="S312" s="164"/>
      <c r="T312" s="129" t="s">
        <v>1846</v>
      </c>
      <c r="U312" s="147" t="s">
        <v>35</v>
      </c>
      <c r="V312" s="129"/>
      <c r="W312" s="176" t="s">
        <v>54</v>
      </c>
      <c r="X312" s="205" t="s">
        <v>1009</v>
      </c>
      <c r="Y312" s="251"/>
      <c r="Z312" s="290"/>
      <c r="AA312" s="286"/>
    </row>
    <row r="313" spans="2:27" ht="24" x14ac:dyDescent="0.25">
      <c r="B313" s="129">
        <v>1109145</v>
      </c>
      <c r="C313" s="129" t="s">
        <v>30</v>
      </c>
      <c r="D313" s="136" t="s">
        <v>1818</v>
      </c>
      <c r="E313" s="147" t="s">
        <v>1810</v>
      </c>
      <c r="F313" s="129" t="s">
        <v>2501</v>
      </c>
      <c r="G313" s="147" t="s">
        <v>34</v>
      </c>
      <c r="H313" s="189">
        <f t="shared" si="4"/>
        <v>1.6042000000000001</v>
      </c>
      <c r="I313" s="210" t="s">
        <v>2650</v>
      </c>
      <c r="J313" s="146">
        <v>0</v>
      </c>
      <c r="K313" s="147">
        <v>4</v>
      </c>
      <c r="L313" s="147">
        <v>8</v>
      </c>
      <c r="M313" s="147">
        <v>12</v>
      </c>
      <c r="N313" s="275">
        <v>35000</v>
      </c>
      <c r="O313" s="196">
        <f>1.518+0.05</f>
        <v>1.5680000000000001</v>
      </c>
      <c r="P313" s="179">
        <v>46185</v>
      </c>
      <c r="Q313" s="175">
        <v>1.5940000000000001</v>
      </c>
      <c r="R313" s="175">
        <f>357/35000</f>
        <v>1.0200000000000001E-2</v>
      </c>
      <c r="S313" s="164" t="s">
        <v>35</v>
      </c>
      <c r="T313" s="129" t="s">
        <v>2206</v>
      </c>
      <c r="U313" s="147" t="s">
        <v>37</v>
      </c>
      <c r="V313" s="147" t="s">
        <v>1976</v>
      </c>
      <c r="W313" s="147" t="s">
        <v>2208</v>
      </c>
      <c r="X313" s="205" t="s">
        <v>1854</v>
      </c>
      <c r="Y313" s="251"/>
      <c r="Z313" s="290"/>
      <c r="AA313" s="286" t="s">
        <v>1685</v>
      </c>
    </row>
    <row r="314" spans="2:27" ht="24" x14ac:dyDescent="0.25">
      <c r="B314" s="129">
        <v>1109146</v>
      </c>
      <c r="C314" s="129" t="s">
        <v>30</v>
      </c>
      <c r="D314" s="136" t="s">
        <v>1809</v>
      </c>
      <c r="E314" s="147" t="s">
        <v>146</v>
      </c>
      <c r="F314" s="129" t="s">
        <v>1685</v>
      </c>
      <c r="G314" s="147" t="s">
        <v>34</v>
      </c>
      <c r="H314" s="189">
        <f t="shared" si="4"/>
        <v>0.94400000000000006</v>
      </c>
      <c r="I314" s="210" t="s">
        <v>2221</v>
      </c>
      <c r="J314" s="146">
        <v>0</v>
      </c>
      <c r="K314" s="147">
        <v>4</v>
      </c>
      <c r="L314" s="147">
        <v>8</v>
      </c>
      <c r="M314" s="147">
        <v>12</v>
      </c>
      <c r="N314" s="275">
        <v>22046</v>
      </c>
      <c r="O314" s="196">
        <v>0.65500000000000003</v>
      </c>
      <c r="P314" s="179">
        <v>45496</v>
      </c>
      <c r="Q314" s="175">
        <v>0.66900000000000004</v>
      </c>
      <c r="R314" s="271">
        <f>9000/40000+0.05</f>
        <v>0.27500000000000002</v>
      </c>
      <c r="S314" s="164" t="s">
        <v>35</v>
      </c>
      <c r="T314" s="129" t="s">
        <v>2206</v>
      </c>
      <c r="U314" s="147" t="s">
        <v>37</v>
      </c>
      <c r="V314" s="147">
        <v>3500294</v>
      </c>
      <c r="W314" s="147" t="s">
        <v>2208</v>
      </c>
      <c r="X314" s="205" t="s">
        <v>1854</v>
      </c>
      <c r="Y314" s="251"/>
      <c r="Z314" s="290"/>
      <c r="AA314" s="286" t="s">
        <v>1685</v>
      </c>
    </row>
    <row r="315" spans="2:27" ht="24" hidden="1" x14ac:dyDescent="0.25">
      <c r="B315" s="129">
        <v>1109147</v>
      </c>
      <c r="C315" s="129" t="s">
        <v>30</v>
      </c>
      <c r="D315" s="128" t="s">
        <v>2185</v>
      </c>
      <c r="E315" s="151"/>
      <c r="F315" s="129" t="s">
        <v>1791</v>
      </c>
      <c r="G315" s="147" t="s">
        <v>34</v>
      </c>
      <c r="H315" s="189">
        <f t="shared" si="4"/>
        <v>3.98</v>
      </c>
      <c r="I315" s="180" t="s">
        <v>2082</v>
      </c>
      <c r="J315" s="146">
        <v>30</v>
      </c>
      <c r="K315" s="147">
        <v>4</v>
      </c>
      <c r="L315" s="147">
        <v>2</v>
      </c>
      <c r="M315" s="147">
        <v>6</v>
      </c>
      <c r="N315" s="275">
        <v>1500</v>
      </c>
      <c r="O315" s="193">
        <v>3.79</v>
      </c>
      <c r="P315" s="179">
        <v>45405</v>
      </c>
      <c r="Q315" s="173">
        <v>3.93</v>
      </c>
      <c r="R315" s="271">
        <v>0.05</v>
      </c>
      <c r="S315" s="167"/>
      <c r="T315" s="129" t="s">
        <v>1851</v>
      </c>
      <c r="U315" s="147" t="s">
        <v>35</v>
      </c>
      <c r="V315" s="129"/>
      <c r="W315" s="162" t="s">
        <v>54</v>
      </c>
      <c r="X315" s="205" t="s">
        <v>1009</v>
      </c>
      <c r="Y315" s="251"/>
      <c r="Z315" s="290"/>
      <c r="AA315" s="286"/>
    </row>
    <row r="316" spans="2:27" hidden="1" x14ac:dyDescent="0.25">
      <c r="B316" s="129">
        <v>1109148</v>
      </c>
      <c r="C316" s="129" t="s">
        <v>30</v>
      </c>
      <c r="D316" s="128" t="s">
        <v>1815</v>
      </c>
      <c r="E316" s="151" t="s">
        <v>1808</v>
      </c>
      <c r="F316" s="129" t="s">
        <v>1816</v>
      </c>
      <c r="G316" s="147" t="s">
        <v>34</v>
      </c>
      <c r="H316" s="189">
        <f t="shared" si="4"/>
        <v>7.61</v>
      </c>
      <c r="I316" s="212" t="s">
        <v>2082</v>
      </c>
      <c r="J316" s="146"/>
      <c r="K316" s="147">
        <v>8</v>
      </c>
      <c r="L316" s="147">
        <v>8</v>
      </c>
      <c r="M316" s="147">
        <v>16</v>
      </c>
      <c r="N316" s="275">
        <v>6000.9212000000007</v>
      </c>
      <c r="O316" s="193"/>
      <c r="P316" s="179">
        <v>45301</v>
      </c>
      <c r="Q316" s="173">
        <v>7.61</v>
      </c>
      <c r="R316" s="347"/>
      <c r="S316" s="167"/>
      <c r="T316" s="129" t="s">
        <v>1851</v>
      </c>
      <c r="U316" s="147" t="s">
        <v>35</v>
      </c>
      <c r="V316" s="129"/>
      <c r="W316" s="162" t="s">
        <v>54</v>
      </c>
      <c r="X316" s="205" t="s">
        <v>1919</v>
      </c>
      <c r="Y316" s="251"/>
      <c r="Z316" s="290"/>
      <c r="AA316" s="286"/>
    </row>
    <row r="317" spans="2:27" ht="24" x14ac:dyDescent="0.25">
      <c r="B317" s="129">
        <v>1109149</v>
      </c>
      <c r="C317" s="129" t="s">
        <v>30</v>
      </c>
      <c r="D317" s="128" t="s">
        <v>1820</v>
      </c>
      <c r="E317" s="151" t="s">
        <v>66</v>
      </c>
      <c r="F317" s="129" t="s">
        <v>1998</v>
      </c>
      <c r="G317" s="147" t="s">
        <v>34</v>
      </c>
      <c r="H317" s="189">
        <f t="shared" si="4"/>
        <v>1.32</v>
      </c>
      <c r="I317" s="223" t="s">
        <v>2216</v>
      </c>
      <c r="J317" s="146">
        <v>60</v>
      </c>
      <c r="K317" s="147">
        <v>4</v>
      </c>
      <c r="L317" s="147">
        <v>8</v>
      </c>
      <c r="M317" s="147">
        <v>12</v>
      </c>
      <c r="N317" s="275">
        <v>35724</v>
      </c>
      <c r="O317" s="194">
        <v>1.18</v>
      </c>
      <c r="P317" s="179">
        <v>45498</v>
      </c>
      <c r="Q317" s="173">
        <v>1.27</v>
      </c>
      <c r="R317" s="271">
        <v>0.05</v>
      </c>
      <c r="S317" s="167"/>
      <c r="T317" s="129" t="s">
        <v>2441</v>
      </c>
      <c r="U317" s="147" t="s">
        <v>37</v>
      </c>
      <c r="V317" s="129"/>
      <c r="W317" s="147" t="s">
        <v>2208</v>
      </c>
      <c r="X317" s="205" t="s">
        <v>1915</v>
      </c>
      <c r="Y317" s="251"/>
      <c r="Z317" s="290"/>
      <c r="AA317" s="286" t="s">
        <v>1998</v>
      </c>
    </row>
    <row r="318" spans="2:27" ht="24" x14ac:dyDescent="0.25">
      <c r="B318" s="174">
        <v>1109150</v>
      </c>
      <c r="C318" s="127" t="s">
        <v>30</v>
      </c>
      <c r="D318" s="136" t="s">
        <v>2671</v>
      </c>
      <c r="E318" s="147" t="s">
        <v>32</v>
      </c>
      <c r="F318" s="129" t="s">
        <v>2350</v>
      </c>
      <c r="G318" s="147" t="s">
        <v>34</v>
      </c>
      <c r="H318" s="189">
        <f t="shared" si="4"/>
        <v>7.5932141885149225</v>
      </c>
      <c r="I318" s="210" t="s">
        <v>2223</v>
      </c>
      <c r="J318" s="146">
        <v>30</v>
      </c>
      <c r="K318" s="147">
        <v>11</v>
      </c>
      <c r="L318" s="147">
        <v>1</v>
      </c>
      <c r="M318" s="147">
        <v>12</v>
      </c>
      <c r="N318" s="275">
        <v>882</v>
      </c>
      <c r="O318" s="175">
        <v>7.66</v>
      </c>
      <c r="P318" s="179">
        <v>45975</v>
      </c>
      <c r="Q318" s="175">
        <f>16.74/2.2046</f>
        <v>7.5932141885149225</v>
      </c>
      <c r="R318" s="271">
        <v>0</v>
      </c>
      <c r="S318" s="164"/>
      <c r="T318" s="129" t="s">
        <v>1873</v>
      </c>
      <c r="U318" s="147" t="s">
        <v>37</v>
      </c>
      <c r="V318" s="129"/>
      <c r="W318" s="147" t="s">
        <v>2208</v>
      </c>
      <c r="X318" s="205" t="s">
        <v>1937</v>
      </c>
      <c r="Y318" s="251"/>
      <c r="Z318" s="290"/>
      <c r="AA318" s="286" t="s">
        <v>33</v>
      </c>
    </row>
    <row r="319" spans="2:27" ht="48" x14ac:dyDescent="0.25">
      <c r="B319" s="174">
        <v>1109151</v>
      </c>
      <c r="C319" s="127" t="s">
        <v>30</v>
      </c>
      <c r="D319" s="337" t="s">
        <v>1882</v>
      </c>
      <c r="E319" s="154" t="s">
        <v>2094</v>
      </c>
      <c r="F319" s="129" t="s">
        <v>1830</v>
      </c>
      <c r="G319" s="147" t="s">
        <v>34</v>
      </c>
      <c r="H319" s="189">
        <f t="shared" si="4"/>
        <v>1.2428558468656445</v>
      </c>
      <c r="I319" s="210" t="s">
        <v>2219</v>
      </c>
      <c r="J319" s="146">
        <v>0</v>
      </c>
      <c r="K319" s="147">
        <v>10</v>
      </c>
      <c r="L319" s="147">
        <v>8</v>
      </c>
      <c r="M319" s="147">
        <v>18</v>
      </c>
      <c r="N319" s="275">
        <v>2204.6</v>
      </c>
      <c r="O319" s="196"/>
      <c r="P319" s="179">
        <v>45427</v>
      </c>
      <c r="Q319" s="175">
        <v>1.2428558468656445</v>
      </c>
      <c r="R319" s="271">
        <v>0</v>
      </c>
      <c r="S319" s="164"/>
      <c r="T319" s="129" t="s">
        <v>1906</v>
      </c>
      <c r="U319" s="147" t="s">
        <v>37</v>
      </c>
      <c r="V319" s="129"/>
      <c r="W319" s="147" t="s">
        <v>2450</v>
      </c>
      <c r="X319" s="205" t="s">
        <v>1916</v>
      </c>
      <c r="Y319" s="251"/>
      <c r="Z319" s="290"/>
      <c r="AA319" s="286" t="s">
        <v>2686</v>
      </c>
    </row>
    <row r="320" spans="2:27" ht="48" x14ac:dyDescent="0.25">
      <c r="B320" s="174">
        <v>1109152</v>
      </c>
      <c r="C320" s="127" t="s">
        <v>30</v>
      </c>
      <c r="D320" s="337" t="s">
        <v>1881</v>
      </c>
      <c r="E320" s="154" t="s">
        <v>2094</v>
      </c>
      <c r="F320" s="129" t="s">
        <v>1830</v>
      </c>
      <c r="G320" s="147" t="s">
        <v>34</v>
      </c>
      <c r="H320" s="189">
        <f t="shared" si="4"/>
        <v>1.2428558468656445</v>
      </c>
      <c r="I320" s="210" t="s">
        <v>2220</v>
      </c>
      <c r="J320" s="146">
        <v>0</v>
      </c>
      <c r="K320" s="147">
        <v>10</v>
      </c>
      <c r="L320" s="147">
        <v>8</v>
      </c>
      <c r="M320" s="147">
        <v>18</v>
      </c>
      <c r="N320" s="275">
        <v>3306.9</v>
      </c>
      <c r="O320" s="196"/>
      <c r="P320" s="179">
        <v>45427</v>
      </c>
      <c r="Q320" s="175">
        <v>1.2428558468656445</v>
      </c>
      <c r="R320" s="271">
        <v>0</v>
      </c>
      <c r="S320" s="164"/>
      <c r="T320" s="129" t="s">
        <v>1906</v>
      </c>
      <c r="U320" s="147" t="s">
        <v>37</v>
      </c>
      <c r="V320" s="129"/>
      <c r="W320" s="147" t="s">
        <v>2450</v>
      </c>
      <c r="X320" s="205" t="s">
        <v>1916</v>
      </c>
      <c r="Y320" s="251"/>
      <c r="Z320" s="290"/>
      <c r="AA320" s="286" t="s">
        <v>2686</v>
      </c>
    </row>
    <row r="321" spans="2:27" ht="48" x14ac:dyDescent="0.25">
      <c r="B321" s="174">
        <v>1109153</v>
      </c>
      <c r="C321" s="127" t="s">
        <v>30</v>
      </c>
      <c r="D321" s="136" t="s">
        <v>1938</v>
      </c>
      <c r="E321" s="154" t="s">
        <v>2094</v>
      </c>
      <c r="F321" s="129" t="s">
        <v>1830</v>
      </c>
      <c r="G321" s="147" t="s">
        <v>34</v>
      </c>
      <c r="H321" s="189">
        <f t="shared" si="4"/>
        <v>1.3970788351628414</v>
      </c>
      <c r="I321" s="210" t="s">
        <v>2220</v>
      </c>
      <c r="J321" s="146">
        <v>0</v>
      </c>
      <c r="K321" s="147">
        <v>10</v>
      </c>
      <c r="L321" s="147">
        <v>8</v>
      </c>
      <c r="M321" s="147">
        <v>18</v>
      </c>
      <c r="N321" s="275">
        <v>1653.45</v>
      </c>
      <c r="O321" s="196"/>
      <c r="P321" s="179">
        <v>45427</v>
      </c>
      <c r="Q321" s="175">
        <v>1.3970788351628414</v>
      </c>
      <c r="R321" s="271">
        <v>0</v>
      </c>
      <c r="S321" s="164"/>
      <c r="T321" s="129" t="s">
        <v>1906</v>
      </c>
      <c r="U321" s="147" t="s">
        <v>37</v>
      </c>
      <c r="V321" s="129"/>
      <c r="W321" s="147" t="s">
        <v>2450</v>
      </c>
      <c r="X321" s="205" t="s">
        <v>1916</v>
      </c>
      <c r="Y321" s="251"/>
      <c r="Z321" s="290"/>
      <c r="AA321" s="286" t="s">
        <v>2686</v>
      </c>
    </row>
    <row r="322" spans="2:27" ht="48" x14ac:dyDescent="0.25">
      <c r="B322" s="174">
        <v>1109154</v>
      </c>
      <c r="C322" s="127" t="s">
        <v>30</v>
      </c>
      <c r="D322" s="136" t="s">
        <v>1876</v>
      </c>
      <c r="E322" s="154" t="s">
        <v>2094</v>
      </c>
      <c r="F322" s="129" t="s">
        <v>1830</v>
      </c>
      <c r="G322" s="147" t="s">
        <v>34</v>
      </c>
      <c r="H322" s="189">
        <f t="shared" si="4"/>
        <v>1.3970788351628414</v>
      </c>
      <c r="I322" s="210" t="s">
        <v>2220</v>
      </c>
      <c r="J322" s="146">
        <v>0</v>
      </c>
      <c r="K322" s="147">
        <v>10</v>
      </c>
      <c r="L322" s="147">
        <v>8</v>
      </c>
      <c r="M322" s="147">
        <v>18</v>
      </c>
      <c r="N322" s="275">
        <v>1653.45</v>
      </c>
      <c r="O322" s="196"/>
      <c r="P322" s="179">
        <v>45427</v>
      </c>
      <c r="Q322" s="175">
        <v>1.3970788351628414</v>
      </c>
      <c r="R322" s="271">
        <v>0</v>
      </c>
      <c r="S322" s="164"/>
      <c r="T322" s="129" t="s">
        <v>1906</v>
      </c>
      <c r="U322" s="147" t="s">
        <v>37</v>
      </c>
      <c r="V322" s="129"/>
      <c r="W322" s="147" t="s">
        <v>2450</v>
      </c>
      <c r="X322" s="205" t="s">
        <v>1916</v>
      </c>
      <c r="Y322" s="251"/>
      <c r="Z322" s="290"/>
      <c r="AA322" s="286" t="s">
        <v>2686</v>
      </c>
    </row>
    <row r="323" spans="2:27" ht="48" x14ac:dyDescent="0.25">
      <c r="B323" s="174">
        <v>1109155</v>
      </c>
      <c r="C323" s="127" t="s">
        <v>30</v>
      </c>
      <c r="D323" s="136" t="s">
        <v>1835</v>
      </c>
      <c r="E323" s="154" t="s">
        <v>2095</v>
      </c>
      <c r="F323" s="129" t="s">
        <v>1830</v>
      </c>
      <c r="G323" s="147" t="s">
        <v>34</v>
      </c>
      <c r="H323" s="189">
        <f t="shared" ref="H323:H386" si="5">Q323+R323</f>
        <v>1.9776830263993468</v>
      </c>
      <c r="I323" s="210" t="s">
        <v>2220</v>
      </c>
      <c r="J323" s="146">
        <v>0</v>
      </c>
      <c r="K323" s="147">
        <v>10</v>
      </c>
      <c r="L323" s="147">
        <v>8</v>
      </c>
      <c r="M323" s="147">
        <v>18</v>
      </c>
      <c r="N323" s="275">
        <v>13228</v>
      </c>
      <c r="O323" s="196"/>
      <c r="P323" s="179">
        <v>45427</v>
      </c>
      <c r="Q323" s="175">
        <v>1.9776830263993468</v>
      </c>
      <c r="R323" s="271">
        <v>0</v>
      </c>
      <c r="S323" s="164"/>
      <c r="T323" s="129" t="s">
        <v>1906</v>
      </c>
      <c r="U323" s="147" t="s">
        <v>37</v>
      </c>
      <c r="V323" s="129"/>
      <c r="W323" s="147" t="s">
        <v>2450</v>
      </c>
      <c r="X323" s="205" t="s">
        <v>1916</v>
      </c>
      <c r="Y323" s="251"/>
      <c r="Z323" s="290"/>
      <c r="AA323" s="286" t="s">
        <v>2686</v>
      </c>
    </row>
    <row r="324" spans="2:27" ht="48" x14ac:dyDescent="0.25">
      <c r="B324" s="174">
        <v>1109156</v>
      </c>
      <c r="C324" s="127" t="s">
        <v>30</v>
      </c>
      <c r="D324" s="136" t="s">
        <v>1879</v>
      </c>
      <c r="E324" s="154" t="s">
        <v>2094</v>
      </c>
      <c r="F324" s="129" t="s">
        <v>1830</v>
      </c>
      <c r="G324" s="147" t="s">
        <v>34</v>
      </c>
      <c r="H324" s="189">
        <f t="shared" si="5"/>
        <v>1.3834709244307355</v>
      </c>
      <c r="I324" s="210" t="s">
        <v>2220</v>
      </c>
      <c r="J324" s="146">
        <v>0</v>
      </c>
      <c r="K324" s="147">
        <v>10</v>
      </c>
      <c r="L324" s="147">
        <v>8</v>
      </c>
      <c r="M324" s="147">
        <v>18</v>
      </c>
      <c r="N324" s="275">
        <v>1653.45</v>
      </c>
      <c r="O324" s="196"/>
      <c r="P324" s="179">
        <v>45427</v>
      </c>
      <c r="Q324" s="175">
        <v>1.3834709244307355</v>
      </c>
      <c r="R324" s="271">
        <v>0</v>
      </c>
      <c r="S324" s="164"/>
      <c r="T324" s="129" t="s">
        <v>1906</v>
      </c>
      <c r="U324" s="147" t="s">
        <v>37</v>
      </c>
      <c r="V324" s="129"/>
      <c r="W324" s="147" t="s">
        <v>2450</v>
      </c>
      <c r="X324" s="205" t="s">
        <v>1916</v>
      </c>
      <c r="Y324" s="251"/>
      <c r="Z324" s="290"/>
      <c r="AA324" s="286" t="s">
        <v>2686</v>
      </c>
    </row>
    <row r="325" spans="2:27" ht="48" x14ac:dyDescent="0.25">
      <c r="B325" s="174">
        <v>1109157</v>
      </c>
      <c r="C325" s="127" t="s">
        <v>30</v>
      </c>
      <c r="D325" s="136" t="s">
        <v>1939</v>
      </c>
      <c r="E325" s="154" t="s">
        <v>2094</v>
      </c>
      <c r="F325" s="129" t="s">
        <v>1830</v>
      </c>
      <c r="G325" s="147" t="s">
        <v>34</v>
      </c>
      <c r="H325" s="189">
        <f t="shared" si="5"/>
        <v>1.3970788351628414</v>
      </c>
      <c r="I325" s="210" t="s">
        <v>2220</v>
      </c>
      <c r="J325" s="146">
        <v>0</v>
      </c>
      <c r="K325" s="147">
        <v>10</v>
      </c>
      <c r="L325" s="147">
        <v>8</v>
      </c>
      <c r="M325" s="147">
        <v>18</v>
      </c>
      <c r="N325" s="275">
        <v>1653.45</v>
      </c>
      <c r="O325" s="196"/>
      <c r="P325" s="179">
        <v>45427</v>
      </c>
      <c r="Q325" s="175">
        <v>1.3970788351628414</v>
      </c>
      <c r="R325" s="271">
        <v>0</v>
      </c>
      <c r="S325" s="164"/>
      <c r="T325" s="129" t="s">
        <v>1906</v>
      </c>
      <c r="U325" s="147" t="s">
        <v>37</v>
      </c>
      <c r="V325" s="129"/>
      <c r="W325" s="147" t="s">
        <v>2450</v>
      </c>
      <c r="X325" s="205" t="s">
        <v>1916</v>
      </c>
      <c r="Y325" s="251"/>
      <c r="Z325" s="290"/>
      <c r="AA325" s="286" t="s">
        <v>2686</v>
      </c>
    </row>
    <row r="326" spans="2:27" ht="50.4" customHeight="1" x14ac:dyDescent="0.25">
      <c r="B326" s="174">
        <v>1109158</v>
      </c>
      <c r="C326" s="127" t="s">
        <v>30</v>
      </c>
      <c r="D326" s="136" t="s">
        <v>1831</v>
      </c>
      <c r="E326" s="151" t="s">
        <v>32</v>
      </c>
      <c r="F326" s="129" t="s">
        <v>307</v>
      </c>
      <c r="G326" s="147" t="s">
        <v>34</v>
      </c>
      <c r="H326" s="189">
        <f t="shared" si="5"/>
        <v>4.2649999999999997</v>
      </c>
      <c r="I326" s="210" t="s">
        <v>2082</v>
      </c>
      <c r="J326" s="146">
        <v>0</v>
      </c>
      <c r="K326" s="147">
        <v>11</v>
      </c>
      <c r="L326" s="147">
        <v>1</v>
      </c>
      <c r="M326" s="147">
        <v>12</v>
      </c>
      <c r="N326" s="275">
        <v>1499</v>
      </c>
      <c r="O326" s="196"/>
      <c r="P326" s="179">
        <v>45336</v>
      </c>
      <c r="Q326" s="175">
        <v>4.2149999999999999</v>
      </c>
      <c r="R326" s="271">
        <v>0.05</v>
      </c>
      <c r="S326" s="164"/>
      <c r="T326" s="129" t="s">
        <v>1873</v>
      </c>
      <c r="U326" s="147" t="s">
        <v>37</v>
      </c>
      <c r="V326" s="129"/>
      <c r="W326" s="147" t="s">
        <v>2210</v>
      </c>
      <c r="X326" s="205" t="s">
        <v>1009</v>
      </c>
      <c r="Y326" s="251"/>
      <c r="Z326" s="290"/>
      <c r="AA326" s="286" t="s">
        <v>33</v>
      </c>
    </row>
    <row r="327" spans="2:27" ht="48" x14ac:dyDescent="0.25">
      <c r="B327" s="174">
        <v>1109159</v>
      </c>
      <c r="C327" s="127" t="s">
        <v>30</v>
      </c>
      <c r="D327" s="136" t="s">
        <v>1880</v>
      </c>
      <c r="E327" s="154" t="s">
        <v>2094</v>
      </c>
      <c r="F327" s="129" t="s">
        <v>1830</v>
      </c>
      <c r="G327" s="147" t="s">
        <v>34</v>
      </c>
      <c r="H327" s="189">
        <f t="shared" si="5"/>
        <v>1.3970788351628414</v>
      </c>
      <c r="I327" s="210" t="s">
        <v>2220</v>
      </c>
      <c r="J327" s="146">
        <v>0</v>
      </c>
      <c r="K327" s="147">
        <v>10</v>
      </c>
      <c r="L327" s="147">
        <v>8</v>
      </c>
      <c r="M327" s="147">
        <v>18</v>
      </c>
      <c r="N327" s="275">
        <v>1653.45</v>
      </c>
      <c r="O327" s="196"/>
      <c r="P327" s="179">
        <v>45427</v>
      </c>
      <c r="Q327" s="175">
        <v>1.3970788351628414</v>
      </c>
      <c r="R327" s="271">
        <v>0</v>
      </c>
      <c r="S327" s="164"/>
      <c r="T327" s="129" t="s">
        <v>1906</v>
      </c>
      <c r="U327" s="147" t="s">
        <v>37</v>
      </c>
      <c r="V327" s="129"/>
      <c r="W327" s="147" t="s">
        <v>2450</v>
      </c>
      <c r="X327" s="205" t="s">
        <v>1916</v>
      </c>
      <c r="Y327" s="251"/>
      <c r="Z327" s="290"/>
      <c r="AA327" s="286" t="s">
        <v>2686</v>
      </c>
    </row>
    <row r="328" spans="2:27" ht="48" x14ac:dyDescent="0.25">
      <c r="B328" s="174">
        <v>1109160</v>
      </c>
      <c r="C328" s="127" t="s">
        <v>30</v>
      </c>
      <c r="D328" s="136" t="s">
        <v>1877</v>
      </c>
      <c r="E328" s="154" t="s">
        <v>2094</v>
      </c>
      <c r="F328" s="129" t="s">
        <v>1830</v>
      </c>
      <c r="G328" s="147" t="s">
        <v>34</v>
      </c>
      <c r="H328" s="189">
        <f t="shared" si="5"/>
        <v>1.3970788351628414</v>
      </c>
      <c r="I328" s="210" t="s">
        <v>2220</v>
      </c>
      <c r="J328" s="146">
        <v>0</v>
      </c>
      <c r="K328" s="147">
        <v>10</v>
      </c>
      <c r="L328" s="147">
        <v>8</v>
      </c>
      <c r="M328" s="147">
        <v>18</v>
      </c>
      <c r="N328" s="275">
        <v>1653.45</v>
      </c>
      <c r="O328" s="196"/>
      <c r="P328" s="179">
        <v>45427</v>
      </c>
      <c r="Q328" s="175">
        <v>1.3970788351628414</v>
      </c>
      <c r="R328" s="271">
        <v>0</v>
      </c>
      <c r="S328" s="164"/>
      <c r="T328" s="129" t="s">
        <v>1906</v>
      </c>
      <c r="U328" s="147" t="s">
        <v>37</v>
      </c>
      <c r="V328" s="129"/>
      <c r="W328" s="147" t="s">
        <v>2450</v>
      </c>
      <c r="X328" s="205" t="s">
        <v>1916</v>
      </c>
      <c r="Y328" s="251"/>
      <c r="Z328" s="290"/>
      <c r="AA328" s="286" t="s">
        <v>2686</v>
      </c>
    </row>
    <row r="329" spans="2:27" hidden="1" x14ac:dyDescent="0.25">
      <c r="B329" s="174">
        <v>1109161</v>
      </c>
      <c r="C329" s="127" t="s">
        <v>30</v>
      </c>
      <c r="D329" s="136" t="s">
        <v>1842</v>
      </c>
      <c r="E329" s="147" t="s">
        <v>1928</v>
      </c>
      <c r="F329" s="129" t="s">
        <v>307</v>
      </c>
      <c r="G329" s="147" t="s">
        <v>34</v>
      </c>
      <c r="H329" s="189">
        <f t="shared" si="5"/>
        <v>2.9299999999999997</v>
      </c>
      <c r="I329" s="134" t="s">
        <v>2082</v>
      </c>
      <c r="J329" s="146">
        <v>0</v>
      </c>
      <c r="K329" s="147">
        <v>8</v>
      </c>
      <c r="L329" s="147">
        <v>1</v>
      </c>
      <c r="M329" s="147">
        <v>9</v>
      </c>
      <c r="N329" s="275">
        <v>1653</v>
      </c>
      <c r="O329" s="196"/>
      <c r="P329" s="179"/>
      <c r="Q329" s="175">
        <v>2.88</v>
      </c>
      <c r="R329" s="271">
        <v>0.05</v>
      </c>
      <c r="S329" s="164"/>
      <c r="T329" s="129" t="s">
        <v>1906</v>
      </c>
      <c r="U329" s="147" t="s">
        <v>37</v>
      </c>
      <c r="V329" s="129"/>
      <c r="W329" s="176" t="s">
        <v>54</v>
      </c>
      <c r="X329" s="205" t="s">
        <v>1009</v>
      </c>
      <c r="Y329" s="251"/>
      <c r="Z329" s="290"/>
      <c r="AA329" s="286"/>
    </row>
    <row r="330" spans="2:27" ht="48" x14ac:dyDescent="0.25">
      <c r="B330" s="174">
        <v>1109162</v>
      </c>
      <c r="C330" s="127" t="s">
        <v>30</v>
      </c>
      <c r="D330" s="136" t="s">
        <v>1878</v>
      </c>
      <c r="E330" s="154" t="s">
        <v>2094</v>
      </c>
      <c r="F330" s="129" t="s">
        <v>1830</v>
      </c>
      <c r="G330" s="147" t="s">
        <v>34</v>
      </c>
      <c r="H330" s="189">
        <f t="shared" si="5"/>
        <v>1.3834709244307355</v>
      </c>
      <c r="I330" s="210" t="s">
        <v>2220</v>
      </c>
      <c r="J330" s="146">
        <v>0</v>
      </c>
      <c r="K330" s="147">
        <v>10</v>
      </c>
      <c r="L330" s="147">
        <v>8</v>
      </c>
      <c r="M330" s="147">
        <v>18</v>
      </c>
      <c r="N330" s="275">
        <v>1653.45</v>
      </c>
      <c r="O330" s="196"/>
      <c r="P330" s="179">
        <v>45427</v>
      </c>
      <c r="Q330" s="175">
        <v>1.3834709244307355</v>
      </c>
      <c r="R330" s="271">
        <v>0</v>
      </c>
      <c r="S330" s="164"/>
      <c r="T330" s="129" t="s">
        <v>1906</v>
      </c>
      <c r="U330" s="147" t="s">
        <v>37</v>
      </c>
      <c r="V330" s="129"/>
      <c r="W330" s="147" t="s">
        <v>2450</v>
      </c>
      <c r="X330" s="205" t="s">
        <v>1916</v>
      </c>
      <c r="Y330" s="251"/>
      <c r="Z330" s="290"/>
      <c r="AA330" s="286" t="s">
        <v>2686</v>
      </c>
    </row>
    <row r="331" spans="2:27" ht="48" x14ac:dyDescent="0.25">
      <c r="B331" s="174">
        <v>1109163</v>
      </c>
      <c r="C331" s="127" t="s">
        <v>30</v>
      </c>
      <c r="D331" s="136" t="s">
        <v>1885</v>
      </c>
      <c r="E331" s="154" t="s">
        <v>2094</v>
      </c>
      <c r="F331" s="129" t="s">
        <v>1830</v>
      </c>
      <c r="G331" s="147" t="s">
        <v>34</v>
      </c>
      <c r="H331" s="189">
        <f t="shared" si="5"/>
        <v>1.3834709244307355</v>
      </c>
      <c r="I331" s="210" t="s">
        <v>2220</v>
      </c>
      <c r="J331" s="146">
        <v>0</v>
      </c>
      <c r="K331" s="147">
        <v>10</v>
      </c>
      <c r="L331" s="147">
        <v>8</v>
      </c>
      <c r="M331" s="147">
        <v>18</v>
      </c>
      <c r="N331" s="275">
        <v>3306.9</v>
      </c>
      <c r="O331" s="196"/>
      <c r="P331" s="179">
        <v>45427</v>
      </c>
      <c r="Q331" s="175">
        <v>1.3834709244307355</v>
      </c>
      <c r="R331" s="271">
        <v>0</v>
      </c>
      <c r="S331" s="164"/>
      <c r="T331" s="129" t="s">
        <v>1906</v>
      </c>
      <c r="U331" s="147" t="s">
        <v>37</v>
      </c>
      <c r="V331" s="129"/>
      <c r="W331" s="147" t="s">
        <v>2450</v>
      </c>
      <c r="X331" s="205" t="s">
        <v>1916</v>
      </c>
      <c r="Y331" s="251"/>
      <c r="Z331" s="290"/>
      <c r="AA331" s="286" t="s">
        <v>2686</v>
      </c>
    </row>
    <row r="332" spans="2:27" ht="24" x14ac:dyDescent="0.25">
      <c r="B332" s="174">
        <v>1109164</v>
      </c>
      <c r="C332" s="127" t="s">
        <v>30</v>
      </c>
      <c r="D332" s="136" t="s">
        <v>2026</v>
      </c>
      <c r="E332" s="147" t="s">
        <v>2077</v>
      </c>
      <c r="F332" s="129" t="s">
        <v>2034</v>
      </c>
      <c r="G332" s="147" t="s">
        <v>34</v>
      </c>
      <c r="H332" s="189">
        <f t="shared" si="5"/>
        <v>4.66</v>
      </c>
      <c r="I332" s="210" t="s">
        <v>2223</v>
      </c>
      <c r="J332" s="146">
        <v>30</v>
      </c>
      <c r="K332" s="147">
        <v>6</v>
      </c>
      <c r="L332" s="147">
        <v>8</v>
      </c>
      <c r="M332" s="147">
        <v>14</v>
      </c>
      <c r="N332" s="275">
        <v>2094.37</v>
      </c>
      <c r="O332" s="196">
        <v>9.3350000000000009</v>
      </c>
      <c r="P332" s="179">
        <v>46181</v>
      </c>
      <c r="Q332" s="271">
        <v>4.66</v>
      </c>
      <c r="R332" s="271">
        <v>0</v>
      </c>
      <c r="S332" s="164"/>
      <c r="T332" s="129" t="s">
        <v>1906</v>
      </c>
      <c r="U332" s="147" t="s">
        <v>37</v>
      </c>
      <c r="V332" s="129"/>
      <c r="W332" s="147" t="s">
        <v>2208</v>
      </c>
      <c r="X332" s="205" t="s">
        <v>1916</v>
      </c>
      <c r="Y332" s="253" t="s">
        <v>2129</v>
      </c>
      <c r="Z332" s="290"/>
      <c r="AA332" s="286" t="s">
        <v>47</v>
      </c>
    </row>
    <row r="333" spans="2:27" ht="24" x14ac:dyDescent="0.25">
      <c r="B333" s="174">
        <v>1109165</v>
      </c>
      <c r="C333" s="127" t="s">
        <v>30</v>
      </c>
      <c r="D333" s="136" t="s">
        <v>1839</v>
      </c>
      <c r="E333" s="147" t="s">
        <v>1925</v>
      </c>
      <c r="F333" s="129" t="s">
        <v>47</v>
      </c>
      <c r="G333" s="147" t="s">
        <v>34</v>
      </c>
      <c r="H333" s="189">
        <f t="shared" si="5"/>
        <v>2.7678765880217786</v>
      </c>
      <c r="I333" s="210" t="s">
        <v>2223</v>
      </c>
      <c r="J333" s="146">
        <v>30</v>
      </c>
      <c r="K333" s="147">
        <v>7</v>
      </c>
      <c r="L333" s="147">
        <v>1</v>
      </c>
      <c r="M333" s="147">
        <v>8</v>
      </c>
      <c r="N333" s="275">
        <v>1653</v>
      </c>
      <c r="O333" s="196">
        <v>2.02</v>
      </c>
      <c r="P333" s="179">
        <v>45358</v>
      </c>
      <c r="Q333" s="175">
        <v>2.23</v>
      </c>
      <c r="R333" s="271">
        <v>0.53787658802177862</v>
      </c>
      <c r="S333" s="164"/>
      <c r="T333" s="129" t="s">
        <v>1906</v>
      </c>
      <c r="U333" s="147" t="s">
        <v>37</v>
      </c>
      <c r="V333" s="129"/>
      <c r="W333" s="147" t="s">
        <v>2208</v>
      </c>
      <c r="X333" s="205" t="s">
        <v>1904</v>
      </c>
      <c r="Y333" s="253" t="s">
        <v>2129</v>
      </c>
      <c r="Z333" s="290"/>
      <c r="AA333" s="286" t="s">
        <v>47</v>
      </c>
    </row>
    <row r="334" spans="2:27" x14ac:dyDescent="0.25">
      <c r="B334" s="129">
        <v>1109166</v>
      </c>
      <c r="C334" s="127" t="s">
        <v>30</v>
      </c>
      <c r="D334" s="136" t="s">
        <v>1840</v>
      </c>
      <c r="E334" s="282" t="s">
        <v>380</v>
      </c>
      <c r="F334" s="129" t="s">
        <v>1788</v>
      </c>
      <c r="G334" s="147" t="s">
        <v>34</v>
      </c>
      <c r="H334" s="189">
        <f t="shared" si="5"/>
        <v>3.25</v>
      </c>
      <c r="I334" s="223" t="s">
        <v>2082</v>
      </c>
      <c r="J334" s="146">
        <v>0</v>
      </c>
      <c r="K334" s="147">
        <v>3</v>
      </c>
      <c r="L334" s="147">
        <v>2</v>
      </c>
      <c r="M334" s="147">
        <v>5</v>
      </c>
      <c r="N334" s="275">
        <v>1432</v>
      </c>
      <c r="O334" s="196"/>
      <c r="P334" s="179"/>
      <c r="Q334" s="175">
        <v>3.2</v>
      </c>
      <c r="R334" s="271">
        <v>0.05</v>
      </c>
      <c r="S334" s="164"/>
      <c r="T334" s="129" t="s">
        <v>1906</v>
      </c>
      <c r="U334" s="147" t="s">
        <v>37</v>
      </c>
      <c r="V334" s="129"/>
      <c r="W334" s="147" t="s">
        <v>2208</v>
      </c>
      <c r="X334" s="205" t="s">
        <v>1009</v>
      </c>
      <c r="Y334" s="253" t="s">
        <v>2129</v>
      </c>
      <c r="Z334" s="290"/>
      <c r="AA334" s="286" t="s">
        <v>2689</v>
      </c>
    </row>
    <row r="335" spans="2:27" ht="24" x14ac:dyDescent="0.25">
      <c r="B335" s="129">
        <v>1109167</v>
      </c>
      <c r="C335" s="127" t="s">
        <v>30</v>
      </c>
      <c r="D335" s="136" t="s">
        <v>1843</v>
      </c>
      <c r="E335" s="147" t="s">
        <v>146</v>
      </c>
      <c r="F335" s="129" t="s">
        <v>1642</v>
      </c>
      <c r="G335" s="147" t="s">
        <v>34</v>
      </c>
      <c r="H335" s="189">
        <f t="shared" si="5"/>
        <v>0.68</v>
      </c>
      <c r="I335" s="210" t="s">
        <v>2217</v>
      </c>
      <c r="J335" s="146">
        <v>45</v>
      </c>
      <c r="K335" s="147">
        <v>3</v>
      </c>
      <c r="L335" s="147">
        <v>1</v>
      </c>
      <c r="M335" s="147">
        <v>4</v>
      </c>
      <c r="N335" s="275">
        <v>40000</v>
      </c>
      <c r="O335" s="175">
        <f>0.57+0.05</f>
        <v>0.62</v>
      </c>
      <c r="P335" s="179">
        <v>46111</v>
      </c>
      <c r="Q335" s="175">
        <v>0.63</v>
      </c>
      <c r="R335" s="271">
        <v>0.05</v>
      </c>
      <c r="S335" s="164"/>
      <c r="T335" s="129" t="s">
        <v>1711</v>
      </c>
      <c r="U335" s="147" t="s">
        <v>37</v>
      </c>
      <c r="V335" s="129"/>
      <c r="W335" s="147" t="s">
        <v>2208</v>
      </c>
      <c r="X335" s="205" t="s">
        <v>1009</v>
      </c>
      <c r="Y335" s="251"/>
      <c r="Z335" s="290"/>
      <c r="AA335" s="286" t="s">
        <v>1642</v>
      </c>
    </row>
    <row r="336" spans="2:27" ht="24" x14ac:dyDescent="0.25">
      <c r="B336" s="129">
        <v>1109168</v>
      </c>
      <c r="C336" s="127" t="s">
        <v>30</v>
      </c>
      <c r="D336" s="136" t="s">
        <v>1844</v>
      </c>
      <c r="E336" s="147" t="s">
        <v>32</v>
      </c>
      <c r="F336" s="129" t="s">
        <v>1685</v>
      </c>
      <c r="G336" s="147" t="s">
        <v>34</v>
      </c>
      <c r="H336" s="189">
        <f t="shared" si="5"/>
        <v>1.5065159212555566</v>
      </c>
      <c r="I336" s="210" t="s">
        <v>2221</v>
      </c>
      <c r="J336" s="146">
        <v>0</v>
      </c>
      <c r="K336" s="147">
        <v>4</v>
      </c>
      <c r="L336" s="147">
        <v>8</v>
      </c>
      <c r="M336" s="147">
        <v>12</v>
      </c>
      <c r="N336" s="275">
        <v>6613.8</v>
      </c>
      <c r="O336" s="196"/>
      <c r="P336" s="179">
        <v>45376</v>
      </c>
      <c r="Q336" s="175">
        <v>1.2315159212555564</v>
      </c>
      <c r="R336" s="271">
        <f>9000/40000+0.05</f>
        <v>0.27500000000000002</v>
      </c>
      <c r="S336" s="164" t="s">
        <v>35</v>
      </c>
      <c r="T336" s="129" t="s">
        <v>2206</v>
      </c>
      <c r="U336" s="147" t="s">
        <v>37</v>
      </c>
      <c r="V336" s="147">
        <v>3500338</v>
      </c>
      <c r="W336" s="147" t="s">
        <v>2208</v>
      </c>
      <c r="X336" s="205" t="s">
        <v>1854</v>
      </c>
      <c r="Y336" s="251"/>
      <c r="Z336" s="290"/>
      <c r="AA336" s="286" t="s">
        <v>1685</v>
      </c>
    </row>
    <row r="337" spans="2:27" ht="24" x14ac:dyDescent="0.25">
      <c r="B337" s="129">
        <v>1109169</v>
      </c>
      <c r="C337" s="127" t="s">
        <v>30</v>
      </c>
      <c r="D337" s="136" t="s">
        <v>1845</v>
      </c>
      <c r="E337" s="147" t="s">
        <v>1810</v>
      </c>
      <c r="F337" s="129" t="s">
        <v>2501</v>
      </c>
      <c r="G337" s="147" t="s">
        <v>34</v>
      </c>
      <c r="H337" s="189">
        <f t="shared" si="5"/>
        <v>2.0802</v>
      </c>
      <c r="I337" s="210" t="s">
        <v>2650</v>
      </c>
      <c r="J337" s="146">
        <v>0</v>
      </c>
      <c r="K337" s="147">
        <v>4</v>
      </c>
      <c r="L337" s="147">
        <v>8</v>
      </c>
      <c r="M337" s="147">
        <v>12</v>
      </c>
      <c r="N337" s="275">
        <v>35000</v>
      </c>
      <c r="O337" s="196">
        <f>2.567+0.05</f>
        <v>2.617</v>
      </c>
      <c r="P337" s="179">
        <v>46185</v>
      </c>
      <c r="Q337" s="175">
        <v>2.0699999999999998</v>
      </c>
      <c r="R337" s="175">
        <f>357/35000</f>
        <v>1.0200000000000001E-2</v>
      </c>
      <c r="S337" s="164" t="s">
        <v>35</v>
      </c>
      <c r="T337" s="129" t="s">
        <v>2206</v>
      </c>
      <c r="U337" s="147" t="s">
        <v>37</v>
      </c>
      <c r="V337" s="147">
        <v>3500330</v>
      </c>
      <c r="W337" s="147" t="s">
        <v>2208</v>
      </c>
      <c r="X337" s="207" t="s">
        <v>1854</v>
      </c>
      <c r="Y337" s="251"/>
      <c r="Z337" s="290"/>
      <c r="AA337" s="286" t="s">
        <v>1685</v>
      </c>
    </row>
    <row r="338" spans="2:27" ht="24" x14ac:dyDescent="0.25">
      <c r="B338" s="129">
        <v>1109170</v>
      </c>
      <c r="C338" s="127" t="s">
        <v>30</v>
      </c>
      <c r="D338" s="136" t="s">
        <v>1856</v>
      </c>
      <c r="E338" s="151" t="s">
        <v>1929</v>
      </c>
      <c r="F338" s="136" t="s">
        <v>1861</v>
      </c>
      <c r="G338" s="147" t="s">
        <v>34</v>
      </c>
      <c r="H338" s="189">
        <f t="shared" si="5"/>
        <v>2.3369999833533344</v>
      </c>
      <c r="I338" s="210" t="s">
        <v>2221</v>
      </c>
      <c r="J338" s="146">
        <v>30</v>
      </c>
      <c r="K338" s="147">
        <v>4</v>
      </c>
      <c r="L338" s="147">
        <v>8</v>
      </c>
      <c r="M338" s="147">
        <v>12</v>
      </c>
      <c r="N338" s="275">
        <v>39647.58</v>
      </c>
      <c r="O338" s="175">
        <f>4.347/2.2046+0.2396</f>
        <v>2.2113862650821012</v>
      </c>
      <c r="P338" s="179">
        <v>46132</v>
      </c>
      <c r="Q338" s="175">
        <v>2.11</v>
      </c>
      <c r="R338" s="345">
        <f>9000/N338</f>
        <v>0.22699998335333454</v>
      </c>
      <c r="S338" s="164" t="s">
        <v>35</v>
      </c>
      <c r="T338" s="129" t="s">
        <v>2206</v>
      </c>
      <c r="U338" s="147" t="s">
        <v>37</v>
      </c>
      <c r="V338" s="147">
        <v>3500329</v>
      </c>
      <c r="W338" s="147" t="s">
        <v>2208</v>
      </c>
      <c r="X338" s="205" t="s">
        <v>1854</v>
      </c>
      <c r="Y338" s="251"/>
      <c r="Z338" s="290"/>
      <c r="AA338" s="286" t="s">
        <v>1861</v>
      </c>
    </row>
    <row r="339" spans="2:27" ht="48" hidden="1" x14ac:dyDescent="0.25">
      <c r="B339" s="129">
        <v>1109171</v>
      </c>
      <c r="C339" s="129" t="s">
        <v>30</v>
      </c>
      <c r="D339" s="136" t="s">
        <v>1862</v>
      </c>
      <c r="E339" s="147"/>
      <c r="F339" s="129" t="s">
        <v>1830</v>
      </c>
      <c r="G339" s="147" t="s">
        <v>34</v>
      </c>
      <c r="H339" s="189">
        <f t="shared" si="5"/>
        <v>0</v>
      </c>
      <c r="I339" s="210" t="s">
        <v>2220</v>
      </c>
      <c r="J339" s="150"/>
      <c r="K339" s="147">
        <v>11</v>
      </c>
      <c r="L339" s="147">
        <v>1</v>
      </c>
      <c r="M339" s="147">
        <v>12</v>
      </c>
      <c r="N339" s="275"/>
      <c r="O339" s="196"/>
      <c r="P339" s="179"/>
      <c r="Q339" s="175"/>
      <c r="R339" s="271"/>
      <c r="S339" s="164"/>
      <c r="T339" s="129" t="s">
        <v>1906</v>
      </c>
      <c r="U339" s="147" t="s">
        <v>37</v>
      </c>
      <c r="V339" s="129"/>
      <c r="W339" s="176" t="s">
        <v>2519</v>
      </c>
      <c r="X339" s="205"/>
      <c r="Y339" s="251"/>
      <c r="Z339" s="290"/>
      <c r="AA339" s="230"/>
    </row>
    <row r="340" spans="2:27" ht="48" hidden="1" x14ac:dyDescent="0.25">
      <c r="B340" s="129">
        <v>1109172</v>
      </c>
      <c r="C340" s="129" t="s">
        <v>30</v>
      </c>
      <c r="D340" s="136" t="s">
        <v>1863</v>
      </c>
      <c r="E340" s="147"/>
      <c r="F340" s="129" t="s">
        <v>1830</v>
      </c>
      <c r="G340" s="147" t="s">
        <v>34</v>
      </c>
      <c r="H340" s="189">
        <f t="shared" si="5"/>
        <v>0</v>
      </c>
      <c r="I340" s="210" t="s">
        <v>2220</v>
      </c>
      <c r="J340" s="150"/>
      <c r="K340" s="147">
        <v>11</v>
      </c>
      <c r="L340" s="147">
        <v>1</v>
      </c>
      <c r="M340" s="147">
        <v>12</v>
      </c>
      <c r="N340" s="275"/>
      <c r="O340" s="196"/>
      <c r="P340" s="179"/>
      <c r="Q340" s="175"/>
      <c r="R340" s="271"/>
      <c r="S340" s="164"/>
      <c r="T340" s="129" t="s">
        <v>1906</v>
      </c>
      <c r="U340" s="147" t="s">
        <v>37</v>
      </c>
      <c r="V340" s="129"/>
      <c r="W340" s="176" t="s">
        <v>2519</v>
      </c>
      <c r="X340" s="205"/>
      <c r="Y340" s="251"/>
      <c r="Z340" s="290"/>
      <c r="AA340" s="230"/>
    </row>
    <row r="341" spans="2:27" ht="48" hidden="1" x14ac:dyDescent="0.25">
      <c r="B341" s="129">
        <v>1109173</v>
      </c>
      <c r="C341" s="129" t="s">
        <v>30</v>
      </c>
      <c r="D341" s="136" t="s">
        <v>1864</v>
      </c>
      <c r="E341" s="147"/>
      <c r="F341" s="129" t="s">
        <v>1830</v>
      </c>
      <c r="G341" s="147" t="s">
        <v>34</v>
      </c>
      <c r="H341" s="189">
        <f t="shared" si="5"/>
        <v>0</v>
      </c>
      <c r="I341" s="210" t="s">
        <v>2220</v>
      </c>
      <c r="J341" s="150"/>
      <c r="K341" s="147">
        <v>11</v>
      </c>
      <c r="L341" s="147">
        <v>1</v>
      </c>
      <c r="M341" s="147">
        <v>12</v>
      </c>
      <c r="N341" s="275"/>
      <c r="O341" s="196"/>
      <c r="P341" s="179"/>
      <c r="Q341" s="175"/>
      <c r="R341" s="271"/>
      <c r="S341" s="164"/>
      <c r="T341" s="129" t="s">
        <v>1906</v>
      </c>
      <c r="U341" s="147" t="s">
        <v>37</v>
      </c>
      <c r="V341" s="129"/>
      <c r="W341" s="176" t="s">
        <v>2519</v>
      </c>
      <c r="X341" s="205"/>
      <c r="Y341" s="251"/>
      <c r="Z341" s="290"/>
      <c r="AA341" s="230"/>
    </row>
    <row r="342" spans="2:27" ht="24" x14ac:dyDescent="0.25">
      <c r="B342" s="129">
        <v>1109174</v>
      </c>
      <c r="C342" s="129" t="s">
        <v>30</v>
      </c>
      <c r="D342" s="128" t="s">
        <v>2675</v>
      </c>
      <c r="E342" s="151" t="s">
        <v>32</v>
      </c>
      <c r="F342" s="129" t="s">
        <v>1868</v>
      </c>
      <c r="G342" s="147" t="s">
        <v>34</v>
      </c>
      <c r="H342" s="189">
        <f t="shared" si="5"/>
        <v>0</v>
      </c>
      <c r="I342" s="180" t="s">
        <v>2213</v>
      </c>
      <c r="J342" s="148"/>
      <c r="K342" s="147">
        <v>1</v>
      </c>
      <c r="L342" s="147">
        <v>1</v>
      </c>
      <c r="M342" s="147">
        <v>2</v>
      </c>
      <c r="N342" s="275"/>
      <c r="O342" s="193"/>
      <c r="P342" s="179"/>
      <c r="Q342" s="173"/>
      <c r="R342" s="271">
        <v>0</v>
      </c>
      <c r="S342" s="167"/>
      <c r="T342" s="129" t="s">
        <v>1868</v>
      </c>
      <c r="U342" s="147" t="s">
        <v>37</v>
      </c>
      <c r="V342" s="129"/>
      <c r="W342" s="147" t="s">
        <v>2450</v>
      </c>
      <c r="X342" s="205" t="s">
        <v>1009</v>
      </c>
      <c r="Y342" s="251"/>
      <c r="Z342" s="290"/>
      <c r="AA342" s="286" t="s">
        <v>33</v>
      </c>
    </row>
    <row r="343" spans="2:27" x14ac:dyDescent="0.25">
      <c r="B343" s="129">
        <v>1109175</v>
      </c>
      <c r="C343" s="129" t="s">
        <v>30</v>
      </c>
      <c r="D343" s="128" t="s">
        <v>1866</v>
      </c>
      <c r="E343" s="151" t="s">
        <v>131</v>
      </c>
      <c r="F343" s="129" t="s">
        <v>1791</v>
      </c>
      <c r="G343" s="147" t="s">
        <v>34</v>
      </c>
      <c r="H343" s="189">
        <f t="shared" si="5"/>
        <v>3</v>
      </c>
      <c r="I343" s="223" t="s">
        <v>2082</v>
      </c>
      <c r="J343" s="146">
        <v>30</v>
      </c>
      <c r="K343" s="147">
        <v>10</v>
      </c>
      <c r="L343" s="147">
        <v>1</v>
      </c>
      <c r="M343" s="147">
        <v>11</v>
      </c>
      <c r="N343" s="275">
        <v>1102</v>
      </c>
      <c r="O343" s="193"/>
      <c r="P343" s="179">
        <v>45622</v>
      </c>
      <c r="Q343" s="173">
        <v>2.95</v>
      </c>
      <c r="R343" s="271">
        <v>0.05</v>
      </c>
      <c r="S343" s="167"/>
      <c r="T343" s="129" t="s">
        <v>1868</v>
      </c>
      <c r="U343" s="147" t="s">
        <v>37</v>
      </c>
      <c r="V343" s="129"/>
      <c r="W343" s="147" t="s">
        <v>2208</v>
      </c>
      <c r="X343" s="205" t="s">
        <v>1009</v>
      </c>
      <c r="Y343" s="251"/>
      <c r="Z343" s="290"/>
      <c r="AA343" s="286" t="s">
        <v>2689</v>
      </c>
    </row>
    <row r="344" spans="2:27" ht="24" x14ac:dyDescent="0.25">
      <c r="B344" s="174">
        <v>1109176</v>
      </c>
      <c r="C344" s="127" t="s">
        <v>30</v>
      </c>
      <c r="D344" s="136" t="s">
        <v>1867</v>
      </c>
      <c r="E344" s="154" t="s">
        <v>317</v>
      </c>
      <c r="F344" s="129" t="s">
        <v>1868</v>
      </c>
      <c r="G344" s="147" t="s">
        <v>34</v>
      </c>
      <c r="H344" s="189">
        <f t="shared" si="5"/>
        <v>0</v>
      </c>
      <c r="I344" s="180" t="s">
        <v>2213</v>
      </c>
      <c r="J344" s="151"/>
      <c r="K344" s="147">
        <v>1</v>
      </c>
      <c r="L344" s="147">
        <v>1</v>
      </c>
      <c r="M344" s="147">
        <v>2</v>
      </c>
      <c r="N344" s="275"/>
      <c r="O344" s="196"/>
      <c r="P344" s="164"/>
      <c r="Q344" s="185"/>
      <c r="R344" s="271">
        <v>0</v>
      </c>
      <c r="S344" s="164"/>
      <c r="T344" s="129" t="s">
        <v>1868</v>
      </c>
      <c r="U344" s="147" t="s">
        <v>37</v>
      </c>
      <c r="V344" s="129"/>
      <c r="W344" s="147" t="s">
        <v>2450</v>
      </c>
      <c r="X344" s="205" t="s">
        <v>1009</v>
      </c>
      <c r="Y344" s="251"/>
      <c r="Z344" s="290"/>
      <c r="AA344" s="286" t="s">
        <v>33</v>
      </c>
    </row>
    <row r="345" spans="2:27" ht="48" hidden="1" x14ac:dyDescent="0.25">
      <c r="B345" s="129">
        <v>1109177</v>
      </c>
      <c r="C345" s="127" t="s">
        <v>30</v>
      </c>
      <c r="D345" s="136" t="s">
        <v>1875</v>
      </c>
      <c r="E345" s="147"/>
      <c r="F345" s="129" t="s">
        <v>1830</v>
      </c>
      <c r="G345" s="147" t="s">
        <v>34</v>
      </c>
      <c r="H345" s="189">
        <f t="shared" si="5"/>
        <v>0</v>
      </c>
      <c r="I345" s="210" t="s">
        <v>2220</v>
      </c>
      <c r="J345" s="151"/>
      <c r="K345" s="147">
        <v>11</v>
      </c>
      <c r="L345" s="147">
        <v>1</v>
      </c>
      <c r="M345" s="147">
        <v>12</v>
      </c>
      <c r="N345" s="275"/>
      <c r="O345" s="196"/>
      <c r="P345" s="164"/>
      <c r="Q345" s="185"/>
      <c r="R345" s="276"/>
      <c r="S345" s="164"/>
      <c r="T345" s="129" t="s">
        <v>1906</v>
      </c>
      <c r="U345" s="147" t="s">
        <v>37</v>
      </c>
      <c r="V345" s="129"/>
      <c r="W345" s="176" t="s">
        <v>2519</v>
      </c>
      <c r="X345" s="205"/>
      <c r="Y345" s="251"/>
      <c r="Z345" s="290"/>
      <c r="AA345" s="230"/>
    </row>
    <row r="346" spans="2:27" ht="48" hidden="1" x14ac:dyDescent="0.25">
      <c r="B346" s="129">
        <v>1109178</v>
      </c>
      <c r="C346" s="127" t="s">
        <v>30</v>
      </c>
      <c r="D346" s="136" t="s">
        <v>1883</v>
      </c>
      <c r="E346" s="147"/>
      <c r="F346" s="129" t="s">
        <v>1830</v>
      </c>
      <c r="G346" s="147" t="s">
        <v>34</v>
      </c>
      <c r="H346" s="189">
        <f t="shared" si="5"/>
        <v>2.11</v>
      </c>
      <c r="I346" s="210" t="s">
        <v>2220</v>
      </c>
      <c r="J346" s="151"/>
      <c r="K346" s="147">
        <v>11</v>
      </c>
      <c r="L346" s="147">
        <v>1</v>
      </c>
      <c r="M346" s="147">
        <v>12</v>
      </c>
      <c r="N346" s="275"/>
      <c r="O346" s="196"/>
      <c r="P346" s="164"/>
      <c r="Q346" s="185">
        <v>2.06</v>
      </c>
      <c r="R346" s="276">
        <v>0.05</v>
      </c>
      <c r="S346" s="164"/>
      <c r="T346" s="129" t="s">
        <v>1906</v>
      </c>
      <c r="U346" s="147" t="s">
        <v>37</v>
      </c>
      <c r="V346" s="129"/>
      <c r="W346" s="176" t="s">
        <v>2519</v>
      </c>
      <c r="X346" s="205"/>
      <c r="Y346" s="251"/>
      <c r="Z346" s="290"/>
      <c r="AA346" s="230"/>
    </row>
    <row r="347" spans="2:27" x14ac:dyDescent="0.25">
      <c r="B347" s="129">
        <v>1109179</v>
      </c>
      <c r="C347" s="127" t="s">
        <v>30</v>
      </c>
      <c r="D347" s="136" t="s">
        <v>1884</v>
      </c>
      <c r="E347" s="147" t="s">
        <v>32</v>
      </c>
      <c r="F347" s="129" t="s">
        <v>307</v>
      </c>
      <c r="G347" s="147" t="s">
        <v>34</v>
      </c>
      <c r="H347" s="189">
        <f t="shared" si="5"/>
        <v>15.05</v>
      </c>
      <c r="I347" s="210" t="s">
        <v>2082</v>
      </c>
      <c r="J347" s="147">
        <v>0</v>
      </c>
      <c r="K347" s="147">
        <v>11</v>
      </c>
      <c r="L347" s="147">
        <v>1</v>
      </c>
      <c r="M347" s="147">
        <v>12</v>
      </c>
      <c r="N347" s="275">
        <v>50</v>
      </c>
      <c r="O347" s="196"/>
      <c r="P347" s="152">
        <v>45429</v>
      </c>
      <c r="Q347" s="185">
        <v>15</v>
      </c>
      <c r="R347" s="271">
        <v>0.05</v>
      </c>
      <c r="S347" s="164"/>
      <c r="T347" s="129" t="s">
        <v>1868</v>
      </c>
      <c r="U347" s="147" t="s">
        <v>37</v>
      </c>
      <c r="V347" s="129"/>
      <c r="W347" s="147" t="s">
        <v>2208</v>
      </c>
      <c r="X347" s="205" t="s">
        <v>1009</v>
      </c>
      <c r="Y347" s="251"/>
      <c r="Z347" s="290"/>
      <c r="AA347" s="286" t="s">
        <v>33</v>
      </c>
    </row>
    <row r="348" spans="2:27" x14ac:dyDescent="0.25">
      <c r="B348" s="129">
        <v>1109180</v>
      </c>
      <c r="C348" s="127" t="s">
        <v>30</v>
      </c>
      <c r="D348" s="136" t="s">
        <v>1900</v>
      </c>
      <c r="E348" s="151" t="s">
        <v>1929</v>
      </c>
      <c r="F348" s="129" t="s">
        <v>307</v>
      </c>
      <c r="G348" s="147" t="s">
        <v>34</v>
      </c>
      <c r="H348" s="189">
        <f t="shared" si="5"/>
        <v>4.7249999999999996</v>
      </c>
      <c r="I348" s="210" t="s">
        <v>2082</v>
      </c>
      <c r="J348" s="147">
        <v>0</v>
      </c>
      <c r="K348" s="147">
        <v>8</v>
      </c>
      <c r="L348" s="147">
        <v>2</v>
      </c>
      <c r="M348" s="147">
        <v>10</v>
      </c>
      <c r="N348" s="275">
        <v>55</v>
      </c>
      <c r="O348" s="196"/>
      <c r="P348" s="152">
        <v>45429</v>
      </c>
      <c r="Q348" s="185">
        <v>4.6749999999999998</v>
      </c>
      <c r="R348" s="271">
        <v>0.05</v>
      </c>
      <c r="S348" s="164"/>
      <c r="T348" s="129" t="s">
        <v>1868</v>
      </c>
      <c r="U348" s="147" t="s">
        <v>37</v>
      </c>
      <c r="V348" s="129"/>
      <c r="W348" s="147" t="s">
        <v>2208</v>
      </c>
      <c r="X348" s="205" t="s">
        <v>1009</v>
      </c>
      <c r="Y348" s="251"/>
      <c r="Z348" s="290"/>
      <c r="AA348" s="286" t="s">
        <v>2704</v>
      </c>
    </row>
    <row r="349" spans="2:27" x14ac:dyDescent="0.25">
      <c r="B349" s="136">
        <v>1109181</v>
      </c>
      <c r="C349" s="127" t="s">
        <v>30</v>
      </c>
      <c r="D349" s="128" t="s">
        <v>1896</v>
      </c>
      <c r="E349" s="282" t="s">
        <v>131</v>
      </c>
      <c r="F349" s="129" t="s">
        <v>1791</v>
      </c>
      <c r="G349" s="147" t="s">
        <v>34</v>
      </c>
      <c r="H349" s="189">
        <f t="shared" si="5"/>
        <v>3</v>
      </c>
      <c r="I349" s="223" t="s">
        <v>2082</v>
      </c>
      <c r="J349" s="146">
        <v>30</v>
      </c>
      <c r="K349" s="147">
        <v>10</v>
      </c>
      <c r="L349" s="147">
        <v>1</v>
      </c>
      <c r="M349" s="147">
        <v>11</v>
      </c>
      <c r="N349" s="275">
        <v>1102</v>
      </c>
      <c r="O349" s="193"/>
      <c r="P349" s="179">
        <v>45622</v>
      </c>
      <c r="Q349" s="173">
        <v>2.95</v>
      </c>
      <c r="R349" s="271">
        <v>0.05</v>
      </c>
      <c r="S349" s="147"/>
      <c r="T349" s="129" t="s">
        <v>1868</v>
      </c>
      <c r="U349" s="147" t="s">
        <v>37</v>
      </c>
      <c r="V349" s="129"/>
      <c r="W349" s="147" t="s">
        <v>2208</v>
      </c>
      <c r="X349" s="205" t="s">
        <v>1009</v>
      </c>
      <c r="Y349" s="251"/>
      <c r="Z349" s="290"/>
      <c r="AA349" s="286" t="s">
        <v>2689</v>
      </c>
    </row>
    <row r="350" spans="2:27" x14ac:dyDescent="0.25">
      <c r="B350" s="136">
        <v>1109182</v>
      </c>
      <c r="C350" s="127" t="s">
        <v>30</v>
      </c>
      <c r="D350" s="128" t="s">
        <v>1897</v>
      </c>
      <c r="E350" s="282" t="s">
        <v>131</v>
      </c>
      <c r="F350" s="129" t="s">
        <v>1791</v>
      </c>
      <c r="G350" s="147" t="s">
        <v>34</v>
      </c>
      <c r="H350" s="189">
        <f t="shared" si="5"/>
        <v>2.9499999999999997</v>
      </c>
      <c r="I350" s="223" t="s">
        <v>2082</v>
      </c>
      <c r="J350" s="146">
        <v>30</v>
      </c>
      <c r="K350" s="147">
        <v>10</v>
      </c>
      <c r="L350" s="147">
        <v>1</v>
      </c>
      <c r="M350" s="147">
        <v>11</v>
      </c>
      <c r="N350" s="275">
        <v>1102</v>
      </c>
      <c r="O350" s="193"/>
      <c r="P350" s="179">
        <v>45622</v>
      </c>
      <c r="Q350" s="173">
        <v>2.9</v>
      </c>
      <c r="R350" s="271">
        <v>0.05</v>
      </c>
      <c r="S350" s="147"/>
      <c r="T350" s="129" t="s">
        <v>1868</v>
      </c>
      <c r="U350" s="147" t="s">
        <v>37</v>
      </c>
      <c r="V350" s="129"/>
      <c r="W350" s="147" t="s">
        <v>2208</v>
      </c>
      <c r="X350" s="205" t="s">
        <v>1009</v>
      </c>
      <c r="Y350" s="251"/>
      <c r="Z350" s="290"/>
      <c r="AA350" s="286" t="s">
        <v>2689</v>
      </c>
    </row>
    <row r="351" spans="2:27" x14ac:dyDescent="0.25">
      <c r="B351" s="136">
        <v>1109183</v>
      </c>
      <c r="C351" s="127" t="s">
        <v>30</v>
      </c>
      <c r="D351" s="128" t="s">
        <v>1898</v>
      </c>
      <c r="E351" s="282" t="s">
        <v>1932</v>
      </c>
      <c r="F351" s="129" t="s">
        <v>307</v>
      </c>
      <c r="G351" s="147" t="s">
        <v>34</v>
      </c>
      <c r="H351" s="189">
        <f t="shared" si="5"/>
        <v>10.46</v>
      </c>
      <c r="I351" s="210" t="s">
        <v>2082</v>
      </c>
      <c r="J351" s="146">
        <v>0</v>
      </c>
      <c r="K351" s="147">
        <v>15</v>
      </c>
      <c r="L351" s="147">
        <v>2</v>
      </c>
      <c r="M351" s="147">
        <v>17</v>
      </c>
      <c r="N351" s="275">
        <v>110</v>
      </c>
      <c r="O351" s="193">
        <v>11.63</v>
      </c>
      <c r="P351" s="179">
        <v>45476</v>
      </c>
      <c r="Q351" s="173">
        <v>10.41</v>
      </c>
      <c r="R351" s="271">
        <v>0.05</v>
      </c>
      <c r="S351" s="147"/>
      <c r="T351" s="129" t="s">
        <v>1868</v>
      </c>
      <c r="U351" s="147" t="s">
        <v>37</v>
      </c>
      <c r="V351" s="129"/>
      <c r="W351" s="147" t="s">
        <v>2208</v>
      </c>
      <c r="X351" s="205" t="s">
        <v>1009</v>
      </c>
      <c r="Y351" s="251"/>
      <c r="Z351" s="290"/>
      <c r="AA351" s="286" t="s">
        <v>2707</v>
      </c>
    </row>
    <row r="352" spans="2:27" ht="24" x14ac:dyDescent="0.25">
      <c r="B352" s="136">
        <v>1109184</v>
      </c>
      <c r="C352" s="127" t="s">
        <v>30</v>
      </c>
      <c r="D352" s="128" t="s">
        <v>1913</v>
      </c>
      <c r="E352" s="151" t="s">
        <v>259</v>
      </c>
      <c r="F352" s="129" t="s">
        <v>1791</v>
      </c>
      <c r="G352" s="147" t="s">
        <v>34</v>
      </c>
      <c r="H352" s="189">
        <f t="shared" si="5"/>
        <v>4.1899999999999995</v>
      </c>
      <c r="I352" s="223" t="s">
        <v>2082</v>
      </c>
      <c r="J352" s="146">
        <v>30</v>
      </c>
      <c r="K352" s="147">
        <v>10</v>
      </c>
      <c r="L352" s="147">
        <v>2</v>
      </c>
      <c r="M352" s="147">
        <v>12</v>
      </c>
      <c r="N352" s="275">
        <v>220.4</v>
      </c>
      <c r="O352" s="193">
        <v>4.0999999999999996</v>
      </c>
      <c r="P352" s="179">
        <v>45453</v>
      </c>
      <c r="Q352" s="173">
        <v>4.1399999999999997</v>
      </c>
      <c r="R352" s="271">
        <v>0.05</v>
      </c>
      <c r="S352" s="147"/>
      <c r="T352" s="129" t="s">
        <v>1868</v>
      </c>
      <c r="U352" s="147" t="s">
        <v>37</v>
      </c>
      <c r="V352" s="129"/>
      <c r="W352" s="147" t="s">
        <v>2208</v>
      </c>
      <c r="X352" s="205" t="s">
        <v>1009</v>
      </c>
      <c r="Y352" s="251"/>
      <c r="Z352" s="290"/>
      <c r="AA352" s="286" t="s">
        <v>2692</v>
      </c>
    </row>
    <row r="353" spans="1:27" s="181" customFormat="1" hidden="1" x14ac:dyDescent="0.25">
      <c r="A353" s="131"/>
      <c r="B353" s="136">
        <v>1109185</v>
      </c>
      <c r="C353" s="127" t="s">
        <v>30</v>
      </c>
      <c r="D353" s="128" t="s">
        <v>1942</v>
      </c>
      <c r="E353" s="282" t="s">
        <v>1808</v>
      </c>
      <c r="F353" s="129" t="s">
        <v>1943</v>
      </c>
      <c r="G353" s="147" t="s">
        <v>34</v>
      </c>
      <c r="H353" s="189">
        <f t="shared" si="5"/>
        <v>0</v>
      </c>
      <c r="I353" s="180" t="s">
        <v>2213</v>
      </c>
      <c r="J353" s="150"/>
      <c r="K353" s="147">
        <v>11</v>
      </c>
      <c r="L353" s="147">
        <v>1</v>
      </c>
      <c r="M353" s="147">
        <v>12</v>
      </c>
      <c r="N353" s="275"/>
      <c r="O353" s="194"/>
      <c r="P353" s="179"/>
      <c r="Q353" s="173"/>
      <c r="R353" s="271"/>
      <c r="S353" s="147"/>
      <c r="T353" s="129" t="s">
        <v>1846</v>
      </c>
      <c r="U353" s="147" t="s">
        <v>35</v>
      </c>
      <c r="V353" s="129"/>
      <c r="W353" s="176" t="s">
        <v>54</v>
      </c>
      <c r="X353" s="205" t="s">
        <v>1009</v>
      </c>
      <c r="Y353" s="251"/>
      <c r="Z353" s="290"/>
      <c r="AA353" s="230"/>
    </row>
    <row r="354" spans="1:27" x14ac:dyDescent="0.25">
      <c r="B354" s="136">
        <v>1109186</v>
      </c>
      <c r="C354" s="127" t="s">
        <v>30</v>
      </c>
      <c r="D354" s="128" t="s">
        <v>1945</v>
      </c>
      <c r="E354" s="282" t="s">
        <v>86</v>
      </c>
      <c r="F354" s="129" t="s">
        <v>323</v>
      </c>
      <c r="G354" s="147" t="s">
        <v>34</v>
      </c>
      <c r="H354" s="189">
        <f t="shared" si="5"/>
        <v>5.27</v>
      </c>
      <c r="I354" s="210" t="s">
        <v>2082</v>
      </c>
      <c r="J354" s="146">
        <v>0</v>
      </c>
      <c r="K354" s="147">
        <v>11</v>
      </c>
      <c r="L354" s="147">
        <v>1</v>
      </c>
      <c r="M354" s="147">
        <v>12</v>
      </c>
      <c r="N354" s="275">
        <v>1103</v>
      </c>
      <c r="O354" s="193"/>
      <c r="P354" s="179">
        <v>45469</v>
      </c>
      <c r="Q354" s="173">
        <v>5.22</v>
      </c>
      <c r="R354" s="271">
        <v>0.05</v>
      </c>
      <c r="S354" s="147"/>
      <c r="T354" s="129" t="s">
        <v>1868</v>
      </c>
      <c r="U354" s="147" t="s">
        <v>37</v>
      </c>
      <c r="V354" s="129"/>
      <c r="W354" s="147" t="s">
        <v>2208</v>
      </c>
      <c r="X354" s="205" t="s">
        <v>2008</v>
      </c>
      <c r="Y354" s="251"/>
      <c r="Z354" s="290"/>
      <c r="AA354" s="286" t="s">
        <v>33</v>
      </c>
    </row>
    <row r="355" spans="1:27" x14ac:dyDescent="0.25">
      <c r="B355" s="136">
        <v>1109187</v>
      </c>
      <c r="C355" s="127" t="s">
        <v>30</v>
      </c>
      <c r="D355" s="128" t="s">
        <v>1947</v>
      </c>
      <c r="E355" s="282" t="s">
        <v>131</v>
      </c>
      <c r="F355" s="129" t="s">
        <v>1791</v>
      </c>
      <c r="G355" s="147" t="s">
        <v>34</v>
      </c>
      <c r="H355" s="189">
        <f t="shared" si="5"/>
        <v>2.9499999999999997</v>
      </c>
      <c r="I355" s="223" t="s">
        <v>2082</v>
      </c>
      <c r="J355" s="146">
        <v>30</v>
      </c>
      <c r="K355" s="147">
        <v>10</v>
      </c>
      <c r="L355" s="147">
        <v>2</v>
      </c>
      <c r="M355" s="147">
        <v>12</v>
      </c>
      <c r="N355" s="275">
        <v>1102</v>
      </c>
      <c r="O355" s="193"/>
      <c r="P355" s="179">
        <v>45469</v>
      </c>
      <c r="Q355" s="173">
        <v>2.9</v>
      </c>
      <c r="R355" s="271">
        <v>0.05</v>
      </c>
      <c r="S355" s="147"/>
      <c r="T355" s="129" t="s">
        <v>1868</v>
      </c>
      <c r="U355" s="147" t="s">
        <v>37</v>
      </c>
      <c r="V355" s="129"/>
      <c r="W355" s="147" t="s">
        <v>2208</v>
      </c>
      <c r="X355" s="205" t="s">
        <v>1009</v>
      </c>
      <c r="Y355" s="251"/>
      <c r="Z355" s="290"/>
      <c r="AA355" s="286" t="s">
        <v>2689</v>
      </c>
    </row>
    <row r="356" spans="1:27" x14ac:dyDescent="0.25">
      <c r="B356" s="136">
        <v>1109188</v>
      </c>
      <c r="C356" s="127" t="s">
        <v>30</v>
      </c>
      <c r="D356" s="128" t="s">
        <v>1946</v>
      </c>
      <c r="E356" s="282" t="s">
        <v>131</v>
      </c>
      <c r="F356" s="129" t="s">
        <v>1791</v>
      </c>
      <c r="G356" s="147" t="s">
        <v>34</v>
      </c>
      <c r="H356" s="189">
        <f t="shared" si="5"/>
        <v>7.34</v>
      </c>
      <c r="I356" s="223" t="s">
        <v>2082</v>
      </c>
      <c r="J356" s="146">
        <v>30</v>
      </c>
      <c r="K356" s="147">
        <v>8</v>
      </c>
      <c r="L356" s="147">
        <v>2</v>
      </c>
      <c r="M356" s="147">
        <v>10</v>
      </c>
      <c r="N356" s="275">
        <v>1102</v>
      </c>
      <c r="O356" s="193"/>
      <c r="P356" s="179">
        <v>45477</v>
      </c>
      <c r="Q356" s="173">
        <v>7.29</v>
      </c>
      <c r="R356" s="271">
        <v>0.05</v>
      </c>
      <c r="S356" s="147"/>
      <c r="T356" s="129" t="s">
        <v>1868</v>
      </c>
      <c r="U356" s="147" t="s">
        <v>37</v>
      </c>
      <c r="V356" s="129"/>
      <c r="W356" s="147" t="s">
        <v>2208</v>
      </c>
      <c r="X356" s="205" t="s">
        <v>1009</v>
      </c>
      <c r="Y356" s="251"/>
      <c r="Z356" s="290"/>
      <c r="AA356" s="286" t="s">
        <v>2693</v>
      </c>
    </row>
    <row r="357" spans="1:27" ht="24" x14ac:dyDescent="0.25">
      <c r="B357" s="136">
        <v>1109189</v>
      </c>
      <c r="C357" s="127" t="s">
        <v>30</v>
      </c>
      <c r="D357" s="128" t="s">
        <v>2681</v>
      </c>
      <c r="E357" s="282" t="s">
        <v>1808</v>
      </c>
      <c r="F357" s="129" t="s">
        <v>1791</v>
      </c>
      <c r="G357" s="147" t="s">
        <v>34</v>
      </c>
      <c r="H357" s="189">
        <f t="shared" si="5"/>
        <v>4.03</v>
      </c>
      <c r="I357" s="223" t="s">
        <v>2082</v>
      </c>
      <c r="J357" s="146">
        <v>30</v>
      </c>
      <c r="K357" s="147">
        <v>11</v>
      </c>
      <c r="L357" s="147">
        <v>1</v>
      </c>
      <c r="M357" s="147">
        <v>12</v>
      </c>
      <c r="N357" s="275">
        <v>3000</v>
      </c>
      <c r="O357" s="193">
        <f>3.1372+0.05</f>
        <v>3.1871999999999998</v>
      </c>
      <c r="P357" s="179">
        <v>46174</v>
      </c>
      <c r="Q357" s="173">
        <v>3.98</v>
      </c>
      <c r="R357" s="271">
        <v>0.05</v>
      </c>
      <c r="S357" s="147"/>
      <c r="T357" s="129" t="s">
        <v>1846</v>
      </c>
      <c r="U357" s="147" t="s">
        <v>35</v>
      </c>
      <c r="V357" s="129"/>
      <c r="W357" s="147" t="s">
        <v>2208</v>
      </c>
      <c r="X357" s="205" t="s">
        <v>1009</v>
      </c>
      <c r="Y357" s="288">
        <v>46161</v>
      </c>
      <c r="Z357" s="291" t="s">
        <v>2655</v>
      </c>
      <c r="AA357" s="286" t="s">
        <v>2705</v>
      </c>
    </row>
    <row r="358" spans="1:27" ht="24" x14ac:dyDescent="0.25">
      <c r="B358" s="136">
        <v>1109190</v>
      </c>
      <c r="C358" s="127" t="s">
        <v>30</v>
      </c>
      <c r="D358" s="128" t="s">
        <v>1953</v>
      </c>
      <c r="E358" s="282" t="s">
        <v>138</v>
      </c>
      <c r="F358" s="129" t="s">
        <v>1954</v>
      </c>
      <c r="G358" s="147" t="s">
        <v>34</v>
      </c>
      <c r="H358" s="189">
        <f t="shared" si="5"/>
        <v>1.9712404945084168</v>
      </c>
      <c r="I358" s="210" t="s">
        <v>2221</v>
      </c>
      <c r="J358" s="146">
        <v>0</v>
      </c>
      <c r="K358" s="147">
        <v>6</v>
      </c>
      <c r="L358" s="147">
        <v>8</v>
      </c>
      <c r="M358" s="147">
        <v>14</v>
      </c>
      <c r="N358" s="275">
        <v>1400</v>
      </c>
      <c r="O358" s="193">
        <v>2.13</v>
      </c>
      <c r="P358" s="179">
        <v>45505</v>
      </c>
      <c r="Q358" s="173">
        <v>1.4832622697995101</v>
      </c>
      <c r="R358" s="345">
        <v>0.48797822470890667</v>
      </c>
      <c r="S358" s="147" t="s">
        <v>35</v>
      </c>
      <c r="T358" s="129" t="s">
        <v>2206</v>
      </c>
      <c r="U358" s="147" t="s">
        <v>37</v>
      </c>
      <c r="V358" s="147" t="s">
        <v>1977</v>
      </c>
      <c r="W358" s="147" t="s">
        <v>2208</v>
      </c>
      <c r="X358" s="205" t="s">
        <v>1854</v>
      </c>
      <c r="Y358" s="251"/>
      <c r="Z358" s="290"/>
      <c r="AA358" s="286" t="s">
        <v>2717</v>
      </c>
    </row>
    <row r="359" spans="1:27" ht="24" x14ac:dyDescent="0.25">
      <c r="B359" s="136">
        <v>1109191</v>
      </c>
      <c r="C359" s="127" t="s">
        <v>30</v>
      </c>
      <c r="D359" s="128" t="s">
        <v>1978</v>
      </c>
      <c r="E359" s="282" t="s">
        <v>131</v>
      </c>
      <c r="F359" s="136" t="s">
        <v>1979</v>
      </c>
      <c r="G359" s="147" t="s">
        <v>34</v>
      </c>
      <c r="H359" s="189">
        <f t="shared" si="5"/>
        <v>2.0411866098158393</v>
      </c>
      <c r="I359" s="210" t="s">
        <v>2223</v>
      </c>
      <c r="J359" s="146">
        <v>0</v>
      </c>
      <c r="K359" s="147">
        <v>12</v>
      </c>
      <c r="L359" s="147">
        <v>8</v>
      </c>
      <c r="M359" s="147">
        <v>20</v>
      </c>
      <c r="N359" s="275">
        <v>10582</v>
      </c>
      <c r="O359" s="177">
        <f>3.95/2.2046</f>
        <v>1.7917082463939036</v>
      </c>
      <c r="P359" s="179">
        <v>46147</v>
      </c>
      <c r="Q359" s="177">
        <f>4.5/2.2046</f>
        <v>2.0411866098158393</v>
      </c>
      <c r="R359" s="347">
        <v>0</v>
      </c>
      <c r="S359" s="147" t="s">
        <v>35</v>
      </c>
      <c r="T359" s="129" t="s">
        <v>2206</v>
      </c>
      <c r="U359" s="147" t="s">
        <v>37</v>
      </c>
      <c r="V359" s="147">
        <v>3500337</v>
      </c>
      <c r="W359" s="147" t="s">
        <v>2208</v>
      </c>
      <c r="X359" s="205" t="s">
        <v>2293</v>
      </c>
      <c r="Y359" s="251"/>
      <c r="Z359" s="290"/>
      <c r="AA359" s="286" t="s">
        <v>2694</v>
      </c>
    </row>
    <row r="360" spans="1:27" ht="24" x14ac:dyDescent="0.25">
      <c r="B360" s="136">
        <v>1109192</v>
      </c>
      <c r="C360" s="127" t="s">
        <v>30</v>
      </c>
      <c r="D360" s="128" t="s">
        <v>1974</v>
      </c>
      <c r="E360" s="147" t="s">
        <v>66</v>
      </c>
      <c r="F360" s="136" t="s">
        <v>1975</v>
      </c>
      <c r="G360" s="147" t="s">
        <v>607</v>
      </c>
      <c r="H360" s="189">
        <f t="shared" si="5"/>
        <v>1.3</v>
      </c>
      <c r="I360" s="210" t="s">
        <v>2082</v>
      </c>
      <c r="J360" s="146">
        <v>0</v>
      </c>
      <c r="K360" s="147">
        <v>9</v>
      </c>
      <c r="L360" s="147">
        <v>1</v>
      </c>
      <c r="M360" s="147">
        <v>10</v>
      </c>
      <c r="N360" s="275">
        <v>726</v>
      </c>
      <c r="O360" s="193">
        <f>1.5+0.05</f>
        <v>1.55</v>
      </c>
      <c r="P360" s="179">
        <v>46118</v>
      </c>
      <c r="Q360" s="173">
        <v>1.25</v>
      </c>
      <c r="R360" s="271">
        <v>0.05</v>
      </c>
      <c r="S360" s="147"/>
      <c r="T360" s="129" t="s">
        <v>2441</v>
      </c>
      <c r="U360" s="147" t="s">
        <v>37</v>
      </c>
      <c r="V360" s="129"/>
      <c r="W360" s="147" t="s">
        <v>2210</v>
      </c>
      <c r="X360" s="205"/>
      <c r="Y360" s="251"/>
      <c r="Z360" s="290"/>
      <c r="AA360" s="286" t="s">
        <v>2701</v>
      </c>
    </row>
    <row r="361" spans="1:27" ht="24" x14ac:dyDescent="0.25">
      <c r="B361" s="136">
        <v>1109193</v>
      </c>
      <c r="C361" s="127" t="s">
        <v>30</v>
      </c>
      <c r="D361" s="128" t="s">
        <v>2407</v>
      </c>
      <c r="E361" s="282" t="s">
        <v>131</v>
      </c>
      <c r="F361" s="136" t="s">
        <v>1886</v>
      </c>
      <c r="G361" s="147" t="s">
        <v>34</v>
      </c>
      <c r="H361" s="189">
        <f t="shared" si="5"/>
        <v>1.9000000000000001</v>
      </c>
      <c r="I361" s="210" t="s">
        <v>2292</v>
      </c>
      <c r="J361" s="146">
        <v>0</v>
      </c>
      <c r="K361" s="147">
        <v>23</v>
      </c>
      <c r="L361" s="147">
        <v>1</v>
      </c>
      <c r="M361" s="147">
        <v>24</v>
      </c>
      <c r="N361" s="275">
        <v>4400</v>
      </c>
      <c r="O361" s="193"/>
      <c r="P361" s="179"/>
      <c r="Q361" s="173">
        <v>1.85</v>
      </c>
      <c r="R361" s="271">
        <v>0.05</v>
      </c>
      <c r="S361" s="147" t="s">
        <v>35</v>
      </c>
      <c r="T361" s="129" t="s">
        <v>2206</v>
      </c>
      <c r="U361" s="147" t="s">
        <v>37</v>
      </c>
      <c r="V361" s="147">
        <v>3500337</v>
      </c>
      <c r="W361" s="147" t="s">
        <v>2208</v>
      </c>
      <c r="X361" s="205" t="s">
        <v>2293</v>
      </c>
      <c r="Y361" s="251"/>
      <c r="Z361" s="290"/>
      <c r="AA361" s="286" t="s">
        <v>2694</v>
      </c>
    </row>
    <row r="362" spans="1:27" s="181" customFormat="1" ht="24" x14ac:dyDescent="0.25">
      <c r="A362" s="131"/>
      <c r="B362" s="136">
        <v>1109194</v>
      </c>
      <c r="C362" s="127" t="s">
        <v>30</v>
      </c>
      <c r="D362" s="128" t="s">
        <v>1995</v>
      </c>
      <c r="E362" s="147" t="s">
        <v>1996</v>
      </c>
      <c r="F362" s="129" t="s">
        <v>1886</v>
      </c>
      <c r="G362" s="147" t="s">
        <v>34</v>
      </c>
      <c r="H362" s="189">
        <f t="shared" si="5"/>
        <v>2.5499999999999998</v>
      </c>
      <c r="I362" s="210" t="s">
        <v>2294</v>
      </c>
      <c r="J362" s="146">
        <v>0</v>
      </c>
      <c r="K362" s="147">
        <v>8</v>
      </c>
      <c r="L362" s="147">
        <v>1</v>
      </c>
      <c r="M362" s="147">
        <v>9</v>
      </c>
      <c r="N362" s="275">
        <v>2500</v>
      </c>
      <c r="O362" s="193"/>
      <c r="P362" s="179">
        <v>45581</v>
      </c>
      <c r="Q362" s="173">
        <v>2.5</v>
      </c>
      <c r="R362" s="271">
        <v>0.05</v>
      </c>
      <c r="S362" s="164"/>
      <c r="T362" s="129" t="s">
        <v>1906</v>
      </c>
      <c r="U362" s="147" t="s">
        <v>37</v>
      </c>
      <c r="V362" s="129"/>
      <c r="W362" s="147" t="s">
        <v>2208</v>
      </c>
      <c r="X362" s="205" t="s">
        <v>1009</v>
      </c>
      <c r="Y362" s="253" t="s">
        <v>2129</v>
      </c>
      <c r="Z362" s="290"/>
      <c r="AA362" s="286" t="s">
        <v>1886</v>
      </c>
    </row>
    <row r="363" spans="1:27" s="181" customFormat="1" hidden="1" x14ac:dyDescent="0.25">
      <c r="A363" s="131"/>
      <c r="B363" s="136">
        <v>1109195</v>
      </c>
      <c r="C363" s="127" t="s">
        <v>30</v>
      </c>
      <c r="D363" s="128" t="s">
        <v>2002</v>
      </c>
      <c r="E363" s="147" t="s">
        <v>2191</v>
      </c>
      <c r="F363" s="129" t="s">
        <v>2000</v>
      </c>
      <c r="G363" s="147" t="s">
        <v>34</v>
      </c>
      <c r="H363" s="189">
        <f t="shared" si="5"/>
        <v>0.55000000000000004</v>
      </c>
      <c r="I363" s="134" t="s">
        <v>2082</v>
      </c>
      <c r="J363" s="146">
        <v>30</v>
      </c>
      <c r="K363" s="147">
        <v>11</v>
      </c>
      <c r="L363" s="147">
        <v>1</v>
      </c>
      <c r="M363" s="147">
        <v>12</v>
      </c>
      <c r="N363" s="275">
        <v>2000</v>
      </c>
      <c r="O363" s="193"/>
      <c r="P363" s="179">
        <v>45602</v>
      </c>
      <c r="Q363" s="173">
        <v>0.5</v>
      </c>
      <c r="R363" s="271">
        <v>0.05</v>
      </c>
      <c r="S363" s="147"/>
      <c r="T363" s="129" t="s">
        <v>242</v>
      </c>
      <c r="U363" s="147" t="s">
        <v>35</v>
      </c>
      <c r="V363" s="129"/>
      <c r="W363" s="176" t="s">
        <v>54</v>
      </c>
      <c r="X363" s="205" t="s">
        <v>1009</v>
      </c>
      <c r="Y363" s="251"/>
      <c r="Z363" s="290"/>
      <c r="AA363" s="286"/>
    </row>
    <row r="364" spans="1:27" s="181" customFormat="1" ht="24" x14ac:dyDescent="0.25">
      <c r="A364" s="131"/>
      <c r="B364" s="136">
        <v>1109196</v>
      </c>
      <c r="C364" s="127" t="s">
        <v>30</v>
      </c>
      <c r="D364" s="128" t="s">
        <v>2588</v>
      </c>
      <c r="E364" s="151" t="s">
        <v>259</v>
      </c>
      <c r="F364" s="129" t="s">
        <v>2505</v>
      </c>
      <c r="G364" s="147" t="s">
        <v>34</v>
      </c>
      <c r="H364" s="189">
        <f t="shared" si="5"/>
        <v>2.3814887054340921</v>
      </c>
      <c r="I364" s="210" t="s">
        <v>2159</v>
      </c>
      <c r="J364" s="146">
        <v>30</v>
      </c>
      <c r="K364" s="147">
        <v>9</v>
      </c>
      <c r="L364" s="147">
        <v>1</v>
      </c>
      <c r="M364" s="147">
        <v>10</v>
      </c>
      <c r="N364" s="275">
        <f>9000*2.2046</f>
        <v>19841.400000000001</v>
      </c>
      <c r="O364" s="173">
        <v>2.4700000000000002</v>
      </c>
      <c r="P364" s="179">
        <v>46041</v>
      </c>
      <c r="Q364" s="173">
        <f>5.14/2.2046</f>
        <v>2.3314887054340923</v>
      </c>
      <c r="R364" s="271">
        <v>0.05</v>
      </c>
      <c r="S364" s="147"/>
      <c r="T364" s="129" t="s">
        <v>2089</v>
      </c>
      <c r="U364" s="147" t="s">
        <v>37</v>
      </c>
      <c r="V364" s="129"/>
      <c r="W364" s="147" t="s">
        <v>2208</v>
      </c>
      <c r="X364" s="205" t="s">
        <v>1009</v>
      </c>
      <c r="Y364" s="251"/>
      <c r="Z364" s="290"/>
      <c r="AA364" s="286" t="s">
        <v>2692</v>
      </c>
    </row>
    <row r="365" spans="1:27" s="181" customFormat="1" x14ac:dyDescent="0.25">
      <c r="A365" s="131"/>
      <c r="B365" s="136">
        <v>1109197</v>
      </c>
      <c r="C365" s="127" t="s">
        <v>30</v>
      </c>
      <c r="D365" s="128" t="s">
        <v>2177</v>
      </c>
      <c r="E365" s="151" t="s">
        <v>2192</v>
      </c>
      <c r="F365" s="129" t="s">
        <v>1642</v>
      </c>
      <c r="G365" s="147" t="s">
        <v>34</v>
      </c>
      <c r="H365" s="189">
        <f t="shared" si="5"/>
        <v>0.88</v>
      </c>
      <c r="I365" s="210" t="s">
        <v>2082</v>
      </c>
      <c r="J365" s="146">
        <v>45</v>
      </c>
      <c r="K365" s="147">
        <v>3</v>
      </c>
      <c r="L365" s="147">
        <v>1</v>
      </c>
      <c r="M365" s="147">
        <v>4</v>
      </c>
      <c r="N365" s="275">
        <v>43000</v>
      </c>
      <c r="O365" s="173">
        <f>0.79+0.05</f>
        <v>0.84000000000000008</v>
      </c>
      <c r="P365" s="179">
        <v>46139</v>
      </c>
      <c r="Q365" s="173">
        <v>0.83</v>
      </c>
      <c r="R365" s="271">
        <v>0.05</v>
      </c>
      <c r="S365" s="147"/>
      <c r="T365" s="129" t="s">
        <v>242</v>
      </c>
      <c r="U365" s="147" t="s">
        <v>35</v>
      </c>
      <c r="V365" s="129"/>
      <c r="W365" s="147" t="s">
        <v>2208</v>
      </c>
      <c r="X365" s="205" t="s">
        <v>1009</v>
      </c>
      <c r="Y365" s="253" t="s">
        <v>2129</v>
      </c>
      <c r="Z365" s="290"/>
      <c r="AA365" s="286" t="s">
        <v>1642</v>
      </c>
    </row>
    <row r="366" spans="1:27" s="181" customFormat="1" x14ac:dyDescent="0.25">
      <c r="A366" s="131"/>
      <c r="B366" s="136">
        <v>1109198</v>
      </c>
      <c r="C366" s="127" t="s">
        <v>30</v>
      </c>
      <c r="D366" s="128" t="s">
        <v>2027</v>
      </c>
      <c r="E366" s="147" t="s">
        <v>32</v>
      </c>
      <c r="F366" s="129" t="s">
        <v>2395</v>
      </c>
      <c r="G366" s="147" t="s">
        <v>34</v>
      </c>
      <c r="H366" s="189">
        <f t="shared" si="5"/>
        <v>4.01</v>
      </c>
      <c r="I366" s="210" t="s">
        <v>2082</v>
      </c>
      <c r="J366" s="146">
        <v>0</v>
      </c>
      <c r="K366" s="147">
        <v>9</v>
      </c>
      <c r="L366" s="147">
        <v>1</v>
      </c>
      <c r="M366" s="147">
        <v>10</v>
      </c>
      <c r="N366" s="275">
        <v>1500</v>
      </c>
      <c r="O366" s="193"/>
      <c r="P366" s="179">
        <v>45666</v>
      </c>
      <c r="Q366" s="173">
        <v>3.96</v>
      </c>
      <c r="R366" s="271">
        <v>0.05</v>
      </c>
      <c r="S366" s="147"/>
      <c r="T366" s="129" t="s">
        <v>2017</v>
      </c>
      <c r="U366" s="147" t="s">
        <v>37</v>
      </c>
      <c r="V366" s="129"/>
      <c r="W366" s="147" t="s">
        <v>2208</v>
      </c>
      <c r="X366" s="205" t="s">
        <v>1009</v>
      </c>
      <c r="Y366" s="253" t="s">
        <v>2129</v>
      </c>
      <c r="Z366" s="290"/>
      <c r="AA366" s="286" t="s">
        <v>33</v>
      </c>
    </row>
    <row r="367" spans="1:27" s="181" customFormat="1" x14ac:dyDescent="0.25">
      <c r="A367" s="131"/>
      <c r="B367" s="136">
        <v>1109199</v>
      </c>
      <c r="C367" s="127" t="s">
        <v>30</v>
      </c>
      <c r="D367" s="128" t="s">
        <v>2028</v>
      </c>
      <c r="E367" s="147" t="s">
        <v>2029</v>
      </c>
      <c r="F367" s="129" t="s">
        <v>1836</v>
      </c>
      <c r="G367" s="147" t="s">
        <v>34</v>
      </c>
      <c r="H367" s="189">
        <f t="shared" si="5"/>
        <v>4.5396000000000001</v>
      </c>
      <c r="I367" s="210" t="s">
        <v>2082</v>
      </c>
      <c r="J367" s="146">
        <v>0</v>
      </c>
      <c r="K367" s="147">
        <v>15</v>
      </c>
      <c r="L367" s="147">
        <v>1</v>
      </c>
      <c r="M367" s="147">
        <v>16</v>
      </c>
      <c r="N367" s="275">
        <v>3141</v>
      </c>
      <c r="O367" s="173">
        <f>4.3+0.0796+0.05</f>
        <v>4.4295999999999998</v>
      </c>
      <c r="P367" s="179">
        <v>46129</v>
      </c>
      <c r="Q367" s="177">
        <f>4.41+0.0796</f>
        <v>4.4896000000000003</v>
      </c>
      <c r="R367" s="348">
        <v>0.05</v>
      </c>
      <c r="S367" s="147"/>
      <c r="T367" s="129" t="s">
        <v>2080</v>
      </c>
      <c r="U367" s="147" t="s">
        <v>37</v>
      </c>
      <c r="V367" s="129"/>
      <c r="W367" s="147" t="s">
        <v>2208</v>
      </c>
      <c r="X367" s="205" t="s">
        <v>1009</v>
      </c>
      <c r="Y367" s="251"/>
      <c r="Z367" s="290"/>
      <c r="AA367" s="286" t="s">
        <v>33</v>
      </c>
    </row>
    <row r="368" spans="1:27" s="219" customFormat="1" ht="48" x14ac:dyDescent="0.25">
      <c r="A368" s="131"/>
      <c r="B368" s="136">
        <v>1109200</v>
      </c>
      <c r="C368" s="127" t="s">
        <v>30</v>
      </c>
      <c r="D368" s="128" t="s">
        <v>2059</v>
      </c>
      <c r="E368" s="147" t="s">
        <v>2030</v>
      </c>
      <c r="F368" s="129" t="s">
        <v>323</v>
      </c>
      <c r="G368" s="147" t="s">
        <v>34</v>
      </c>
      <c r="H368" s="189">
        <f t="shared" si="5"/>
        <v>6.1099999999999994</v>
      </c>
      <c r="I368" s="210" t="s">
        <v>2082</v>
      </c>
      <c r="J368" s="146">
        <v>0</v>
      </c>
      <c r="K368" s="147">
        <v>19</v>
      </c>
      <c r="L368" s="147">
        <v>1</v>
      </c>
      <c r="M368" s="147">
        <v>20</v>
      </c>
      <c r="N368" s="275">
        <v>2500</v>
      </c>
      <c r="O368" s="193"/>
      <c r="P368" s="179">
        <v>45672</v>
      </c>
      <c r="Q368" s="173">
        <v>6.06</v>
      </c>
      <c r="R368" s="271">
        <v>0.05</v>
      </c>
      <c r="S368" s="147"/>
      <c r="T368" s="129" t="s">
        <v>102</v>
      </c>
      <c r="U368" s="147" t="s">
        <v>35</v>
      </c>
      <c r="V368" s="129"/>
      <c r="W368" s="147" t="s">
        <v>2210</v>
      </c>
      <c r="X368" s="207" t="s">
        <v>2042</v>
      </c>
      <c r="Y368" s="289">
        <v>46058</v>
      </c>
      <c r="Z368" s="290"/>
      <c r="AA368" s="286" t="s">
        <v>2695</v>
      </c>
    </row>
    <row r="369" spans="1:27" s="181" customFormat="1" hidden="1" x14ac:dyDescent="0.25">
      <c r="A369" s="131"/>
      <c r="B369" s="136">
        <v>1109201</v>
      </c>
      <c r="C369" s="127" t="s">
        <v>30</v>
      </c>
      <c r="D369" s="128" t="s">
        <v>2031</v>
      </c>
      <c r="E369" s="147" t="s">
        <v>66</v>
      </c>
      <c r="F369" s="129" t="s">
        <v>1998</v>
      </c>
      <c r="G369" s="147" t="s">
        <v>34</v>
      </c>
      <c r="H369" s="189">
        <f t="shared" si="5"/>
        <v>1.1200000000000001</v>
      </c>
      <c r="I369" s="210" t="s">
        <v>2082</v>
      </c>
      <c r="J369" s="146">
        <v>60</v>
      </c>
      <c r="K369" s="147">
        <v>4</v>
      </c>
      <c r="L369" s="147">
        <v>8</v>
      </c>
      <c r="M369" s="147">
        <v>12</v>
      </c>
      <c r="N369" s="275">
        <v>35724</v>
      </c>
      <c r="O369" s="193"/>
      <c r="P369" s="179">
        <v>45673</v>
      </c>
      <c r="Q369" s="173">
        <v>1.07</v>
      </c>
      <c r="R369" s="271">
        <v>0.05</v>
      </c>
      <c r="S369" s="147"/>
      <c r="T369" s="129" t="s">
        <v>468</v>
      </c>
      <c r="U369" s="147" t="s">
        <v>37</v>
      </c>
      <c r="V369" s="129"/>
      <c r="W369" s="176" t="s">
        <v>54</v>
      </c>
      <c r="X369" s="205" t="s">
        <v>1915</v>
      </c>
      <c r="Y369" s="251"/>
      <c r="Z369" s="290"/>
      <c r="AA369" s="286"/>
    </row>
    <row r="370" spans="1:27" s="181" customFormat="1" hidden="1" x14ac:dyDescent="0.25">
      <c r="A370" s="131"/>
      <c r="B370" s="136">
        <v>1109202</v>
      </c>
      <c r="C370" s="127" t="s">
        <v>30</v>
      </c>
      <c r="D370" s="128" t="s">
        <v>2040</v>
      </c>
      <c r="E370" s="147" t="s">
        <v>46</v>
      </c>
      <c r="F370" s="129" t="s">
        <v>323</v>
      </c>
      <c r="G370" s="147" t="s">
        <v>34</v>
      </c>
      <c r="H370" s="189">
        <f t="shared" si="5"/>
        <v>2.88</v>
      </c>
      <c r="I370" s="134" t="s">
        <v>2082</v>
      </c>
      <c r="J370" s="146">
        <v>30</v>
      </c>
      <c r="K370" s="147">
        <v>7</v>
      </c>
      <c r="L370" s="147">
        <v>1</v>
      </c>
      <c r="M370" s="147">
        <v>8</v>
      </c>
      <c r="N370" s="275">
        <v>6000</v>
      </c>
      <c r="O370" s="193"/>
      <c r="P370" s="179">
        <v>45688</v>
      </c>
      <c r="Q370" s="173">
        <v>2.83</v>
      </c>
      <c r="R370" s="271">
        <v>0.05</v>
      </c>
      <c r="S370" s="147"/>
      <c r="T370" s="129" t="s">
        <v>102</v>
      </c>
      <c r="U370" s="147" t="s">
        <v>35</v>
      </c>
      <c r="V370" s="129"/>
      <c r="W370" s="176" t="s">
        <v>54</v>
      </c>
      <c r="X370" s="205"/>
      <c r="Y370" s="251"/>
      <c r="Z370" s="290"/>
      <c r="AA370" s="286"/>
    </row>
    <row r="371" spans="1:27" s="181" customFormat="1" ht="24" x14ac:dyDescent="0.25">
      <c r="A371" s="131"/>
      <c r="B371" s="136">
        <v>1109203</v>
      </c>
      <c r="C371" s="127" t="s">
        <v>30</v>
      </c>
      <c r="D371" s="128" t="s">
        <v>2070</v>
      </c>
      <c r="E371" s="147" t="s">
        <v>2077</v>
      </c>
      <c r="F371" s="129" t="s">
        <v>47</v>
      </c>
      <c r="G371" s="147" t="s">
        <v>34</v>
      </c>
      <c r="H371" s="189">
        <f t="shared" si="5"/>
        <v>1.94</v>
      </c>
      <c r="I371" s="210" t="s">
        <v>2223</v>
      </c>
      <c r="J371" s="146">
        <v>30</v>
      </c>
      <c r="K371" s="147">
        <v>9</v>
      </c>
      <c r="L371" s="147">
        <v>1</v>
      </c>
      <c r="M371" s="147">
        <v>10</v>
      </c>
      <c r="N371" s="275">
        <v>1600.5396000000001</v>
      </c>
      <c r="O371" s="173">
        <v>1.7917082463939036</v>
      </c>
      <c r="P371" s="179">
        <v>46104</v>
      </c>
      <c r="Q371" s="173">
        <v>1.94</v>
      </c>
      <c r="R371" s="271">
        <v>0</v>
      </c>
      <c r="S371" s="147"/>
      <c r="T371" s="129" t="s">
        <v>102</v>
      </c>
      <c r="U371" s="147" t="s">
        <v>35</v>
      </c>
      <c r="V371" s="129"/>
      <c r="W371" s="147" t="s">
        <v>2208</v>
      </c>
      <c r="X371" s="205" t="s">
        <v>1009</v>
      </c>
      <c r="Y371" s="288">
        <v>46118</v>
      </c>
      <c r="Z371" s="290"/>
      <c r="AA371" s="286" t="s">
        <v>47</v>
      </c>
    </row>
    <row r="372" spans="1:27" s="181" customFormat="1" x14ac:dyDescent="0.25">
      <c r="A372" s="131"/>
      <c r="B372" s="136">
        <v>1109204</v>
      </c>
      <c r="C372" s="127" t="s">
        <v>30</v>
      </c>
      <c r="D372" s="128" t="s">
        <v>2072</v>
      </c>
      <c r="E372" s="147" t="s">
        <v>1927</v>
      </c>
      <c r="F372" s="129" t="s">
        <v>1788</v>
      </c>
      <c r="G372" s="147" t="s">
        <v>34</v>
      </c>
      <c r="H372" s="189">
        <f t="shared" si="5"/>
        <v>2.0299999999999998</v>
      </c>
      <c r="I372" s="223" t="s">
        <v>2082</v>
      </c>
      <c r="J372" s="146">
        <v>0</v>
      </c>
      <c r="K372" s="147">
        <v>10</v>
      </c>
      <c r="L372" s="147">
        <v>2</v>
      </c>
      <c r="M372" s="147">
        <v>12</v>
      </c>
      <c r="N372" s="275">
        <v>1601</v>
      </c>
      <c r="O372" s="193"/>
      <c r="P372" s="179">
        <v>45714</v>
      </c>
      <c r="Q372" s="173">
        <v>1.98</v>
      </c>
      <c r="R372" s="271">
        <v>0.05</v>
      </c>
      <c r="S372" s="147"/>
      <c r="T372" s="129" t="s">
        <v>102</v>
      </c>
      <c r="U372" s="147" t="s">
        <v>35</v>
      </c>
      <c r="V372" s="129"/>
      <c r="W372" s="147" t="s">
        <v>2210</v>
      </c>
      <c r="X372" s="205" t="s">
        <v>1009</v>
      </c>
      <c r="Y372" s="295">
        <v>45784</v>
      </c>
      <c r="Z372" s="291" t="s">
        <v>2657</v>
      </c>
      <c r="AA372" s="286" t="s">
        <v>2701</v>
      </c>
    </row>
    <row r="373" spans="1:27" s="181" customFormat="1" ht="24" hidden="1" x14ac:dyDescent="0.25">
      <c r="A373" s="131"/>
      <c r="B373" s="136">
        <v>1109205</v>
      </c>
      <c r="C373" s="127" t="s">
        <v>30</v>
      </c>
      <c r="D373" s="128" t="s">
        <v>2075</v>
      </c>
      <c r="E373" s="147" t="s">
        <v>66</v>
      </c>
      <c r="F373" s="129" t="s">
        <v>2076</v>
      </c>
      <c r="G373" s="147" t="s">
        <v>34</v>
      </c>
      <c r="H373" s="189">
        <f t="shared" si="5"/>
        <v>1.35</v>
      </c>
      <c r="I373" s="210"/>
      <c r="J373" s="146">
        <v>0</v>
      </c>
      <c r="K373" s="147">
        <v>11</v>
      </c>
      <c r="L373" s="147">
        <v>1</v>
      </c>
      <c r="M373" s="147">
        <v>12</v>
      </c>
      <c r="N373" s="275"/>
      <c r="O373" s="193"/>
      <c r="P373" s="179"/>
      <c r="Q373" s="173">
        <v>1.3</v>
      </c>
      <c r="R373" s="271">
        <v>0.05</v>
      </c>
      <c r="S373" s="147"/>
      <c r="T373" s="129" t="s">
        <v>468</v>
      </c>
      <c r="U373" s="147" t="s">
        <v>37</v>
      </c>
      <c r="V373" s="129"/>
      <c r="W373" s="176" t="s">
        <v>54</v>
      </c>
      <c r="X373" s="205" t="s">
        <v>1009</v>
      </c>
      <c r="Y373" s="251"/>
      <c r="Z373" s="290"/>
      <c r="AA373" s="230"/>
    </row>
    <row r="374" spans="1:27" s="181" customFormat="1" ht="24" x14ac:dyDescent="0.25">
      <c r="A374" s="131"/>
      <c r="B374" s="136">
        <v>1109206</v>
      </c>
      <c r="C374" s="127" t="s">
        <v>30</v>
      </c>
      <c r="D374" s="128" t="s">
        <v>2078</v>
      </c>
      <c r="E374" s="147" t="s">
        <v>2103</v>
      </c>
      <c r="F374" s="129" t="s">
        <v>2079</v>
      </c>
      <c r="G374" s="147" t="s">
        <v>34</v>
      </c>
      <c r="H374" s="189">
        <f t="shared" si="5"/>
        <v>3.3099999999999996</v>
      </c>
      <c r="I374" s="210" t="s">
        <v>2082</v>
      </c>
      <c r="J374" s="146">
        <v>30</v>
      </c>
      <c r="K374" s="147">
        <v>12</v>
      </c>
      <c r="L374" s="147">
        <v>1</v>
      </c>
      <c r="M374" s="147">
        <v>13</v>
      </c>
      <c r="N374" s="275">
        <v>6000</v>
      </c>
      <c r="O374" s="193"/>
      <c r="P374" s="179">
        <v>45720</v>
      </c>
      <c r="Q374" s="173">
        <v>3.26</v>
      </c>
      <c r="R374" s="271">
        <v>0.05</v>
      </c>
      <c r="S374" s="147"/>
      <c r="T374" s="129" t="s">
        <v>242</v>
      </c>
      <c r="U374" s="147" t="s">
        <v>35</v>
      </c>
      <c r="V374" s="129"/>
      <c r="W374" s="147" t="s">
        <v>2208</v>
      </c>
      <c r="X374" s="205" t="s">
        <v>1009</v>
      </c>
      <c r="Y374" s="288">
        <v>46140</v>
      </c>
      <c r="Z374" s="291" t="s">
        <v>2527</v>
      </c>
      <c r="AA374" s="286" t="s">
        <v>2718</v>
      </c>
    </row>
    <row r="375" spans="1:27" s="181" customFormat="1" ht="24" hidden="1" x14ac:dyDescent="0.25">
      <c r="A375" s="131"/>
      <c r="B375" s="136">
        <v>1109207</v>
      </c>
      <c r="C375" s="127" t="s">
        <v>30</v>
      </c>
      <c r="D375" s="128" t="s">
        <v>2081</v>
      </c>
      <c r="E375" s="147" t="s">
        <v>66</v>
      </c>
      <c r="F375" s="129" t="s">
        <v>2015</v>
      </c>
      <c r="G375" s="147" t="s">
        <v>34</v>
      </c>
      <c r="H375" s="189">
        <f t="shared" si="5"/>
        <v>0.78</v>
      </c>
      <c r="I375" s="210" t="s">
        <v>2215</v>
      </c>
      <c r="J375" s="146">
        <v>15</v>
      </c>
      <c r="K375" s="147">
        <v>3</v>
      </c>
      <c r="L375" s="147">
        <v>2</v>
      </c>
      <c r="M375" s="147">
        <v>5</v>
      </c>
      <c r="N375" s="275">
        <v>1500</v>
      </c>
      <c r="O375" s="193"/>
      <c r="P375" s="179">
        <v>45723</v>
      </c>
      <c r="Q375" s="173">
        <v>0.73</v>
      </c>
      <c r="R375" s="271">
        <v>0.05</v>
      </c>
      <c r="S375" s="147"/>
      <c r="T375" s="129" t="s">
        <v>36</v>
      </c>
      <c r="U375" s="147" t="s">
        <v>37</v>
      </c>
      <c r="V375" s="129"/>
      <c r="W375" s="176" t="s">
        <v>54</v>
      </c>
      <c r="X375" s="205" t="s">
        <v>1009</v>
      </c>
      <c r="Y375" s="251"/>
      <c r="Z375" s="290"/>
      <c r="AA375" s="286"/>
    </row>
    <row r="376" spans="1:27" s="181" customFormat="1" ht="24" x14ac:dyDescent="0.25">
      <c r="A376" s="131"/>
      <c r="B376" s="136">
        <v>1109208</v>
      </c>
      <c r="C376" s="127" t="s">
        <v>30</v>
      </c>
      <c r="D376" s="128" t="s">
        <v>2090</v>
      </c>
      <c r="E376" s="147" t="s">
        <v>32</v>
      </c>
      <c r="F376" s="129" t="s">
        <v>323</v>
      </c>
      <c r="G376" s="147" t="s">
        <v>34</v>
      </c>
      <c r="H376" s="189">
        <f t="shared" si="5"/>
        <v>9.2700000000000014</v>
      </c>
      <c r="I376" s="210" t="s">
        <v>2265</v>
      </c>
      <c r="J376" s="146">
        <v>0</v>
      </c>
      <c r="K376" s="147">
        <v>9</v>
      </c>
      <c r="L376" s="147">
        <v>1</v>
      </c>
      <c r="M376" s="147">
        <v>10</v>
      </c>
      <c r="N376" s="275">
        <v>551</v>
      </c>
      <c r="O376" s="193">
        <v>13.268000000000001</v>
      </c>
      <c r="P376" s="179">
        <v>45896</v>
      </c>
      <c r="Q376" s="229">
        <v>9.2200000000000006</v>
      </c>
      <c r="R376" s="271">
        <v>0.05</v>
      </c>
      <c r="S376" s="147"/>
      <c r="T376" s="129" t="s">
        <v>2089</v>
      </c>
      <c r="U376" s="147" t="s">
        <v>37</v>
      </c>
      <c r="V376" s="129"/>
      <c r="W376" s="147" t="s">
        <v>2208</v>
      </c>
      <c r="X376" s="205" t="s">
        <v>1009</v>
      </c>
      <c r="Y376" s="251"/>
      <c r="Z376" s="290"/>
      <c r="AA376" s="286" t="s">
        <v>33</v>
      </c>
    </row>
    <row r="377" spans="1:27" s="181" customFormat="1" ht="36" x14ac:dyDescent="0.25">
      <c r="A377" s="131"/>
      <c r="B377" s="136">
        <v>1109209</v>
      </c>
      <c r="C377" s="127" t="s">
        <v>30</v>
      </c>
      <c r="D377" s="128" t="s">
        <v>2091</v>
      </c>
      <c r="E377" s="147" t="s">
        <v>138</v>
      </c>
      <c r="F377" s="129" t="s">
        <v>2089</v>
      </c>
      <c r="G377" s="147" t="s">
        <v>34</v>
      </c>
      <c r="H377" s="189">
        <f t="shared" si="5"/>
        <v>6.4183978953098064</v>
      </c>
      <c r="I377" s="210" t="s">
        <v>2233</v>
      </c>
      <c r="J377" s="146">
        <v>90</v>
      </c>
      <c r="K377" s="147">
        <v>6</v>
      </c>
      <c r="L377" s="147">
        <v>1</v>
      </c>
      <c r="M377" s="147">
        <v>7</v>
      </c>
      <c r="N377" s="275">
        <v>491.62580000000003</v>
      </c>
      <c r="O377" s="193"/>
      <c r="P377" s="179">
        <v>45730</v>
      </c>
      <c r="Q377" s="229">
        <v>6.4183978953098064</v>
      </c>
      <c r="R377" s="271">
        <v>0</v>
      </c>
      <c r="S377" s="147"/>
      <c r="T377" s="129" t="s">
        <v>2089</v>
      </c>
      <c r="U377" s="147" t="s">
        <v>37</v>
      </c>
      <c r="V377" s="129"/>
      <c r="W377" s="147" t="s">
        <v>2208</v>
      </c>
      <c r="X377" s="205" t="s">
        <v>1009</v>
      </c>
      <c r="Y377" s="251"/>
      <c r="Z377" s="290"/>
      <c r="AA377" s="286" t="s">
        <v>2706</v>
      </c>
    </row>
    <row r="378" spans="1:27" s="181" customFormat="1" ht="36" x14ac:dyDescent="0.25">
      <c r="A378" s="131"/>
      <c r="B378" s="136">
        <v>1109300</v>
      </c>
      <c r="C378" s="127" t="s">
        <v>30</v>
      </c>
      <c r="D378" s="128" t="s">
        <v>2720</v>
      </c>
      <c r="E378" s="147" t="s">
        <v>32</v>
      </c>
      <c r="F378" s="129" t="s">
        <v>2089</v>
      </c>
      <c r="G378" s="147" t="s">
        <v>34</v>
      </c>
      <c r="H378" s="189">
        <f t="shared" si="5"/>
        <v>2.8896852036650635</v>
      </c>
      <c r="I378" s="210" t="s">
        <v>2234</v>
      </c>
      <c r="J378" s="146">
        <v>90</v>
      </c>
      <c r="K378" s="147">
        <v>11</v>
      </c>
      <c r="L378" s="147">
        <v>1</v>
      </c>
      <c r="M378" s="147">
        <v>12</v>
      </c>
      <c r="N378" s="275">
        <v>2998.2560000000003</v>
      </c>
      <c r="O378" s="193"/>
      <c r="P378" s="179">
        <v>45730</v>
      </c>
      <c r="Q378" s="229">
        <f>6.3706/2.2046</f>
        <v>2.8896852036650635</v>
      </c>
      <c r="R378" s="271">
        <v>0</v>
      </c>
      <c r="S378" s="147"/>
      <c r="T378" s="129" t="s">
        <v>2089</v>
      </c>
      <c r="U378" s="147" t="s">
        <v>37</v>
      </c>
      <c r="V378" s="129"/>
      <c r="W378" s="147" t="s">
        <v>2208</v>
      </c>
      <c r="X378" s="205" t="s">
        <v>1009</v>
      </c>
      <c r="Y378" s="251"/>
      <c r="Z378" s="290"/>
      <c r="AA378" s="286" t="s">
        <v>33</v>
      </c>
    </row>
    <row r="379" spans="1:27" s="181" customFormat="1" ht="36" x14ac:dyDescent="0.25">
      <c r="A379" s="131"/>
      <c r="B379" s="136">
        <v>1109301</v>
      </c>
      <c r="C379" s="127" t="s">
        <v>30</v>
      </c>
      <c r="D379" s="128" t="s">
        <v>2517</v>
      </c>
      <c r="E379" s="147" t="s">
        <v>131</v>
      </c>
      <c r="F379" s="129" t="s">
        <v>1503</v>
      </c>
      <c r="G379" s="147" t="s">
        <v>34</v>
      </c>
      <c r="H379" s="189">
        <f t="shared" si="5"/>
        <v>3.3499999999999996</v>
      </c>
      <c r="I379" s="210" t="s">
        <v>2562</v>
      </c>
      <c r="J379" s="146">
        <v>90</v>
      </c>
      <c r="K379" s="147">
        <v>10</v>
      </c>
      <c r="L379" s="147">
        <v>1</v>
      </c>
      <c r="M379" s="147">
        <v>12</v>
      </c>
      <c r="N379" s="275">
        <v>811.38098400000013</v>
      </c>
      <c r="O379" s="229">
        <f>6.94/2.2046</f>
        <v>3.147963349360428</v>
      </c>
      <c r="P379" s="179">
        <v>46052</v>
      </c>
      <c r="Q379" s="229">
        <v>3.3</v>
      </c>
      <c r="R379" s="271">
        <v>0.05</v>
      </c>
      <c r="S379" s="147"/>
      <c r="T379" s="129" t="s">
        <v>2089</v>
      </c>
      <c r="U379" s="147" t="s">
        <v>37</v>
      </c>
      <c r="V379" s="129"/>
      <c r="W379" s="147" t="s">
        <v>2208</v>
      </c>
      <c r="X379" s="207" t="s">
        <v>1009</v>
      </c>
      <c r="Y379" s="251"/>
      <c r="Z379" s="290"/>
      <c r="AA379" s="286" t="s">
        <v>2691</v>
      </c>
    </row>
    <row r="380" spans="1:27" s="181" customFormat="1" ht="36" x14ac:dyDescent="0.25">
      <c r="A380" s="131"/>
      <c r="B380" s="136">
        <v>1109302</v>
      </c>
      <c r="C380" s="127" t="s">
        <v>30</v>
      </c>
      <c r="D380" s="128" t="s">
        <v>2697</v>
      </c>
      <c r="E380" s="147" t="s">
        <v>32</v>
      </c>
      <c r="F380" s="129" t="s">
        <v>2350</v>
      </c>
      <c r="G380" s="147" t="s">
        <v>34</v>
      </c>
      <c r="H380" s="189">
        <f t="shared" si="5"/>
        <v>8.1148507665789715</v>
      </c>
      <c r="I380" s="210" t="s">
        <v>2235</v>
      </c>
      <c r="J380" s="146">
        <v>30</v>
      </c>
      <c r="K380" s="147">
        <v>11</v>
      </c>
      <c r="L380" s="147">
        <v>1</v>
      </c>
      <c r="M380" s="147">
        <v>12</v>
      </c>
      <c r="N380" s="275">
        <f>450*2.2046</f>
        <v>992.07</v>
      </c>
      <c r="O380" s="229">
        <f>11.8527/2.2046</f>
        <v>5.3763494511476004</v>
      </c>
      <c r="P380" s="179">
        <v>45975</v>
      </c>
      <c r="Q380" s="229">
        <f>17.89/2.2046</f>
        <v>8.1148507665789715</v>
      </c>
      <c r="R380" s="271">
        <v>0</v>
      </c>
      <c r="S380" s="147"/>
      <c r="T380" s="129" t="s">
        <v>2089</v>
      </c>
      <c r="U380" s="147" t="s">
        <v>37</v>
      </c>
      <c r="V380" s="129"/>
      <c r="W380" s="147" t="s">
        <v>2208</v>
      </c>
      <c r="X380" s="207" t="s">
        <v>1009</v>
      </c>
      <c r="Y380" s="251"/>
      <c r="Z380" s="290"/>
      <c r="AA380" s="286" t="s">
        <v>33</v>
      </c>
    </row>
    <row r="381" spans="1:27" s="181" customFormat="1" ht="36" x14ac:dyDescent="0.25">
      <c r="A381" s="131"/>
      <c r="B381" s="136">
        <v>1109303</v>
      </c>
      <c r="C381" s="127" t="s">
        <v>30</v>
      </c>
      <c r="D381" s="128" t="s">
        <v>2092</v>
      </c>
      <c r="E381" s="147" t="s">
        <v>131</v>
      </c>
      <c r="F381" s="129" t="s">
        <v>2089</v>
      </c>
      <c r="G381" s="147" t="s">
        <v>34</v>
      </c>
      <c r="H381" s="189">
        <f t="shared" si="5"/>
        <v>10.704889775923069</v>
      </c>
      <c r="I381" s="210" t="s">
        <v>2236</v>
      </c>
      <c r="J381" s="146">
        <v>90</v>
      </c>
      <c r="K381" s="147">
        <v>11</v>
      </c>
      <c r="L381" s="147">
        <v>1</v>
      </c>
      <c r="M381" s="147">
        <v>12</v>
      </c>
      <c r="N381" s="275">
        <v>48.501200000000004</v>
      </c>
      <c r="O381" s="193"/>
      <c r="P381" s="179">
        <v>45730</v>
      </c>
      <c r="Q381" s="229">
        <v>10.704889775923069</v>
      </c>
      <c r="R381" s="271">
        <v>0</v>
      </c>
      <c r="S381" s="147"/>
      <c r="T381" s="129" t="s">
        <v>2089</v>
      </c>
      <c r="U381" s="147" t="s">
        <v>37</v>
      </c>
      <c r="V381" s="129"/>
      <c r="W381" s="147" t="s">
        <v>2208</v>
      </c>
      <c r="X381" s="205" t="s">
        <v>1009</v>
      </c>
      <c r="Y381" s="251"/>
      <c r="Z381" s="290"/>
      <c r="AA381" s="286" t="s">
        <v>2689</v>
      </c>
    </row>
    <row r="382" spans="1:27" s="181" customFormat="1" ht="36" x14ac:dyDescent="0.25">
      <c r="A382" s="131"/>
      <c r="B382" s="136">
        <v>1109304</v>
      </c>
      <c r="C382" s="127" t="s">
        <v>30</v>
      </c>
      <c r="D382" s="128" t="s">
        <v>2670</v>
      </c>
      <c r="E382" s="147" t="s">
        <v>32</v>
      </c>
      <c r="F382" s="129" t="s">
        <v>2089</v>
      </c>
      <c r="G382" s="147" t="s">
        <v>34</v>
      </c>
      <c r="H382" s="189">
        <f t="shared" si="5"/>
        <v>5.0167830899029298</v>
      </c>
      <c r="I382" s="210" t="s">
        <v>2237</v>
      </c>
      <c r="J382" s="146">
        <v>90</v>
      </c>
      <c r="K382" s="147">
        <v>11</v>
      </c>
      <c r="L382" s="147">
        <v>1</v>
      </c>
      <c r="M382" s="147">
        <v>12</v>
      </c>
      <c r="N382" s="275">
        <v>597.66706000000011</v>
      </c>
      <c r="O382" s="193"/>
      <c r="P382" s="179">
        <v>45730</v>
      </c>
      <c r="Q382" s="229">
        <v>5.0167830899029298</v>
      </c>
      <c r="R382" s="271">
        <v>0</v>
      </c>
      <c r="S382" s="147"/>
      <c r="T382" s="129" t="s">
        <v>2089</v>
      </c>
      <c r="U382" s="147" t="s">
        <v>37</v>
      </c>
      <c r="V382" s="129"/>
      <c r="W382" s="147" t="s">
        <v>2208</v>
      </c>
      <c r="X382" s="205" t="s">
        <v>1009</v>
      </c>
      <c r="Y382" s="251"/>
      <c r="Z382" s="290"/>
      <c r="AA382" s="286" t="s">
        <v>33</v>
      </c>
    </row>
    <row r="383" spans="1:27" s="181" customFormat="1" ht="36" x14ac:dyDescent="0.25">
      <c r="A383" s="131"/>
      <c r="B383" s="136">
        <v>1109305</v>
      </c>
      <c r="C383" s="127" t="s">
        <v>30</v>
      </c>
      <c r="D383" s="128" t="s">
        <v>2419</v>
      </c>
      <c r="E383" s="147" t="s">
        <v>131</v>
      </c>
      <c r="F383" s="129" t="s">
        <v>1791</v>
      </c>
      <c r="G383" s="147" t="s">
        <v>34</v>
      </c>
      <c r="H383" s="189">
        <f t="shared" si="5"/>
        <v>2.84</v>
      </c>
      <c r="I383" s="210" t="s">
        <v>2418</v>
      </c>
      <c r="J383" s="146">
        <v>30</v>
      </c>
      <c r="K383" s="147">
        <v>9</v>
      </c>
      <c r="L383" s="147">
        <v>1</v>
      </c>
      <c r="M383" s="147">
        <v>10</v>
      </c>
      <c r="N383" s="275">
        <v>2204</v>
      </c>
      <c r="O383" s="229">
        <f>10.18/2.2046</f>
        <v>4.617617708427832</v>
      </c>
      <c r="P383" s="179">
        <v>45961</v>
      </c>
      <c r="Q383" s="229">
        <v>2.79</v>
      </c>
      <c r="R383" s="271">
        <v>0.05</v>
      </c>
      <c r="S383" s="147"/>
      <c r="T383" s="129" t="s">
        <v>2089</v>
      </c>
      <c r="U383" s="147" t="s">
        <v>37</v>
      </c>
      <c r="V383" s="129"/>
      <c r="W383" s="147" t="s">
        <v>2208</v>
      </c>
      <c r="X383" s="205" t="s">
        <v>1009</v>
      </c>
      <c r="Y383" s="251"/>
      <c r="Z383" s="290"/>
      <c r="AA383" s="286" t="s">
        <v>2689</v>
      </c>
    </row>
    <row r="384" spans="1:27" s="181" customFormat="1" ht="24" x14ac:dyDescent="0.25">
      <c r="A384" s="131"/>
      <c r="B384" s="136">
        <v>1109306</v>
      </c>
      <c r="C384" s="127" t="s">
        <v>30</v>
      </c>
      <c r="D384" s="128" t="s">
        <v>2696</v>
      </c>
      <c r="E384" s="147" t="s">
        <v>32</v>
      </c>
      <c r="F384" s="129" t="s">
        <v>1836</v>
      </c>
      <c r="G384" s="147" t="s">
        <v>34</v>
      </c>
      <c r="H384" s="189">
        <f t="shared" si="5"/>
        <v>6.51</v>
      </c>
      <c r="I384" s="210" t="s">
        <v>2082</v>
      </c>
      <c r="J384" s="146">
        <v>0</v>
      </c>
      <c r="K384" s="147">
        <v>9</v>
      </c>
      <c r="L384" s="147">
        <v>1</v>
      </c>
      <c r="M384" s="147">
        <v>10</v>
      </c>
      <c r="N384" s="275">
        <v>3300</v>
      </c>
      <c r="O384" s="173">
        <v>7.13</v>
      </c>
      <c r="P384" s="179">
        <v>45982</v>
      </c>
      <c r="Q384" s="177">
        <v>6.46</v>
      </c>
      <c r="R384" s="271">
        <v>0.05</v>
      </c>
      <c r="S384" s="147"/>
      <c r="T384" s="129" t="s">
        <v>2207</v>
      </c>
      <c r="U384" s="147" t="s">
        <v>37</v>
      </c>
      <c r="V384" s="129"/>
      <c r="W384" s="147" t="s">
        <v>2208</v>
      </c>
      <c r="X384" s="205" t="s">
        <v>1009</v>
      </c>
      <c r="Y384" s="288">
        <v>46101</v>
      </c>
      <c r="Z384" s="291" t="s">
        <v>2591</v>
      </c>
      <c r="AA384" s="286" t="s">
        <v>33</v>
      </c>
    </row>
    <row r="385" spans="1:27" s="181" customFormat="1" ht="24" hidden="1" x14ac:dyDescent="0.25">
      <c r="A385" s="131"/>
      <c r="B385" s="136">
        <v>1109307</v>
      </c>
      <c r="C385" s="127" t="s">
        <v>30</v>
      </c>
      <c r="D385" s="128" t="s">
        <v>2113</v>
      </c>
      <c r="E385" s="147" t="s">
        <v>66</v>
      </c>
      <c r="F385" s="129" t="s">
        <v>2076</v>
      </c>
      <c r="G385" s="147" t="s">
        <v>34</v>
      </c>
      <c r="H385" s="189">
        <f t="shared" si="5"/>
        <v>1.1400000000000001</v>
      </c>
      <c r="I385" s="210"/>
      <c r="J385" s="146">
        <v>0</v>
      </c>
      <c r="K385" s="147">
        <v>11</v>
      </c>
      <c r="L385" s="147">
        <v>1</v>
      </c>
      <c r="M385" s="147">
        <v>12</v>
      </c>
      <c r="N385" s="275"/>
      <c r="O385" s="193"/>
      <c r="P385" s="179"/>
      <c r="Q385" s="173">
        <v>1.0900000000000001</v>
      </c>
      <c r="R385" s="271">
        <v>0.05</v>
      </c>
      <c r="S385" s="147"/>
      <c r="T385" s="129" t="s">
        <v>468</v>
      </c>
      <c r="U385" s="147" t="s">
        <v>37</v>
      </c>
      <c r="V385" s="129"/>
      <c r="W385" s="176" t="s">
        <v>54</v>
      </c>
      <c r="X385" s="205" t="s">
        <v>1009</v>
      </c>
      <c r="Y385" s="251"/>
      <c r="Z385" s="290"/>
      <c r="AA385" s="230"/>
    </row>
    <row r="386" spans="1:27" ht="36" x14ac:dyDescent="0.25">
      <c r="B386" s="136">
        <v>1109308</v>
      </c>
      <c r="C386" s="127" t="s">
        <v>30</v>
      </c>
      <c r="D386" s="128" t="s">
        <v>2710</v>
      </c>
      <c r="E386" s="147" t="s">
        <v>32</v>
      </c>
      <c r="F386" s="129" t="s">
        <v>1791</v>
      </c>
      <c r="G386" s="147" t="s">
        <v>34</v>
      </c>
      <c r="H386" s="189">
        <f t="shared" si="5"/>
        <v>3.03</v>
      </c>
      <c r="I386" s="210" t="s">
        <v>2351</v>
      </c>
      <c r="J386" s="146">
        <v>30</v>
      </c>
      <c r="K386" s="147">
        <v>10</v>
      </c>
      <c r="L386" s="147">
        <v>1</v>
      </c>
      <c r="M386" s="147">
        <v>11</v>
      </c>
      <c r="N386" s="275">
        <v>4959</v>
      </c>
      <c r="O386" s="193">
        <f>6.84263/2.2046</f>
        <v>3.1037966070942571</v>
      </c>
      <c r="P386" s="179">
        <v>45945</v>
      </c>
      <c r="Q386" s="173">
        <v>2.98</v>
      </c>
      <c r="R386" s="271">
        <v>0.05</v>
      </c>
      <c r="S386" s="147"/>
      <c r="T386" s="129" t="s">
        <v>2089</v>
      </c>
      <c r="U386" s="147" t="s">
        <v>37</v>
      </c>
      <c r="V386" s="129"/>
      <c r="W386" s="147" t="s">
        <v>2208</v>
      </c>
      <c r="X386" s="205" t="s">
        <v>1009</v>
      </c>
      <c r="Y386" s="251"/>
      <c r="Z386" s="290"/>
      <c r="AA386" s="286" t="s">
        <v>2692</v>
      </c>
    </row>
    <row r="387" spans="1:27" ht="36" x14ac:dyDescent="0.25">
      <c r="B387" s="136">
        <v>1109309</v>
      </c>
      <c r="C387" s="127" t="s">
        <v>30</v>
      </c>
      <c r="D387" s="128" t="s">
        <v>2114</v>
      </c>
      <c r="E387" s="151" t="s">
        <v>259</v>
      </c>
      <c r="F387" s="129" t="s">
        <v>2089</v>
      </c>
      <c r="G387" s="147" t="s">
        <v>34</v>
      </c>
      <c r="H387" s="189">
        <f t="shared" ref="H387:H450" si="6">Q387+R387</f>
        <v>2.1681937766488253</v>
      </c>
      <c r="I387" s="210" t="s">
        <v>2238</v>
      </c>
      <c r="J387" s="146">
        <v>90</v>
      </c>
      <c r="K387" s="147">
        <v>11</v>
      </c>
      <c r="L387" s="147">
        <v>1</v>
      </c>
      <c r="M387" s="147">
        <v>12</v>
      </c>
      <c r="N387" s="275">
        <f>375*2.2046</f>
        <v>826.72500000000002</v>
      </c>
      <c r="O387" s="193"/>
      <c r="P387" s="179">
        <v>45839</v>
      </c>
      <c r="Q387" s="173">
        <f>4.78/2.2046</f>
        <v>2.1681937766488253</v>
      </c>
      <c r="R387" s="271">
        <v>0</v>
      </c>
      <c r="S387" s="147"/>
      <c r="T387" s="129" t="s">
        <v>2089</v>
      </c>
      <c r="U387" s="147" t="s">
        <v>37</v>
      </c>
      <c r="V387" s="129"/>
      <c r="W387" s="147" t="s">
        <v>2208</v>
      </c>
      <c r="X387" s="205" t="s">
        <v>1009</v>
      </c>
      <c r="Y387" s="251"/>
      <c r="Z387" s="290"/>
      <c r="AA387" s="286" t="s">
        <v>33</v>
      </c>
    </row>
    <row r="388" spans="1:27" ht="36" x14ac:dyDescent="0.25">
      <c r="B388" s="136">
        <v>1109310</v>
      </c>
      <c r="C388" s="127" t="s">
        <v>30</v>
      </c>
      <c r="D388" s="128" t="s">
        <v>2115</v>
      </c>
      <c r="E388" s="147" t="s">
        <v>32</v>
      </c>
      <c r="F388" s="129" t="s">
        <v>2089</v>
      </c>
      <c r="G388" s="147" t="s">
        <v>34</v>
      </c>
      <c r="H388" s="189">
        <f t="shared" si="6"/>
        <v>5.375124739181711</v>
      </c>
      <c r="I388" s="210" t="s">
        <v>2239</v>
      </c>
      <c r="J388" s="146">
        <v>90</v>
      </c>
      <c r="K388" s="147">
        <v>11</v>
      </c>
      <c r="L388" s="147">
        <v>1</v>
      </c>
      <c r="M388" s="147">
        <v>12</v>
      </c>
      <c r="N388" s="275">
        <v>942</v>
      </c>
      <c r="O388" s="193"/>
      <c r="P388" s="179">
        <v>45839</v>
      </c>
      <c r="Q388" s="173">
        <f>11.85/2.2046</f>
        <v>5.375124739181711</v>
      </c>
      <c r="R388" s="271">
        <v>0</v>
      </c>
      <c r="S388" s="147"/>
      <c r="T388" s="129" t="s">
        <v>2089</v>
      </c>
      <c r="U388" s="147" t="s">
        <v>37</v>
      </c>
      <c r="V388" s="129"/>
      <c r="W388" s="147" t="s">
        <v>2208</v>
      </c>
      <c r="X388" s="205" t="s">
        <v>1009</v>
      </c>
      <c r="Y388" s="251"/>
      <c r="Z388" s="290"/>
      <c r="AA388" s="286" t="s">
        <v>33</v>
      </c>
    </row>
    <row r="389" spans="1:27" ht="36" x14ac:dyDescent="0.25">
      <c r="B389" s="136">
        <v>1109311</v>
      </c>
      <c r="C389" s="127" t="s">
        <v>30</v>
      </c>
      <c r="D389" s="128" t="s">
        <v>2116</v>
      </c>
      <c r="E389" s="147" t="s">
        <v>84</v>
      </c>
      <c r="F389" s="129" t="s">
        <v>2089</v>
      </c>
      <c r="G389" s="147" t="s">
        <v>34</v>
      </c>
      <c r="H389" s="189">
        <f t="shared" si="6"/>
        <v>4.79</v>
      </c>
      <c r="I389" s="210" t="s">
        <v>2240</v>
      </c>
      <c r="J389" s="146">
        <v>90</v>
      </c>
      <c r="K389" s="147">
        <v>11</v>
      </c>
      <c r="L389" s="147">
        <v>1</v>
      </c>
      <c r="M389" s="147">
        <v>12</v>
      </c>
      <c r="N389" s="275">
        <v>386</v>
      </c>
      <c r="O389" s="193"/>
      <c r="P389" s="179">
        <v>45839</v>
      </c>
      <c r="Q389" s="173">
        <v>4.79</v>
      </c>
      <c r="R389" s="271">
        <v>0</v>
      </c>
      <c r="S389" s="147"/>
      <c r="T389" s="129" t="s">
        <v>2089</v>
      </c>
      <c r="U389" s="147" t="s">
        <v>37</v>
      </c>
      <c r="V389" s="129"/>
      <c r="W389" s="147" t="s">
        <v>2208</v>
      </c>
      <c r="X389" s="205" t="s">
        <v>1009</v>
      </c>
      <c r="Y389" s="251"/>
      <c r="Z389" s="290"/>
      <c r="AA389" s="286" t="s">
        <v>2687</v>
      </c>
    </row>
    <row r="390" spans="1:27" ht="36" x14ac:dyDescent="0.25">
      <c r="B390" s="136">
        <v>1109312</v>
      </c>
      <c r="C390" s="127" t="s">
        <v>30</v>
      </c>
      <c r="D390" s="128" t="s">
        <v>2362</v>
      </c>
      <c r="E390" s="147" t="s">
        <v>535</v>
      </c>
      <c r="F390" s="129" t="s">
        <v>2350</v>
      </c>
      <c r="G390" s="147" t="s">
        <v>34</v>
      </c>
      <c r="H390" s="189">
        <f t="shared" si="6"/>
        <v>5.05</v>
      </c>
      <c r="I390" s="210" t="s">
        <v>2241</v>
      </c>
      <c r="J390" s="146">
        <v>30</v>
      </c>
      <c r="K390" s="147">
        <v>11</v>
      </c>
      <c r="L390" s="147">
        <v>1</v>
      </c>
      <c r="M390" s="147">
        <v>12</v>
      </c>
      <c r="N390" s="275">
        <f>1635*2.2046</f>
        <v>3604.5210000000002</v>
      </c>
      <c r="O390" s="173">
        <f>11.49/2.2046</f>
        <v>5.211829810396444</v>
      </c>
      <c r="P390" s="179">
        <v>45954</v>
      </c>
      <c r="Q390" s="173">
        <v>5.05</v>
      </c>
      <c r="R390" s="271">
        <v>0</v>
      </c>
      <c r="S390" s="147"/>
      <c r="T390" s="129" t="s">
        <v>2089</v>
      </c>
      <c r="U390" s="147" t="s">
        <v>37</v>
      </c>
      <c r="V390" s="129"/>
      <c r="W390" s="147" t="s">
        <v>2208</v>
      </c>
      <c r="X390" s="205" t="s">
        <v>1009</v>
      </c>
      <c r="Y390" s="251"/>
      <c r="Z390" s="290"/>
      <c r="AA390" s="286" t="s">
        <v>33</v>
      </c>
    </row>
    <row r="391" spans="1:27" ht="36" x14ac:dyDescent="0.25">
      <c r="B391" s="136">
        <v>1109313</v>
      </c>
      <c r="C391" s="127" t="s">
        <v>30</v>
      </c>
      <c r="D391" s="128" t="s">
        <v>2652</v>
      </c>
      <c r="E391" s="147" t="s">
        <v>2155</v>
      </c>
      <c r="F391" s="129" t="s">
        <v>2350</v>
      </c>
      <c r="G391" s="147" t="s">
        <v>34</v>
      </c>
      <c r="H391" s="189">
        <f t="shared" si="6"/>
        <v>4.93</v>
      </c>
      <c r="I391" s="210" t="s">
        <v>2242</v>
      </c>
      <c r="J391" s="146">
        <v>30</v>
      </c>
      <c r="K391" s="147">
        <v>11</v>
      </c>
      <c r="L391" s="147">
        <v>1</v>
      </c>
      <c r="M391" s="147">
        <v>12</v>
      </c>
      <c r="N391" s="275">
        <f>2310*2.2046</f>
        <v>5092.6260000000002</v>
      </c>
      <c r="O391" s="173">
        <v>4.704354531434273</v>
      </c>
      <c r="P391" s="179">
        <v>45946</v>
      </c>
      <c r="Q391" s="173">
        <v>4.93</v>
      </c>
      <c r="R391" s="271">
        <v>0</v>
      </c>
      <c r="S391" s="147"/>
      <c r="T391" s="129" t="s">
        <v>2089</v>
      </c>
      <c r="U391" s="147" t="s">
        <v>37</v>
      </c>
      <c r="V391" s="129"/>
      <c r="W391" s="147" t="s">
        <v>2208</v>
      </c>
      <c r="X391" s="207" t="s">
        <v>1009</v>
      </c>
      <c r="Y391" s="251"/>
      <c r="Z391" s="290"/>
      <c r="AA391" s="286" t="s">
        <v>33</v>
      </c>
    </row>
    <row r="392" spans="1:27" s="181" customFormat="1" ht="36" x14ac:dyDescent="0.25">
      <c r="A392" s="131"/>
      <c r="B392" s="136">
        <v>1109314</v>
      </c>
      <c r="C392" s="127" t="s">
        <v>30</v>
      </c>
      <c r="D392" s="128" t="s">
        <v>2672</v>
      </c>
      <c r="E392" s="147" t="s">
        <v>32</v>
      </c>
      <c r="F392" s="129" t="s">
        <v>2089</v>
      </c>
      <c r="G392" s="147" t="s">
        <v>34</v>
      </c>
      <c r="H392" s="189">
        <f t="shared" si="6"/>
        <v>1.3471831624784543</v>
      </c>
      <c r="I392" s="210" t="s">
        <v>2243</v>
      </c>
      <c r="J392" s="146">
        <v>90</v>
      </c>
      <c r="K392" s="147">
        <v>11</v>
      </c>
      <c r="L392" s="147">
        <v>1</v>
      </c>
      <c r="M392" s="147">
        <v>12</v>
      </c>
      <c r="N392" s="275">
        <v>1499.1280000000002</v>
      </c>
      <c r="O392" s="193"/>
      <c r="P392" s="179">
        <v>45777</v>
      </c>
      <c r="Q392" s="173">
        <v>1.3471831624784543</v>
      </c>
      <c r="R392" s="271">
        <v>0</v>
      </c>
      <c r="S392" s="147"/>
      <c r="T392" s="129" t="s">
        <v>2089</v>
      </c>
      <c r="U392" s="147" t="s">
        <v>37</v>
      </c>
      <c r="V392" s="129"/>
      <c r="W392" s="147" t="s">
        <v>2208</v>
      </c>
      <c r="X392" s="205" t="s">
        <v>1009</v>
      </c>
      <c r="Y392" s="251"/>
      <c r="Z392" s="290"/>
      <c r="AA392" s="286" t="s">
        <v>33</v>
      </c>
    </row>
    <row r="393" spans="1:27" s="181" customFormat="1" ht="36" x14ac:dyDescent="0.25">
      <c r="A393" s="131"/>
      <c r="B393" s="136">
        <v>1109315</v>
      </c>
      <c r="C393" s="127" t="s">
        <v>30</v>
      </c>
      <c r="D393" s="128" t="s">
        <v>2150</v>
      </c>
      <c r="E393" s="147" t="s">
        <v>32</v>
      </c>
      <c r="F393" s="129" t="s">
        <v>2350</v>
      </c>
      <c r="G393" s="147" t="s">
        <v>34</v>
      </c>
      <c r="H393" s="189">
        <f t="shared" si="6"/>
        <v>7.07</v>
      </c>
      <c r="I393" s="210" t="s">
        <v>2244</v>
      </c>
      <c r="J393" s="146">
        <v>30</v>
      </c>
      <c r="K393" s="147">
        <v>11</v>
      </c>
      <c r="L393" s="147">
        <v>1</v>
      </c>
      <c r="M393" s="147">
        <v>12</v>
      </c>
      <c r="N393" s="275">
        <f>2040*2.2046</f>
        <v>4497.384</v>
      </c>
      <c r="O393" s="173">
        <f>11.21/2.2046</f>
        <v>5.0848226435634585</v>
      </c>
      <c r="P393" s="179">
        <v>45954</v>
      </c>
      <c r="Q393" s="173">
        <v>7.07</v>
      </c>
      <c r="R393" s="271">
        <v>0</v>
      </c>
      <c r="S393" s="147"/>
      <c r="T393" s="129" t="s">
        <v>2089</v>
      </c>
      <c r="U393" s="147" t="s">
        <v>37</v>
      </c>
      <c r="V393" s="129"/>
      <c r="W393" s="147" t="s">
        <v>2208</v>
      </c>
      <c r="X393" s="205" t="s">
        <v>1009</v>
      </c>
      <c r="Y393" s="251"/>
      <c r="Z393" s="290"/>
      <c r="AA393" s="286" t="s">
        <v>33</v>
      </c>
    </row>
    <row r="394" spans="1:27" ht="48" hidden="1" x14ac:dyDescent="0.25">
      <c r="B394" s="136">
        <v>1109316</v>
      </c>
      <c r="C394" s="127" t="s">
        <v>30</v>
      </c>
      <c r="D394" s="128" t="s">
        <v>2151</v>
      </c>
      <c r="E394" s="147" t="s">
        <v>146</v>
      </c>
      <c r="F394" s="129" t="s">
        <v>2152</v>
      </c>
      <c r="G394" s="147" t="s">
        <v>34</v>
      </c>
      <c r="H394" s="189">
        <f t="shared" si="6"/>
        <v>0.67</v>
      </c>
      <c r="I394" s="210"/>
      <c r="J394" s="146"/>
      <c r="K394" s="147">
        <v>11</v>
      </c>
      <c r="L394" s="147">
        <v>1</v>
      </c>
      <c r="M394" s="147">
        <v>12</v>
      </c>
      <c r="N394" s="275">
        <v>25000</v>
      </c>
      <c r="O394" s="193"/>
      <c r="P394" s="179">
        <v>45840</v>
      </c>
      <c r="Q394" s="173">
        <v>0.62</v>
      </c>
      <c r="R394" s="271">
        <v>0.05</v>
      </c>
      <c r="S394" s="147"/>
      <c r="T394" s="129" t="s">
        <v>1711</v>
      </c>
      <c r="U394" s="147" t="s">
        <v>37</v>
      </c>
      <c r="V394" s="129"/>
      <c r="W394" s="176" t="s">
        <v>54</v>
      </c>
      <c r="X394" s="205"/>
      <c r="Y394" s="251"/>
      <c r="Z394" s="290"/>
      <c r="AA394" s="230"/>
    </row>
    <row r="395" spans="1:27" s="181" customFormat="1" ht="23.4" hidden="1" customHeight="1" x14ac:dyDescent="0.25">
      <c r="A395" s="131"/>
      <c r="B395" s="136">
        <v>1109317</v>
      </c>
      <c r="C395" s="128" t="s">
        <v>30</v>
      </c>
      <c r="D395" s="128" t="s">
        <v>2677</v>
      </c>
      <c r="E395" s="147" t="s">
        <v>32</v>
      </c>
      <c r="F395" s="129" t="s">
        <v>2394</v>
      </c>
      <c r="G395" s="147" t="s">
        <v>34</v>
      </c>
      <c r="H395" s="189">
        <f t="shared" si="6"/>
        <v>4.0415494874353621</v>
      </c>
      <c r="I395" s="210" t="s">
        <v>2245</v>
      </c>
      <c r="J395" s="146">
        <v>30</v>
      </c>
      <c r="K395" s="147">
        <v>11</v>
      </c>
      <c r="L395" s="147">
        <v>1</v>
      </c>
      <c r="M395" s="147">
        <v>12</v>
      </c>
      <c r="N395" s="275">
        <f>1770*2.2046</f>
        <v>3902.1420000000003</v>
      </c>
      <c r="O395" s="173">
        <v>6.8674589494692917</v>
      </c>
      <c r="P395" s="179">
        <v>45957</v>
      </c>
      <c r="Q395" s="173">
        <f>8.91/2.2046</f>
        <v>4.0415494874353621</v>
      </c>
      <c r="R395" s="271">
        <v>0</v>
      </c>
      <c r="S395" s="147"/>
      <c r="T395" s="129" t="s">
        <v>2089</v>
      </c>
      <c r="U395" s="147" t="s">
        <v>37</v>
      </c>
      <c r="V395" s="129"/>
      <c r="W395" s="147" t="s">
        <v>2209</v>
      </c>
      <c r="X395" s="205" t="s">
        <v>1009</v>
      </c>
      <c r="Y395" s="251"/>
      <c r="Z395" s="290"/>
      <c r="AA395" s="286"/>
    </row>
    <row r="396" spans="1:27" ht="36" hidden="1" x14ac:dyDescent="0.25">
      <c r="B396" s="136">
        <v>1109318</v>
      </c>
      <c r="C396" s="128" t="s">
        <v>30</v>
      </c>
      <c r="D396" s="128" t="s">
        <v>2160</v>
      </c>
      <c r="E396" s="147" t="s">
        <v>259</v>
      </c>
      <c r="F396" s="129" t="s">
        <v>2089</v>
      </c>
      <c r="G396" s="147" t="s">
        <v>34</v>
      </c>
      <c r="H396" s="189">
        <f t="shared" si="6"/>
        <v>3.7223714052435817</v>
      </c>
      <c r="I396" s="210" t="s">
        <v>2246</v>
      </c>
      <c r="J396" s="146">
        <v>90</v>
      </c>
      <c r="K396" s="147">
        <v>11</v>
      </c>
      <c r="L396" s="147">
        <v>1</v>
      </c>
      <c r="M396" s="147">
        <v>12</v>
      </c>
      <c r="N396" s="275">
        <v>1653.427954</v>
      </c>
      <c r="O396" s="193"/>
      <c r="P396" s="179">
        <v>45860</v>
      </c>
      <c r="Q396" s="173">
        <v>3.7223714052435817</v>
      </c>
      <c r="R396" s="271">
        <v>0</v>
      </c>
      <c r="S396" s="147"/>
      <c r="T396" s="129" t="s">
        <v>2089</v>
      </c>
      <c r="U396" s="147" t="s">
        <v>37</v>
      </c>
      <c r="V396" s="129"/>
      <c r="W396" s="147" t="s">
        <v>2209</v>
      </c>
      <c r="X396" s="205" t="s">
        <v>1009</v>
      </c>
      <c r="Y396" s="205"/>
      <c r="Z396" s="290"/>
      <c r="AA396" s="286"/>
    </row>
    <row r="397" spans="1:27" ht="36" x14ac:dyDescent="0.25">
      <c r="B397" s="136">
        <v>1109319</v>
      </c>
      <c r="C397" s="128" t="s">
        <v>30</v>
      </c>
      <c r="D397" s="128" t="s">
        <v>2668</v>
      </c>
      <c r="E397" s="147" t="s">
        <v>32</v>
      </c>
      <c r="F397" s="129" t="s">
        <v>2350</v>
      </c>
      <c r="G397" s="147" t="s">
        <v>34</v>
      </c>
      <c r="H397" s="189">
        <f t="shared" si="6"/>
        <v>4.78</v>
      </c>
      <c r="I397" s="210" t="s">
        <v>2247</v>
      </c>
      <c r="J397" s="146">
        <v>30</v>
      </c>
      <c r="K397" s="147">
        <v>11</v>
      </c>
      <c r="L397" s="147">
        <v>1</v>
      </c>
      <c r="M397" s="147">
        <v>12</v>
      </c>
      <c r="N397" s="275">
        <f>1360*2.2046</f>
        <v>2998.2560000000003</v>
      </c>
      <c r="O397" s="173">
        <f>10.47/2.2046</f>
        <v>4.7491608455048535</v>
      </c>
      <c r="P397" s="179">
        <v>45946</v>
      </c>
      <c r="Q397" s="173">
        <v>4.78</v>
      </c>
      <c r="R397" s="271">
        <v>0</v>
      </c>
      <c r="S397" s="147"/>
      <c r="T397" s="129" t="s">
        <v>2089</v>
      </c>
      <c r="U397" s="147" t="s">
        <v>37</v>
      </c>
      <c r="V397" s="129"/>
      <c r="W397" s="147" t="s">
        <v>2208</v>
      </c>
      <c r="X397" s="207" t="s">
        <v>1009</v>
      </c>
      <c r="Y397" s="205"/>
      <c r="Z397" s="290"/>
      <c r="AA397" s="286" t="s">
        <v>33</v>
      </c>
    </row>
    <row r="398" spans="1:27" ht="48" x14ac:dyDescent="0.25">
      <c r="B398" s="136">
        <v>1109320</v>
      </c>
      <c r="C398" s="128" t="s">
        <v>30</v>
      </c>
      <c r="D398" s="128" t="s">
        <v>2165</v>
      </c>
      <c r="E398" s="147" t="s">
        <v>66</v>
      </c>
      <c r="F398" s="129" t="s">
        <v>2357</v>
      </c>
      <c r="G398" s="147" t="s">
        <v>34</v>
      </c>
      <c r="H398" s="189">
        <f t="shared" si="6"/>
        <v>6.5202150049895673</v>
      </c>
      <c r="I398" s="210" t="s">
        <v>2360</v>
      </c>
      <c r="J398" s="146">
        <v>30</v>
      </c>
      <c r="K398" s="147">
        <v>8</v>
      </c>
      <c r="L398" s="147">
        <v>1</v>
      </c>
      <c r="M398" s="147">
        <v>9</v>
      </c>
      <c r="N398" s="275">
        <f>1000*2.2046</f>
        <v>2204.6</v>
      </c>
      <c r="O398" s="173">
        <v>3.8018824276512744</v>
      </c>
      <c r="P398" s="179">
        <v>45860</v>
      </c>
      <c r="Q398" s="173">
        <f>8.4/2.2046</f>
        <v>3.8102150049895673</v>
      </c>
      <c r="R398" s="271">
        <f>2.66+0.05</f>
        <v>2.71</v>
      </c>
      <c r="S398" s="147"/>
      <c r="T398" s="129" t="s">
        <v>2089</v>
      </c>
      <c r="U398" s="147" t="s">
        <v>37</v>
      </c>
      <c r="V398" s="129"/>
      <c r="W398" s="147" t="s">
        <v>2208</v>
      </c>
      <c r="X398" s="207" t="s">
        <v>2508</v>
      </c>
      <c r="Y398" s="205"/>
      <c r="Z398" s="290"/>
      <c r="AA398" s="286" t="s">
        <v>2692</v>
      </c>
    </row>
    <row r="399" spans="1:27" ht="24" x14ac:dyDescent="0.25">
      <c r="B399" s="136">
        <v>1109321</v>
      </c>
      <c r="C399" s="128" t="s">
        <v>30</v>
      </c>
      <c r="D399" s="128" t="s">
        <v>2161</v>
      </c>
      <c r="E399" s="147" t="s">
        <v>259</v>
      </c>
      <c r="F399" s="129" t="s">
        <v>1836</v>
      </c>
      <c r="G399" s="147" t="s">
        <v>34</v>
      </c>
      <c r="H399" s="189">
        <f t="shared" si="6"/>
        <v>7.4195900000000004</v>
      </c>
      <c r="I399" s="210" t="s">
        <v>2518</v>
      </c>
      <c r="J399" s="146">
        <v>0</v>
      </c>
      <c r="K399" s="147">
        <v>11</v>
      </c>
      <c r="L399" s="147">
        <v>1</v>
      </c>
      <c r="M399" s="147">
        <v>12</v>
      </c>
      <c r="N399" s="275">
        <f>680*2.2046</f>
        <v>1499.1280000000002</v>
      </c>
      <c r="O399" s="173">
        <v>7.24</v>
      </c>
      <c r="P399" s="179">
        <v>46128</v>
      </c>
      <c r="Q399" s="173">
        <f>7.24+0.05</f>
        <v>7.29</v>
      </c>
      <c r="R399" s="271">
        <f>0.07959+0.05</f>
        <v>0.12958999999999998</v>
      </c>
      <c r="S399" s="147"/>
      <c r="T399" s="129" t="s">
        <v>2089</v>
      </c>
      <c r="U399" s="147" t="s">
        <v>37</v>
      </c>
      <c r="V399" s="129"/>
      <c r="W399" s="147" t="s">
        <v>2208</v>
      </c>
      <c r="X399" s="205" t="s">
        <v>1009</v>
      </c>
      <c r="Y399" s="205"/>
      <c r="Z399" s="290"/>
      <c r="AA399" s="286" t="s">
        <v>33</v>
      </c>
    </row>
    <row r="400" spans="1:27" ht="36" x14ac:dyDescent="0.25">
      <c r="B400" s="136">
        <v>1109322</v>
      </c>
      <c r="C400" s="128" t="s">
        <v>30</v>
      </c>
      <c r="D400" s="128" t="s">
        <v>2673</v>
      </c>
      <c r="E400" s="147" t="s">
        <v>32</v>
      </c>
      <c r="F400" s="129" t="s">
        <v>2089</v>
      </c>
      <c r="G400" s="147" t="s">
        <v>34</v>
      </c>
      <c r="H400" s="189">
        <f t="shared" si="6"/>
        <v>1.709788623786628</v>
      </c>
      <c r="I400" s="210" t="s">
        <v>2248</v>
      </c>
      <c r="J400" s="146">
        <v>90</v>
      </c>
      <c r="K400" s="147">
        <v>11</v>
      </c>
      <c r="L400" s="147">
        <v>1</v>
      </c>
      <c r="M400" s="147">
        <v>12</v>
      </c>
      <c r="N400" s="275">
        <v>0.87963540000000007</v>
      </c>
      <c r="O400" s="193"/>
      <c r="P400" s="179">
        <v>45860</v>
      </c>
      <c r="Q400" s="173">
        <v>1.709788623786628</v>
      </c>
      <c r="R400" s="271">
        <v>0</v>
      </c>
      <c r="S400" s="147"/>
      <c r="T400" s="129" t="s">
        <v>2089</v>
      </c>
      <c r="U400" s="147" t="s">
        <v>37</v>
      </c>
      <c r="V400" s="129"/>
      <c r="W400" s="147" t="s">
        <v>2208</v>
      </c>
      <c r="X400" s="205" t="s">
        <v>1009</v>
      </c>
      <c r="Y400" s="205"/>
      <c r="Z400" s="290"/>
      <c r="AA400" s="286" t="s">
        <v>33</v>
      </c>
    </row>
    <row r="401" spans="1:27 16382:16382" ht="36" x14ac:dyDescent="0.25">
      <c r="B401" s="136">
        <v>1109323</v>
      </c>
      <c r="C401" s="128" t="s">
        <v>30</v>
      </c>
      <c r="D401" s="128" t="s">
        <v>2164</v>
      </c>
      <c r="E401" s="147" t="s">
        <v>32</v>
      </c>
      <c r="F401" s="129" t="s">
        <v>2089</v>
      </c>
      <c r="G401" s="147" t="s">
        <v>34</v>
      </c>
      <c r="H401" s="189">
        <f t="shared" si="6"/>
        <v>4.372675315249932</v>
      </c>
      <c r="I401" s="210" t="s">
        <v>2249</v>
      </c>
      <c r="J401" s="146">
        <v>90</v>
      </c>
      <c r="K401" s="147">
        <v>11</v>
      </c>
      <c r="L401" s="147">
        <v>1</v>
      </c>
      <c r="M401" s="147">
        <v>12</v>
      </c>
      <c r="N401" s="275">
        <f>320*2.2046</f>
        <v>705.47199999999998</v>
      </c>
      <c r="O401" s="193"/>
      <c r="P401" s="179">
        <v>45966</v>
      </c>
      <c r="Q401" s="173">
        <f>9.64/2.2046</f>
        <v>4.372675315249932</v>
      </c>
      <c r="R401" s="271">
        <v>0</v>
      </c>
      <c r="S401" s="147"/>
      <c r="T401" s="129" t="s">
        <v>2089</v>
      </c>
      <c r="U401" s="147" t="s">
        <v>37</v>
      </c>
      <c r="V401" s="129"/>
      <c r="W401" s="147" t="s">
        <v>2208</v>
      </c>
      <c r="X401" s="205" t="s">
        <v>1009</v>
      </c>
      <c r="Y401" s="205"/>
      <c r="Z401" s="290"/>
      <c r="AA401" s="286" t="s">
        <v>33</v>
      </c>
    </row>
    <row r="402" spans="1:27 16382:16382" ht="36" x14ac:dyDescent="0.25">
      <c r="B402" s="136">
        <v>1109324</v>
      </c>
      <c r="C402" s="128" t="s">
        <v>30</v>
      </c>
      <c r="D402" s="128" t="s">
        <v>2550</v>
      </c>
      <c r="E402" s="147" t="s">
        <v>2193</v>
      </c>
      <c r="F402" s="129" t="s">
        <v>1503</v>
      </c>
      <c r="G402" s="147" t="s">
        <v>34</v>
      </c>
      <c r="H402" s="189">
        <f t="shared" si="6"/>
        <v>14.950000000000001</v>
      </c>
      <c r="I402" s="210" t="s">
        <v>2250</v>
      </c>
      <c r="J402" s="146">
        <v>90</v>
      </c>
      <c r="K402" s="147">
        <v>9</v>
      </c>
      <c r="L402" s="147">
        <v>1</v>
      </c>
      <c r="M402" s="147">
        <v>10</v>
      </c>
      <c r="N402" s="275">
        <v>2200</v>
      </c>
      <c r="O402" s="173">
        <v>18.017155039462939</v>
      </c>
      <c r="P402" s="179">
        <v>46065</v>
      </c>
      <c r="Q402" s="173">
        <v>14.9</v>
      </c>
      <c r="R402" s="260">
        <v>0.05</v>
      </c>
      <c r="S402" s="147"/>
      <c r="T402" s="129" t="s">
        <v>2089</v>
      </c>
      <c r="U402" s="147" t="s">
        <v>37</v>
      </c>
      <c r="V402" s="129"/>
      <c r="W402" s="147" t="s">
        <v>2208</v>
      </c>
      <c r="X402" s="205" t="s">
        <v>1009</v>
      </c>
      <c r="Y402" s="205"/>
      <c r="Z402" s="290"/>
      <c r="AA402" s="286" t="s">
        <v>2707</v>
      </c>
    </row>
    <row r="403" spans="1:27 16382:16382" ht="36" x14ac:dyDescent="0.25">
      <c r="B403" s="136">
        <v>1109325</v>
      </c>
      <c r="C403" s="128" t="s">
        <v>30</v>
      </c>
      <c r="D403" s="128" t="s">
        <v>2162</v>
      </c>
      <c r="E403" s="147" t="s">
        <v>259</v>
      </c>
      <c r="F403" s="129" t="s">
        <v>2089</v>
      </c>
      <c r="G403" s="147" t="s">
        <v>34</v>
      </c>
      <c r="H403" s="189">
        <f t="shared" si="6"/>
        <v>5.040066225165563</v>
      </c>
      <c r="I403" s="210" t="s">
        <v>2251</v>
      </c>
      <c r="J403" s="146">
        <v>90</v>
      </c>
      <c r="K403" s="147">
        <v>11</v>
      </c>
      <c r="L403" s="147">
        <v>1</v>
      </c>
      <c r="M403" s="147">
        <v>12</v>
      </c>
      <c r="N403" s="275">
        <v>284.39340000000004</v>
      </c>
      <c r="O403" s="193"/>
      <c r="P403" s="179">
        <v>45860</v>
      </c>
      <c r="Q403" s="173">
        <v>5.040066225165563</v>
      </c>
      <c r="R403" s="271">
        <v>0</v>
      </c>
      <c r="S403" s="147"/>
      <c r="T403" s="129" t="s">
        <v>2089</v>
      </c>
      <c r="U403" s="147" t="s">
        <v>37</v>
      </c>
      <c r="V403" s="129"/>
      <c r="W403" s="147" t="s">
        <v>2208</v>
      </c>
      <c r="X403" s="205" t="s">
        <v>1009</v>
      </c>
      <c r="Y403" s="205"/>
      <c r="Z403" s="290"/>
      <c r="AA403" s="286" t="s">
        <v>33</v>
      </c>
    </row>
    <row r="404" spans="1:27 16382:16382" ht="24" x14ac:dyDescent="0.25">
      <c r="B404" s="136">
        <v>1109326</v>
      </c>
      <c r="C404" s="128" t="s">
        <v>30</v>
      </c>
      <c r="D404" s="128" t="s">
        <v>2163</v>
      </c>
      <c r="E404" s="147" t="s">
        <v>80</v>
      </c>
      <c r="F404" s="129" t="s">
        <v>1791</v>
      </c>
      <c r="G404" s="147" t="s">
        <v>34</v>
      </c>
      <c r="H404" s="189">
        <f t="shared" si="6"/>
        <v>4.2</v>
      </c>
      <c r="I404" s="210" t="s">
        <v>2415</v>
      </c>
      <c r="J404" s="146">
        <v>30</v>
      </c>
      <c r="K404" s="147">
        <v>9</v>
      </c>
      <c r="L404" s="147">
        <v>1</v>
      </c>
      <c r="M404" s="147">
        <v>10</v>
      </c>
      <c r="N404" s="275">
        <v>5400</v>
      </c>
      <c r="O404" s="173"/>
      <c r="P404" s="179">
        <v>45961</v>
      </c>
      <c r="Q404" s="173">
        <v>4.1500000000000004</v>
      </c>
      <c r="R404" s="271">
        <v>0.05</v>
      </c>
      <c r="S404" s="147"/>
      <c r="T404" s="129" t="s">
        <v>2089</v>
      </c>
      <c r="U404" s="147" t="s">
        <v>37</v>
      </c>
      <c r="V404" s="129"/>
      <c r="W404" s="147" t="s">
        <v>2208</v>
      </c>
      <c r="X404" s="205" t="s">
        <v>1009</v>
      </c>
      <c r="Y404" s="205"/>
      <c r="Z404" s="290"/>
      <c r="AA404" s="286" t="s">
        <v>2711</v>
      </c>
    </row>
    <row r="405" spans="1:27 16382:16382" ht="36" x14ac:dyDescent="0.25">
      <c r="B405" s="136">
        <v>1109327</v>
      </c>
      <c r="C405" s="128" t="s">
        <v>30</v>
      </c>
      <c r="D405" s="128" t="s">
        <v>2353</v>
      </c>
      <c r="E405" s="147" t="s">
        <v>32</v>
      </c>
      <c r="F405" s="129" t="s">
        <v>2350</v>
      </c>
      <c r="G405" s="147" t="s">
        <v>34</v>
      </c>
      <c r="H405" s="189">
        <f t="shared" si="6"/>
        <v>3.6</v>
      </c>
      <c r="I405" s="210" t="s">
        <v>2252</v>
      </c>
      <c r="J405" s="146">
        <v>30</v>
      </c>
      <c r="K405" s="147">
        <v>11</v>
      </c>
      <c r="L405" s="147">
        <v>1</v>
      </c>
      <c r="M405" s="147">
        <v>12</v>
      </c>
      <c r="N405" s="275">
        <v>4497</v>
      </c>
      <c r="O405" s="260">
        <f>3.51+0.05</f>
        <v>3.5599999999999996</v>
      </c>
      <c r="P405" s="179">
        <v>46127</v>
      </c>
      <c r="Q405" s="173">
        <v>3.6</v>
      </c>
      <c r="R405" s="271">
        <v>0</v>
      </c>
      <c r="S405" s="147"/>
      <c r="T405" s="129" t="s">
        <v>2089</v>
      </c>
      <c r="U405" s="147" t="s">
        <v>37</v>
      </c>
      <c r="V405" s="129"/>
      <c r="W405" s="147" t="s">
        <v>2208</v>
      </c>
      <c r="X405" s="205" t="s">
        <v>1009</v>
      </c>
      <c r="Y405" s="205"/>
      <c r="Z405" s="290"/>
      <c r="AA405" s="286" t="s">
        <v>33</v>
      </c>
    </row>
    <row r="406" spans="1:27 16382:16382" ht="36" x14ac:dyDescent="0.25">
      <c r="A406" s="258"/>
      <c r="B406" s="136">
        <v>1109328</v>
      </c>
      <c r="C406" s="128" t="s">
        <v>30</v>
      </c>
      <c r="D406" s="136" t="s">
        <v>2178</v>
      </c>
      <c r="E406" s="147" t="s">
        <v>32</v>
      </c>
      <c r="F406" s="129" t="s">
        <v>2089</v>
      </c>
      <c r="G406" s="147" t="s">
        <v>34</v>
      </c>
      <c r="H406" s="189">
        <f t="shared" si="6"/>
        <v>4.3499954640297558</v>
      </c>
      <c r="I406" s="210" t="s">
        <v>2253</v>
      </c>
      <c r="J406" s="146">
        <v>90</v>
      </c>
      <c r="K406" s="147">
        <v>11</v>
      </c>
      <c r="L406" s="147">
        <v>1</v>
      </c>
      <c r="M406" s="147">
        <v>12</v>
      </c>
      <c r="N406" s="268">
        <v>33.069000000000003</v>
      </c>
      <c r="O406" s="179"/>
      <c r="P406" s="270">
        <v>45943</v>
      </c>
      <c r="Q406" s="271">
        <f>9.59/2.2046</f>
        <v>4.3499954640297558</v>
      </c>
      <c r="R406" s="271">
        <v>0</v>
      </c>
      <c r="S406" s="129"/>
      <c r="T406" s="129" t="s">
        <v>2089</v>
      </c>
      <c r="U406" s="147" t="s">
        <v>37</v>
      </c>
      <c r="V406" s="147"/>
      <c r="W406" s="147" t="s">
        <v>2208</v>
      </c>
      <c r="X406" s="205" t="s">
        <v>1009</v>
      </c>
      <c r="Y406" s="205"/>
      <c r="Z406" s="290"/>
      <c r="AA406" s="286" t="s">
        <v>33</v>
      </c>
      <c r="XFB406" s="259"/>
    </row>
    <row r="407" spans="1:27 16382:16382" ht="24" x14ac:dyDescent="0.25">
      <c r="A407" s="258"/>
      <c r="B407" s="136">
        <v>1109329</v>
      </c>
      <c r="C407" s="128" t="s">
        <v>30</v>
      </c>
      <c r="D407" s="136" t="s">
        <v>2297</v>
      </c>
      <c r="E407" s="147" t="s">
        <v>131</v>
      </c>
      <c r="F407" s="129" t="s">
        <v>1791</v>
      </c>
      <c r="G407" s="147" t="s">
        <v>34</v>
      </c>
      <c r="H407" s="189">
        <f t="shared" si="6"/>
        <v>4.9737205081669691</v>
      </c>
      <c r="I407" s="210" t="s">
        <v>2300</v>
      </c>
      <c r="J407" s="146">
        <v>30</v>
      </c>
      <c r="K407" s="147">
        <v>9</v>
      </c>
      <c r="L407" s="147">
        <v>1</v>
      </c>
      <c r="M407" s="178">
        <v>10</v>
      </c>
      <c r="N407" s="275">
        <v>551</v>
      </c>
      <c r="O407" s="200">
        <v>4.4588587498866001</v>
      </c>
      <c r="P407" s="179">
        <v>45911</v>
      </c>
      <c r="Q407" s="200">
        <v>4.47</v>
      </c>
      <c r="R407" s="271">
        <f>0.453720508166969+0.05</f>
        <v>0.50372050816696901</v>
      </c>
      <c r="S407" s="129"/>
      <c r="T407" s="129" t="s">
        <v>2089</v>
      </c>
      <c r="U407" s="147" t="s">
        <v>37</v>
      </c>
      <c r="V407" s="147"/>
      <c r="W407" s="147" t="s">
        <v>2208</v>
      </c>
      <c r="X407" s="205" t="s">
        <v>1009</v>
      </c>
      <c r="Y407" s="205"/>
      <c r="Z407" s="290"/>
      <c r="AA407" s="286" t="s">
        <v>2687</v>
      </c>
      <c r="XFB407" s="259"/>
    </row>
    <row r="408" spans="1:27 16382:16382" ht="24" x14ac:dyDescent="0.25">
      <c r="B408" s="158">
        <v>1109330</v>
      </c>
      <c r="C408" s="128" t="s">
        <v>30</v>
      </c>
      <c r="D408" s="128" t="s">
        <v>2401</v>
      </c>
      <c r="E408" s="147" t="s">
        <v>2337</v>
      </c>
      <c r="F408" s="129" t="s">
        <v>307</v>
      </c>
      <c r="G408" s="147" t="s">
        <v>2270</v>
      </c>
      <c r="H408" s="189">
        <f t="shared" si="6"/>
        <v>1.2150000000000001</v>
      </c>
      <c r="I408" s="129" t="s">
        <v>2082</v>
      </c>
      <c r="J408" s="146"/>
      <c r="K408" s="147">
        <v>11</v>
      </c>
      <c r="L408" s="147">
        <v>1</v>
      </c>
      <c r="M408" s="147">
        <v>12</v>
      </c>
      <c r="N408" s="275">
        <v>1500</v>
      </c>
      <c r="O408" s="193">
        <f>2.05+0.21</f>
        <v>2.2599999999999998</v>
      </c>
      <c r="P408" s="179">
        <v>46041</v>
      </c>
      <c r="Q408" s="173">
        <v>1.165</v>
      </c>
      <c r="R408" s="271">
        <v>0.05</v>
      </c>
      <c r="S408" s="147"/>
      <c r="T408" s="129" t="s">
        <v>358</v>
      </c>
      <c r="U408" s="147" t="s">
        <v>37</v>
      </c>
      <c r="V408" s="129"/>
      <c r="W408" s="147" t="s">
        <v>2208</v>
      </c>
      <c r="X408" s="205" t="s">
        <v>1009</v>
      </c>
      <c r="Y408" s="251"/>
      <c r="Z408" s="290"/>
      <c r="AA408" s="286" t="s">
        <v>2703</v>
      </c>
    </row>
    <row r="409" spans="1:27 16382:16382" ht="36" x14ac:dyDescent="0.25">
      <c r="A409" s="258"/>
      <c r="B409" s="136">
        <v>1109331</v>
      </c>
      <c r="C409" s="128" t="s">
        <v>30</v>
      </c>
      <c r="D409" s="136" t="s">
        <v>2416</v>
      </c>
      <c r="E409" s="147" t="s">
        <v>843</v>
      </c>
      <c r="F409" s="129" t="s">
        <v>1791</v>
      </c>
      <c r="G409" s="147" t="s">
        <v>34</v>
      </c>
      <c r="H409" s="189">
        <f t="shared" si="6"/>
        <v>8.8600000000000012</v>
      </c>
      <c r="I409" s="136" t="s">
        <v>2417</v>
      </c>
      <c r="J409" s="146">
        <v>30</v>
      </c>
      <c r="K409" s="147">
        <v>9</v>
      </c>
      <c r="L409" s="147">
        <v>1</v>
      </c>
      <c r="M409" s="147">
        <v>10</v>
      </c>
      <c r="N409" s="268">
        <v>550</v>
      </c>
      <c r="O409" s="200">
        <v>9.5164655719858473</v>
      </c>
      <c r="P409" s="179">
        <v>45961</v>
      </c>
      <c r="Q409" s="271">
        <v>8.81</v>
      </c>
      <c r="R409" s="269">
        <v>0.05</v>
      </c>
      <c r="S409" s="129"/>
      <c r="T409" s="129" t="s">
        <v>2089</v>
      </c>
      <c r="U409" s="147" t="s">
        <v>37</v>
      </c>
      <c r="V409" s="147"/>
      <c r="W409" s="147" t="s">
        <v>2208</v>
      </c>
      <c r="X409" s="205" t="s">
        <v>1009</v>
      </c>
      <c r="Y409" s="205"/>
      <c r="Z409" s="290"/>
      <c r="AA409" s="286" t="s">
        <v>2712</v>
      </c>
      <c r="XFB409" s="259"/>
    </row>
    <row r="410" spans="1:27 16382:16382" ht="24" x14ac:dyDescent="0.25">
      <c r="B410" s="136">
        <v>1109332</v>
      </c>
      <c r="C410" s="128" t="s">
        <v>30</v>
      </c>
      <c r="D410" s="128" t="s">
        <v>2326</v>
      </c>
      <c r="E410" s="147" t="s">
        <v>259</v>
      </c>
      <c r="F410" s="129" t="s">
        <v>2013</v>
      </c>
      <c r="G410" s="147" t="s">
        <v>34</v>
      </c>
      <c r="H410" s="189">
        <f t="shared" si="6"/>
        <v>3.4099999999999997</v>
      </c>
      <c r="I410" s="136" t="s">
        <v>2325</v>
      </c>
      <c r="J410" s="146">
        <v>0</v>
      </c>
      <c r="K410" s="147">
        <v>9</v>
      </c>
      <c r="L410" s="147">
        <v>1</v>
      </c>
      <c r="M410" s="147">
        <v>10</v>
      </c>
      <c r="N410" s="275">
        <v>9924</v>
      </c>
      <c r="O410" s="193">
        <v>4.2728839698811569</v>
      </c>
      <c r="P410" s="179">
        <v>46170</v>
      </c>
      <c r="Q410" s="173">
        <v>3.36</v>
      </c>
      <c r="R410" s="271">
        <v>0.05</v>
      </c>
      <c r="S410" s="147"/>
      <c r="T410" s="129" t="s">
        <v>2089</v>
      </c>
      <c r="U410" s="147" t="s">
        <v>37</v>
      </c>
      <c r="V410" s="129"/>
      <c r="W410" s="147" t="s">
        <v>2208</v>
      </c>
      <c r="X410" s="207" t="s">
        <v>1009</v>
      </c>
      <c r="Y410" s="251"/>
      <c r="Z410" s="290"/>
      <c r="AA410" s="286" t="s">
        <v>2692</v>
      </c>
    </row>
    <row r="411" spans="1:27 16382:16382" ht="24" x14ac:dyDescent="0.25">
      <c r="B411" s="136">
        <v>1109333</v>
      </c>
      <c r="C411" s="128" t="s">
        <v>30</v>
      </c>
      <c r="D411" s="128" t="s">
        <v>2399</v>
      </c>
      <c r="E411" s="147" t="s">
        <v>32</v>
      </c>
      <c r="F411" s="129" t="s">
        <v>323</v>
      </c>
      <c r="G411" s="147" t="s">
        <v>34</v>
      </c>
      <c r="H411" s="189">
        <f t="shared" si="6"/>
        <v>5.38</v>
      </c>
      <c r="I411" s="136" t="s">
        <v>2352</v>
      </c>
      <c r="J411" s="146">
        <v>0</v>
      </c>
      <c r="K411" s="147">
        <v>9</v>
      </c>
      <c r="L411" s="147">
        <v>1</v>
      </c>
      <c r="M411" s="147">
        <v>10</v>
      </c>
      <c r="N411" s="275">
        <v>4497</v>
      </c>
      <c r="O411" s="173">
        <f>11.85/2.2046</f>
        <v>5.375124739181711</v>
      </c>
      <c r="P411" s="179">
        <v>45946</v>
      </c>
      <c r="Q411" s="173">
        <v>5.33</v>
      </c>
      <c r="R411" s="271">
        <v>0.05</v>
      </c>
      <c r="S411" s="147"/>
      <c r="T411" s="129" t="s">
        <v>2089</v>
      </c>
      <c r="U411" s="147" t="s">
        <v>37</v>
      </c>
      <c r="V411" s="129"/>
      <c r="W411" s="147" t="s">
        <v>2208</v>
      </c>
      <c r="X411" s="205" t="s">
        <v>1009</v>
      </c>
      <c r="Y411" s="251"/>
      <c r="Z411" s="290"/>
      <c r="AA411" s="286" t="s">
        <v>33</v>
      </c>
    </row>
    <row r="412" spans="1:27 16382:16382" ht="36" x14ac:dyDescent="0.25">
      <c r="B412" s="136">
        <v>1109334</v>
      </c>
      <c r="C412" s="128" t="s">
        <v>30</v>
      </c>
      <c r="D412" s="128" t="s">
        <v>2674</v>
      </c>
      <c r="E412" s="147" t="s">
        <v>32</v>
      </c>
      <c r="F412" s="129" t="s">
        <v>2350</v>
      </c>
      <c r="G412" s="147" t="s">
        <v>34</v>
      </c>
      <c r="H412" s="189">
        <f t="shared" si="6"/>
        <v>9.906559012972874</v>
      </c>
      <c r="I412" s="136" t="s">
        <v>2254</v>
      </c>
      <c r="J412" s="146">
        <v>30</v>
      </c>
      <c r="K412" s="147">
        <v>11</v>
      </c>
      <c r="L412" s="147">
        <v>1</v>
      </c>
      <c r="M412" s="147">
        <v>12</v>
      </c>
      <c r="N412" s="275">
        <f>250*2.2046</f>
        <v>551.15</v>
      </c>
      <c r="O412" s="173">
        <f>4.86/2.2046</f>
        <v>2.2044815386011067</v>
      </c>
      <c r="P412" s="179">
        <v>46002</v>
      </c>
      <c r="Q412" s="173">
        <f>21.84/2.2046</f>
        <v>9.906559012972874</v>
      </c>
      <c r="R412" s="271">
        <v>0</v>
      </c>
      <c r="S412" s="147"/>
      <c r="T412" s="129" t="s">
        <v>2089</v>
      </c>
      <c r="U412" s="147" t="s">
        <v>37</v>
      </c>
      <c r="V412" s="129"/>
      <c r="W412" s="147" t="s">
        <v>2208</v>
      </c>
      <c r="X412" s="207" t="s">
        <v>1009</v>
      </c>
      <c r="Y412" s="251"/>
      <c r="Z412" s="290"/>
      <c r="AA412" s="286" t="s">
        <v>33</v>
      </c>
    </row>
    <row r="413" spans="1:27 16382:16382" ht="24" x14ac:dyDescent="0.25">
      <c r="B413" s="136">
        <v>1109335</v>
      </c>
      <c r="C413" s="128" t="s">
        <v>30</v>
      </c>
      <c r="D413" s="128" t="s">
        <v>2269</v>
      </c>
      <c r="E413" s="147" t="s">
        <v>2194</v>
      </c>
      <c r="F413" s="129" t="s">
        <v>1791</v>
      </c>
      <c r="G413" s="147" t="s">
        <v>34</v>
      </c>
      <c r="H413" s="189">
        <f t="shared" si="6"/>
        <v>7.4799999999999995</v>
      </c>
      <c r="I413" s="136" t="s">
        <v>2413</v>
      </c>
      <c r="J413" s="146">
        <v>30</v>
      </c>
      <c r="K413" s="147">
        <v>9</v>
      </c>
      <c r="L413" s="147">
        <v>1</v>
      </c>
      <c r="M413" s="147">
        <v>10</v>
      </c>
      <c r="N413" s="275">
        <v>55</v>
      </c>
      <c r="O413" s="173">
        <v>9.493785720765672</v>
      </c>
      <c r="P413" s="179">
        <v>45961</v>
      </c>
      <c r="Q413" s="173">
        <v>7.43</v>
      </c>
      <c r="R413" s="271">
        <v>0.05</v>
      </c>
      <c r="S413" s="147"/>
      <c r="T413" s="129" t="s">
        <v>2089</v>
      </c>
      <c r="U413" s="147" t="s">
        <v>37</v>
      </c>
      <c r="V413" s="129"/>
      <c r="W413" s="147" t="s">
        <v>2208</v>
      </c>
      <c r="X413" s="205" t="s">
        <v>1009</v>
      </c>
      <c r="Y413" s="251"/>
      <c r="Z413" s="290"/>
      <c r="AA413" s="286" t="s">
        <v>2688</v>
      </c>
    </row>
    <row r="414" spans="1:27 16382:16382" ht="36" hidden="1" x14ac:dyDescent="0.25">
      <c r="B414" s="136">
        <v>1109336</v>
      </c>
      <c r="C414" s="128" t="s">
        <v>30</v>
      </c>
      <c r="D414" s="128" t="s">
        <v>2393</v>
      </c>
      <c r="E414" s="147" t="s">
        <v>66</v>
      </c>
      <c r="F414" s="129" t="s">
        <v>2089</v>
      </c>
      <c r="G414" s="147" t="s">
        <v>34</v>
      </c>
      <c r="H414" s="189">
        <f t="shared" si="6"/>
        <v>3.3475460400979768</v>
      </c>
      <c r="I414" s="136" t="s">
        <v>2255</v>
      </c>
      <c r="J414" s="146">
        <v>90</v>
      </c>
      <c r="K414" s="147">
        <v>11</v>
      </c>
      <c r="L414" s="147">
        <v>1</v>
      </c>
      <c r="M414" s="147">
        <v>12</v>
      </c>
      <c r="N414" s="275">
        <f>15.9*2.2046</f>
        <v>35.053139999999999</v>
      </c>
      <c r="O414" s="193"/>
      <c r="P414" s="179">
        <v>45891</v>
      </c>
      <c r="Q414" s="173">
        <f>7.38/2.2046</f>
        <v>3.3475460400979768</v>
      </c>
      <c r="R414" s="271"/>
      <c r="S414" s="147"/>
      <c r="T414" s="129" t="s">
        <v>2089</v>
      </c>
      <c r="U414" s="147" t="s">
        <v>37</v>
      </c>
      <c r="V414" s="129"/>
      <c r="W414" s="147" t="s">
        <v>2209</v>
      </c>
      <c r="X414" s="205" t="s">
        <v>1009</v>
      </c>
      <c r="Y414" s="251"/>
      <c r="Z414" s="290"/>
      <c r="AA414" s="286"/>
    </row>
    <row r="415" spans="1:27 16382:16382" ht="36" x14ac:dyDescent="0.25">
      <c r="B415" s="136">
        <v>1109337</v>
      </c>
      <c r="C415" s="128" t="s">
        <v>30</v>
      </c>
      <c r="D415" s="128" t="s">
        <v>2267</v>
      </c>
      <c r="E415" s="147" t="s">
        <v>32</v>
      </c>
      <c r="F415" s="129" t="s">
        <v>2350</v>
      </c>
      <c r="G415" s="147" t="s">
        <v>34</v>
      </c>
      <c r="H415" s="189">
        <f t="shared" si="6"/>
        <v>4.1500000000000004</v>
      </c>
      <c r="I415" s="136" t="s">
        <v>2256</v>
      </c>
      <c r="J415" s="146">
        <v>30</v>
      </c>
      <c r="K415" s="147">
        <v>11</v>
      </c>
      <c r="L415" s="147">
        <v>1</v>
      </c>
      <c r="M415" s="147">
        <v>12</v>
      </c>
      <c r="N415" s="275">
        <f>2040*2.2046</f>
        <v>4497.384</v>
      </c>
      <c r="O415" s="173">
        <f>9/2.2046</f>
        <v>4.0823732196316787</v>
      </c>
      <c r="P415" s="179">
        <v>46112</v>
      </c>
      <c r="Q415" s="173">
        <v>4.1500000000000004</v>
      </c>
      <c r="R415" s="271">
        <v>0</v>
      </c>
      <c r="S415" s="147"/>
      <c r="T415" s="129" t="s">
        <v>2089</v>
      </c>
      <c r="U415" s="147" t="s">
        <v>37</v>
      </c>
      <c r="V415" s="129"/>
      <c r="W415" s="147" t="s">
        <v>2208</v>
      </c>
      <c r="X415" s="205" t="s">
        <v>1009</v>
      </c>
      <c r="Y415" s="251"/>
      <c r="Z415" s="290"/>
      <c r="AA415" s="286" t="s">
        <v>33</v>
      </c>
    </row>
    <row r="416" spans="1:27 16382:16382" ht="48" x14ac:dyDescent="0.25">
      <c r="B416" s="136">
        <v>1109338</v>
      </c>
      <c r="C416" s="128" t="s">
        <v>30</v>
      </c>
      <c r="D416" s="128" t="s">
        <v>2180</v>
      </c>
      <c r="E416" s="147" t="s">
        <v>843</v>
      </c>
      <c r="F416" s="129" t="s">
        <v>2089</v>
      </c>
      <c r="G416" s="147" t="s">
        <v>34</v>
      </c>
      <c r="H416" s="189">
        <f t="shared" si="6"/>
        <v>9.2034836251474186</v>
      </c>
      <c r="I416" s="136" t="s">
        <v>2268</v>
      </c>
      <c r="J416" s="146">
        <v>90</v>
      </c>
      <c r="K416" s="147">
        <v>6</v>
      </c>
      <c r="L416" s="147">
        <v>1</v>
      </c>
      <c r="M416" s="147">
        <v>7</v>
      </c>
      <c r="N416" s="275">
        <v>53.351320000000001</v>
      </c>
      <c r="O416" s="193"/>
      <c r="P416" s="179">
        <v>45875</v>
      </c>
      <c r="Q416" s="173">
        <v>9.2034836251474186</v>
      </c>
      <c r="R416" s="271">
        <v>0</v>
      </c>
      <c r="S416" s="147"/>
      <c r="T416" s="129" t="s">
        <v>2089</v>
      </c>
      <c r="U416" s="147" t="s">
        <v>37</v>
      </c>
      <c r="V416" s="129"/>
      <c r="W416" s="147" t="s">
        <v>2208</v>
      </c>
      <c r="X416" s="205" t="s">
        <v>1009</v>
      </c>
      <c r="Y416" s="251"/>
      <c r="Z416" s="290"/>
      <c r="AA416" s="286" t="s">
        <v>2706</v>
      </c>
    </row>
    <row r="417" spans="2:27" ht="24" x14ac:dyDescent="0.25">
      <c r="B417" s="136">
        <v>1109339</v>
      </c>
      <c r="C417" s="128" t="s">
        <v>30</v>
      </c>
      <c r="D417" s="128" t="s">
        <v>2719</v>
      </c>
      <c r="E417" s="147" t="s">
        <v>545</v>
      </c>
      <c r="F417" s="129" t="s">
        <v>276</v>
      </c>
      <c r="G417" s="147" t="s">
        <v>34</v>
      </c>
      <c r="H417" s="189">
        <f t="shared" si="6"/>
        <v>3.78</v>
      </c>
      <c r="I417" s="136" t="s">
        <v>2304</v>
      </c>
      <c r="J417" s="146">
        <v>90</v>
      </c>
      <c r="K417" s="147">
        <v>11</v>
      </c>
      <c r="L417" s="147">
        <v>1</v>
      </c>
      <c r="M417" s="147">
        <v>12</v>
      </c>
      <c r="N417" s="275">
        <v>110</v>
      </c>
      <c r="O417" s="173">
        <v>14.5</v>
      </c>
      <c r="P417" s="179">
        <v>46181</v>
      </c>
      <c r="Q417" s="173">
        <v>3.73</v>
      </c>
      <c r="R417" s="271">
        <v>0.05</v>
      </c>
      <c r="S417" s="147"/>
      <c r="T417" s="129" t="s">
        <v>2089</v>
      </c>
      <c r="U417" s="147" t="s">
        <v>37</v>
      </c>
      <c r="V417" s="129"/>
      <c r="W417" s="147" t="s">
        <v>2208</v>
      </c>
      <c r="X417" s="207" t="s">
        <v>1009</v>
      </c>
      <c r="Y417" s="251"/>
      <c r="Z417" s="290"/>
      <c r="AA417" s="286" t="s">
        <v>2699</v>
      </c>
    </row>
    <row r="418" spans="2:27" ht="48" x14ac:dyDescent="0.25">
      <c r="B418" s="136">
        <v>1109340</v>
      </c>
      <c r="C418" s="128" t="s">
        <v>30</v>
      </c>
      <c r="D418" s="128" t="s">
        <v>2181</v>
      </c>
      <c r="E418" s="147" t="s">
        <v>545</v>
      </c>
      <c r="F418" s="129" t="s">
        <v>2089</v>
      </c>
      <c r="G418" s="147" t="s">
        <v>34</v>
      </c>
      <c r="H418" s="189">
        <f t="shared" si="6"/>
        <v>8.4226163476367599</v>
      </c>
      <c r="I418" s="136" t="s">
        <v>2348</v>
      </c>
      <c r="J418" s="146">
        <v>90</v>
      </c>
      <c r="K418" s="147">
        <v>8</v>
      </c>
      <c r="L418" s="147">
        <v>2</v>
      </c>
      <c r="M418" s="147">
        <v>10</v>
      </c>
      <c r="N418" s="275">
        <f>25*2.2046</f>
        <v>55.115000000000002</v>
      </c>
      <c r="O418" s="193"/>
      <c r="P418" s="179">
        <v>45945</v>
      </c>
      <c r="Q418" s="173">
        <f>18.5685/2.2046</f>
        <v>8.4226163476367599</v>
      </c>
      <c r="R418" s="271">
        <v>0</v>
      </c>
      <c r="S418" s="147"/>
      <c r="T418" s="129" t="s">
        <v>2089</v>
      </c>
      <c r="U418" s="147" t="s">
        <v>37</v>
      </c>
      <c r="V418" s="129"/>
      <c r="W418" s="147" t="s">
        <v>2208</v>
      </c>
      <c r="X418" s="205" t="s">
        <v>1009</v>
      </c>
      <c r="Y418" s="251"/>
      <c r="Z418" s="290"/>
      <c r="AA418" s="286" t="s">
        <v>2689</v>
      </c>
    </row>
    <row r="419" spans="2:27" ht="36" x14ac:dyDescent="0.25">
      <c r="B419" s="136">
        <v>1109341</v>
      </c>
      <c r="C419" s="128" t="s">
        <v>30</v>
      </c>
      <c r="D419" s="128" t="s">
        <v>2669</v>
      </c>
      <c r="E419" s="147" t="s">
        <v>32</v>
      </c>
      <c r="F419" s="129" t="s">
        <v>2089</v>
      </c>
      <c r="G419" s="147" t="s">
        <v>34</v>
      </c>
      <c r="H419" s="189">
        <f t="shared" si="6"/>
        <v>7.8517644924249286</v>
      </c>
      <c r="I419" s="136" t="s">
        <v>2257</v>
      </c>
      <c r="J419" s="146">
        <v>90</v>
      </c>
      <c r="K419" s="147">
        <v>11</v>
      </c>
      <c r="L419" s="147">
        <v>1</v>
      </c>
      <c r="M419" s="147">
        <v>12</v>
      </c>
      <c r="N419" s="275">
        <f>625*2.2046</f>
        <v>1377.875</v>
      </c>
      <c r="O419" s="193"/>
      <c r="P419" s="179">
        <v>45891</v>
      </c>
      <c r="Q419" s="173">
        <f>17.31/2.2046</f>
        <v>7.8517644924249286</v>
      </c>
      <c r="R419" s="271">
        <v>0</v>
      </c>
      <c r="S419" s="147"/>
      <c r="T419" s="129" t="s">
        <v>2089</v>
      </c>
      <c r="U419" s="147" t="s">
        <v>37</v>
      </c>
      <c r="V419" s="129"/>
      <c r="W419" s="147" t="s">
        <v>2208</v>
      </c>
      <c r="X419" s="205" t="s">
        <v>1009</v>
      </c>
      <c r="Y419" s="251"/>
      <c r="Z419" s="290"/>
      <c r="AA419" s="286" t="s">
        <v>33</v>
      </c>
    </row>
    <row r="420" spans="2:27" ht="36" x14ac:dyDescent="0.25">
      <c r="B420" s="136">
        <v>1109342</v>
      </c>
      <c r="C420" s="128" t="s">
        <v>30</v>
      </c>
      <c r="D420" s="128" t="s">
        <v>2496</v>
      </c>
      <c r="E420" s="147" t="s">
        <v>259</v>
      </c>
      <c r="F420" s="129" t="s">
        <v>2013</v>
      </c>
      <c r="G420" s="147" t="s">
        <v>34</v>
      </c>
      <c r="H420" s="189">
        <f t="shared" si="6"/>
        <v>2.92</v>
      </c>
      <c r="I420" s="136" t="s">
        <v>2497</v>
      </c>
      <c r="J420" s="146">
        <v>0</v>
      </c>
      <c r="K420" s="147">
        <v>9</v>
      </c>
      <c r="L420" s="147">
        <v>1</v>
      </c>
      <c r="M420" s="147">
        <v>10</v>
      </c>
      <c r="N420" s="275">
        <v>6616</v>
      </c>
      <c r="O420" s="173">
        <f>18.6/2.2046</f>
        <v>8.4369046539054704</v>
      </c>
      <c r="P420" s="179">
        <v>46170</v>
      </c>
      <c r="Q420" s="173">
        <v>2.87</v>
      </c>
      <c r="R420" s="271">
        <v>0.05</v>
      </c>
      <c r="S420" s="147"/>
      <c r="T420" s="129" t="s">
        <v>2089</v>
      </c>
      <c r="U420" s="147" t="s">
        <v>37</v>
      </c>
      <c r="V420" s="129"/>
      <c r="W420" s="147" t="s">
        <v>2208</v>
      </c>
      <c r="X420" s="205" t="s">
        <v>1009</v>
      </c>
      <c r="Y420" s="251"/>
      <c r="Z420" s="290"/>
      <c r="AA420" s="286" t="s">
        <v>2692</v>
      </c>
    </row>
    <row r="421" spans="2:27" ht="24" x14ac:dyDescent="0.25">
      <c r="B421" s="136">
        <v>1109343</v>
      </c>
      <c r="C421" s="128" t="s">
        <v>30</v>
      </c>
      <c r="D421" s="128" t="s">
        <v>2182</v>
      </c>
      <c r="E421" s="147" t="s">
        <v>32</v>
      </c>
      <c r="F421" s="129" t="s">
        <v>1503</v>
      </c>
      <c r="G421" s="147" t="s">
        <v>34</v>
      </c>
      <c r="H421" s="189">
        <f t="shared" si="6"/>
        <v>45.957799999999999</v>
      </c>
      <c r="I421" s="136" t="s">
        <v>2414</v>
      </c>
      <c r="J421" s="146">
        <v>90</v>
      </c>
      <c r="K421" s="147">
        <v>9</v>
      </c>
      <c r="L421" s="147">
        <v>1</v>
      </c>
      <c r="M421" s="147">
        <v>10</v>
      </c>
      <c r="N421" s="275">
        <v>107</v>
      </c>
      <c r="O421" s="173"/>
      <c r="P421" s="179">
        <v>45961</v>
      </c>
      <c r="Q421" s="173">
        <v>19.989999999999998</v>
      </c>
      <c r="R421" s="271">
        <f>25.9178+0.05</f>
        <v>25.9678</v>
      </c>
      <c r="S421" s="147"/>
      <c r="T421" s="129" t="s">
        <v>2089</v>
      </c>
      <c r="U421" s="147" t="s">
        <v>37</v>
      </c>
      <c r="V421" s="129"/>
      <c r="W421" s="147" t="s">
        <v>2208</v>
      </c>
      <c r="X421" s="205" t="s">
        <v>1009</v>
      </c>
      <c r="Y421" s="251"/>
      <c r="Z421" s="290"/>
      <c r="AA421" s="286" t="s">
        <v>2709</v>
      </c>
    </row>
    <row r="422" spans="2:27" ht="24" x14ac:dyDescent="0.25">
      <c r="B422" s="136">
        <v>1109344</v>
      </c>
      <c r="C422" s="128" t="s">
        <v>30</v>
      </c>
      <c r="D422" s="128" t="s">
        <v>2714</v>
      </c>
      <c r="E422" s="147" t="s">
        <v>146</v>
      </c>
      <c r="F422" s="129" t="s">
        <v>1791</v>
      </c>
      <c r="G422" s="147" t="s">
        <v>34</v>
      </c>
      <c r="H422" s="189">
        <f t="shared" si="6"/>
        <v>3.0549999999999997</v>
      </c>
      <c r="I422" s="136" t="s">
        <v>2427</v>
      </c>
      <c r="J422" s="146">
        <v>30</v>
      </c>
      <c r="K422" s="147">
        <v>10</v>
      </c>
      <c r="L422" s="147">
        <v>1</v>
      </c>
      <c r="M422" s="147">
        <v>11</v>
      </c>
      <c r="N422" s="275">
        <v>1500</v>
      </c>
      <c r="O422" s="173"/>
      <c r="P422" s="179">
        <v>45971</v>
      </c>
      <c r="Q422" s="173">
        <v>3.0049999999999999</v>
      </c>
      <c r="R422" s="271">
        <v>0.05</v>
      </c>
      <c r="S422" s="147"/>
      <c r="T422" s="129" t="s">
        <v>2089</v>
      </c>
      <c r="U422" s="147" t="s">
        <v>37</v>
      </c>
      <c r="V422" s="129"/>
      <c r="W422" s="147" t="s">
        <v>2208</v>
      </c>
      <c r="X422" s="205" t="s">
        <v>1009</v>
      </c>
      <c r="Y422" s="251"/>
      <c r="Z422" s="290"/>
      <c r="AA422" s="286" t="s">
        <v>2104</v>
      </c>
    </row>
    <row r="423" spans="2:27" ht="24" x14ac:dyDescent="0.25">
      <c r="B423" s="136">
        <v>1109345</v>
      </c>
      <c r="C423" s="128" t="s">
        <v>30</v>
      </c>
      <c r="D423" s="128" t="s">
        <v>2453</v>
      </c>
      <c r="E423" s="147" t="s">
        <v>1690</v>
      </c>
      <c r="F423" s="129" t="s">
        <v>1503</v>
      </c>
      <c r="G423" s="147" t="s">
        <v>34</v>
      </c>
      <c r="H423" s="189">
        <f t="shared" si="6"/>
        <v>11.586</v>
      </c>
      <c r="I423" s="136" t="s">
        <v>2363</v>
      </c>
      <c r="J423" s="146">
        <v>90</v>
      </c>
      <c r="K423" s="147">
        <v>9</v>
      </c>
      <c r="L423" s="147">
        <v>1</v>
      </c>
      <c r="M423" s="147">
        <v>10</v>
      </c>
      <c r="N423" s="275">
        <v>55</v>
      </c>
      <c r="O423" s="193"/>
      <c r="P423" s="179">
        <v>45952</v>
      </c>
      <c r="Q423" s="173">
        <v>6.9</v>
      </c>
      <c r="R423" s="271">
        <f>4.636+0.05</f>
        <v>4.6859999999999999</v>
      </c>
      <c r="S423" s="147"/>
      <c r="T423" s="129" t="s">
        <v>2089</v>
      </c>
      <c r="U423" s="147" t="s">
        <v>37</v>
      </c>
      <c r="V423" s="129"/>
      <c r="W423" s="147" t="s">
        <v>2208</v>
      </c>
      <c r="X423" s="205" t="s">
        <v>1854</v>
      </c>
      <c r="Y423" s="251"/>
      <c r="Z423" s="290"/>
      <c r="AA423" s="286" t="s">
        <v>2689</v>
      </c>
    </row>
    <row r="424" spans="2:27" ht="24" x14ac:dyDescent="0.25">
      <c r="B424" s="136">
        <v>1109346</v>
      </c>
      <c r="C424" s="128" t="s">
        <v>30</v>
      </c>
      <c r="D424" s="128" t="s">
        <v>2577</v>
      </c>
      <c r="E424" s="147" t="s">
        <v>2195</v>
      </c>
      <c r="F424" s="129" t="s">
        <v>1503</v>
      </c>
      <c r="G424" s="147" t="s">
        <v>34</v>
      </c>
      <c r="H424" s="189">
        <f t="shared" si="6"/>
        <v>27.0806</v>
      </c>
      <c r="I424" s="136" t="s">
        <v>2426</v>
      </c>
      <c r="J424" s="146">
        <v>90</v>
      </c>
      <c r="K424" s="147">
        <v>8</v>
      </c>
      <c r="L424" s="147">
        <v>1</v>
      </c>
      <c r="M424" s="147">
        <v>9</v>
      </c>
      <c r="N424" s="275">
        <v>50</v>
      </c>
      <c r="O424" s="173">
        <f>66.28/2.2046</f>
        <v>30.064410777465298</v>
      </c>
      <c r="P424" s="179">
        <v>45971</v>
      </c>
      <c r="Q424" s="173">
        <v>24.98</v>
      </c>
      <c r="R424" s="271">
        <f>2.0506+0.05</f>
        <v>2.1006</v>
      </c>
      <c r="S424" s="147"/>
      <c r="T424" s="129" t="s">
        <v>2089</v>
      </c>
      <c r="U424" s="147" t="s">
        <v>37</v>
      </c>
      <c r="V424" s="129"/>
      <c r="W424" s="147" t="s">
        <v>2208</v>
      </c>
      <c r="X424" s="205" t="s">
        <v>1009</v>
      </c>
      <c r="Y424" s="251"/>
      <c r="Z424" s="290"/>
      <c r="AA424" s="286" t="s">
        <v>2707</v>
      </c>
    </row>
    <row r="425" spans="2:27" ht="48" x14ac:dyDescent="0.25">
      <c r="B425" s="136">
        <v>1109347</v>
      </c>
      <c r="C425" s="128" t="s">
        <v>30</v>
      </c>
      <c r="D425" s="128" t="s">
        <v>2491</v>
      </c>
      <c r="E425" s="147" t="s">
        <v>37</v>
      </c>
      <c r="F425" s="129" t="s">
        <v>1836</v>
      </c>
      <c r="G425" s="147" t="s">
        <v>34</v>
      </c>
      <c r="H425" s="189">
        <f t="shared" si="6"/>
        <v>18.68</v>
      </c>
      <c r="I425" s="136" t="s">
        <v>2258</v>
      </c>
      <c r="J425" s="146">
        <v>0</v>
      </c>
      <c r="K425" s="147">
        <v>9</v>
      </c>
      <c r="L425" s="147">
        <v>1</v>
      </c>
      <c r="M425" s="147">
        <v>10</v>
      </c>
      <c r="N425" s="275">
        <v>220</v>
      </c>
      <c r="O425" s="173">
        <f>76.134/2.2046</f>
        <v>34.534155855937584</v>
      </c>
      <c r="P425" s="179">
        <v>46031</v>
      </c>
      <c r="Q425" s="173">
        <v>18.63</v>
      </c>
      <c r="R425" s="260">
        <v>0.05</v>
      </c>
      <c r="S425" s="147"/>
      <c r="T425" s="129" t="s">
        <v>2089</v>
      </c>
      <c r="U425" s="147" t="s">
        <v>37</v>
      </c>
      <c r="V425" s="129"/>
      <c r="W425" s="147" t="s">
        <v>2208</v>
      </c>
      <c r="X425" s="205" t="s">
        <v>1009</v>
      </c>
      <c r="Y425" s="251"/>
      <c r="Z425" s="290"/>
      <c r="AA425" s="286" t="s">
        <v>33</v>
      </c>
    </row>
    <row r="426" spans="2:27" ht="24" x14ac:dyDescent="0.25">
      <c r="B426" s="136">
        <v>1109348</v>
      </c>
      <c r="C426" s="128" t="s">
        <v>30</v>
      </c>
      <c r="D426" s="128" t="s">
        <v>2356</v>
      </c>
      <c r="E426" s="147" t="s">
        <v>2195</v>
      </c>
      <c r="F426" s="129" t="s">
        <v>1503</v>
      </c>
      <c r="G426" s="147" t="s">
        <v>34</v>
      </c>
      <c r="H426" s="189">
        <f t="shared" si="6"/>
        <v>22.3309</v>
      </c>
      <c r="I426" s="136" t="s">
        <v>2364</v>
      </c>
      <c r="J426" s="146">
        <v>90</v>
      </c>
      <c r="K426" s="147">
        <v>9</v>
      </c>
      <c r="L426" s="147">
        <v>1</v>
      </c>
      <c r="M426" s="147">
        <v>10</v>
      </c>
      <c r="N426" s="275" t="s">
        <v>2355</v>
      </c>
      <c r="O426" s="173">
        <f>63.92/2.2046</f>
        <v>28.993921799872993</v>
      </c>
      <c r="P426" s="179">
        <v>45951</v>
      </c>
      <c r="Q426" s="173">
        <v>21.9</v>
      </c>
      <c r="R426" s="271">
        <f>0.3809+0.05</f>
        <v>0.43090000000000001</v>
      </c>
      <c r="S426" s="147"/>
      <c r="T426" s="129" t="s">
        <v>2089</v>
      </c>
      <c r="U426" s="147" t="s">
        <v>37</v>
      </c>
      <c r="V426" s="129"/>
      <c r="W426" s="147" t="s">
        <v>2208</v>
      </c>
      <c r="X426" s="205" t="s">
        <v>1009</v>
      </c>
      <c r="Y426" s="251"/>
      <c r="Z426" s="290"/>
      <c r="AA426" s="286" t="s">
        <v>2707</v>
      </c>
    </row>
    <row r="427" spans="2:27" ht="24" x14ac:dyDescent="0.25">
      <c r="B427" s="136">
        <v>1109349</v>
      </c>
      <c r="C427" s="128" t="s">
        <v>30</v>
      </c>
      <c r="D427" s="128" t="s">
        <v>2183</v>
      </c>
      <c r="E427" s="147" t="s">
        <v>1808</v>
      </c>
      <c r="F427" s="129" t="s">
        <v>1791</v>
      </c>
      <c r="G427" s="147" t="s">
        <v>34</v>
      </c>
      <c r="H427" s="189">
        <f t="shared" si="6"/>
        <v>4.0200000000000005</v>
      </c>
      <c r="I427" s="136" t="s">
        <v>2365</v>
      </c>
      <c r="J427" s="146">
        <v>30</v>
      </c>
      <c r="K427" s="147">
        <v>6</v>
      </c>
      <c r="L427" s="147">
        <v>1</v>
      </c>
      <c r="M427" s="147">
        <v>8</v>
      </c>
      <c r="N427" s="275">
        <v>1500</v>
      </c>
      <c r="O427" s="173">
        <f>8.63/2.2046</f>
        <v>3.9145423206023771</v>
      </c>
      <c r="P427" s="179">
        <v>45952</v>
      </c>
      <c r="Q427" s="173">
        <v>3.97</v>
      </c>
      <c r="R427" s="271">
        <v>0.05</v>
      </c>
      <c r="S427" s="147"/>
      <c r="T427" s="129" t="s">
        <v>2089</v>
      </c>
      <c r="U427" s="147" t="s">
        <v>37</v>
      </c>
      <c r="V427" s="129"/>
      <c r="W427" s="147" t="s">
        <v>2208</v>
      </c>
      <c r="X427" s="205" t="s">
        <v>1009</v>
      </c>
      <c r="Y427" s="251"/>
      <c r="Z427" s="290"/>
      <c r="AA427" s="286" t="s">
        <v>2705</v>
      </c>
    </row>
    <row r="428" spans="2:27" ht="24" x14ac:dyDescent="0.25">
      <c r="B428" s="136">
        <v>1109350</v>
      </c>
      <c r="C428" s="128" t="s">
        <v>30</v>
      </c>
      <c r="D428" s="128" t="s">
        <v>2334</v>
      </c>
      <c r="E428" s="147" t="s">
        <v>843</v>
      </c>
      <c r="F428" s="129" t="s">
        <v>1748</v>
      </c>
      <c r="G428" s="147" t="s">
        <v>34</v>
      </c>
      <c r="H428" s="189">
        <f t="shared" si="6"/>
        <v>6.3</v>
      </c>
      <c r="I428" s="136" t="s">
        <v>2396</v>
      </c>
      <c r="J428" s="146">
        <v>0</v>
      </c>
      <c r="K428" s="147">
        <v>6</v>
      </c>
      <c r="L428" s="147">
        <v>1</v>
      </c>
      <c r="M428" s="147">
        <v>7</v>
      </c>
      <c r="N428" s="275">
        <v>2200</v>
      </c>
      <c r="O428" s="173">
        <v>5.99</v>
      </c>
      <c r="P428" s="179">
        <v>46153</v>
      </c>
      <c r="Q428" s="173">
        <v>6.25</v>
      </c>
      <c r="R428" s="271">
        <v>0.05</v>
      </c>
      <c r="S428" s="147"/>
      <c r="T428" s="129" t="s">
        <v>2089</v>
      </c>
      <c r="U428" s="147" t="s">
        <v>37</v>
      </c>
      <c r="V428" s="129"/>
      <c r="W428" s="147" t="s">
        <v>2208</v>
      </c>
      <c r="X428" s="205" t="s">
        <v>1009</v>
      </c>
      <c r="Y428" s="251"/>
      <c r="Z428" s="290"/>
      <c r="AA428" s="286" t="s">
        <v>2706</v>
      </c>
    </row>
    <row r="429" spans="2:27" ht="48" x14ac:dyDescent="0.25">
      <c r="B429" s="136">
        <v>1109351</v>
      </c>
      <c r="C429" s="128" t="s">
        <v>30</v>
      </c>
      <c r="D429" s="128" t="s">
        <v>2327</v>
      </c>
      <c r="E429" s="147" t="s">
        <v>2029</v>
      </c>
      <c r="F429" s="129" t="s">
        <v>2089</v>
      </c>
      <c r="G429" s="147" t="s">
        <v>34</v>
      </c>
      <c r="H429" s="189">
        <f t="shared" si="6"/>
        <v>5.2662614533248657</v>
      </c>
      <c r="I429" s="136" t="s">
        <v>2259</v>
      </c>
      <c r="J429" s="146">
        <v>90</v>
      </c>
      <c r="K429" s="147">
        <v>11</v>
      </c>
      <c r="L429" s="147">
        <v>1</v>
      </c>
      <c r="M429" s="147">
        <v>12</v>
      </c>
      <c r="N429" s="275">
        <f>274.4*2.2046</f>
        <v>604.94223999999997</v>
      </c>
      <c r="O429" s="193"/>
      <c r="P429" s="179">
        <v>45891</v>
      </c>
      <c r="Q429" s="173">
        <f>11.61/2.2046</f>
        <v>5.2662614533248657</v>
      </c>
      <c r="R429" s="271">
        <v>0</v>
      </c>
      <c r="S429" s="147"/>
      <c r="T429" s="129" t="s">
        <v>2089</v>
      </c>
      <c r="U429" s="147" t="s">
        <v>37</v>
      </c>
      <c r="V429" s="129"/>
      <c r="W429" s="147" t="s">
        <v>2208</v>
      </c>
      <c r="X429" s="205" t="s">
        <v>1009</v>
      </c>
      <c r="Y429" s="251"/>
      <c r="Z429" s="290"/>
      <c r="AA429" s="286" t="s">
        <v>33</v>
      </c>
    </row>
    <row r="430" spans="2:27" ht="36" x14ac:dyDescent="0.25">
      <c r="B430" s="136">
        <v>1109352</v>
      </c>
      <c r="C430" s="128" t="s">
        <v>30</v>
      </c>
      <c r="D430" s="128" t="s">
        <v>2184</v>
      </c>
      <c r="E430" s="147" t="s">
        <v>2196</v>
      </c>
      <c r="F430" s="129" t="s">
        <v>2089</v>
      </c>
      <c r="G430" s="147" t="s">
        <v>34</v>
      </c>
      <c r="H430" s="189">
        <f t="shared" si="6"/>
        <v>2.3133448244579511</v>
      </c>
      <c r="I430" s="136" t="s">
        <v>2260</v>
      </c>
      <c r="J430" s="146">
        <v>90</v>
      </c>
      <c r="K430" s="147">
        <v>11</v>
      </c>
      <c r="L430" s="147">
        <v>1</v>
      </c>
      <c r="M430" s="147">
        <v>12</v>
      </c>
      <c r="N430" s="275">
        <f>4*2.2046</f>
        <v>8.8184000000000005</v>
      </c>
      <c r="O430" s="193"/>
      <c r="P430" s="179">
        <v>45891</v>
      </c>
      <c r="Q430" s="173">
        <f>5.1/2.2046</f>
        <v>2.3133448244579511</v>
      </c>
      <c r="R430" s="271">
        <v>0</v>
      </c>
      <c r="S430" s="147"/>
      <c r="T430" s="129" t="s">
        <v>2089</v>
      </c>
      <c r="U430" s="147" t="s">
        <v>37</v>
      </c>
      <c r="V430" s="129"/>
      <c r="W430" s="147" t="s">
        <v>2208</v>
      </c>
      <c r="X430" s="205" t="s">
        <v>1009</v>
      </c>
      <c r="Y430" s="251"/>
      <c r="Z430" s="290"/>
      <c r="AA430" s="286" t="s">
        <v>2708</v>
      </c>
    </row>
    <row r="431" spans="2:27" ht="36" x14ac:dyDescent="0.25">
      <c r="B431" s="136">
        <v>1109353</v>
      </c>
      <c r="C431" s="128" t="s">
        <v>30</v>
      </c>
      <c r="D431" s="128" t="s">
        <v>2338</v>
      </c>
      <c r="E431" s="147" t="s">
        <v>2545</v>
      </c>
      <c r="F431" s="129" t="s">
        <v>2089</v>
      </c>
      <c r="G431" s="147" t="s">
        <v>34</v>
      </c>
      <c r="H431" s="189">
        <f t="shared" si="6"/>
        <v>8.9222534700172371</v>
      </c>
      <c r="I431" s="136" t="s">
        <v>2261</v>
      </c>
      <c r="J431" s="146">
        <v>90</v>
      </c>
      <c r="K431" s="147">
        <v>11</v>
      </c>
      <c r="L431" s="147">
        <v>1</v>
      </c>
      <c r="M431" s="147">
        <v>12</v>
      </c>
      <c r="N431" s="275">
        <f>90*2.2046</f>
        <v>198.41400000000002</v>
      </c>
      <c r="O431" s="193"/>
      <c r="P431" s="179">
        <v>45943</v>
      </c>
      <c r="Q431" s="173">
        <f>19.67/2.2046</f>
        <v>8.9222534700172371</v>
      </c>
      <c r="R431" s="271">
        <v>0</v>
      </c>
      <c r="S431" s="147"/>
      <c r="T431" s="129" t="s">
        <v>2089</v>
      </c>
      <c r="U431" s="147" t="s">
        <v>37</v>
      </c>
      <c r="V431" s="129"/>
      <c r="W431" s="147" t="s">
        <v>2208</v>
      </c>
      <c r="X431" s="205" t="s">
        <v>1009</v>
      </c>
      <c r="Y431" s="251"/>
      <c r="Z431" s="290"/>
      <c r="AA431" s="286" t="s">
        <v>2716</v>
      </c>
    </row>
    <row r="432" spans="2:27" ht="36" x14ac:dyDescent="0.25">
      <c r="B432" s="136">
        <v>1109354</v>
      </c>
      <c r="C432" s="128" t="s">
        <v>30</v>
      </c>
      <c r="D432" s="128" t="s">
        <v>2454</v>
      </c>
      <c r="E432" s="147" t="s">
        <v>2029</v>
      </c>
      <c r="F432" s="129" t="s">
        <v>2350</v>
      </c>
      <c r="G432" s="147" t="s">
        <v>34</v>
      </c>
      <c r="H432" s="189">
        <f t="shared" si="6"/>
        <v>6.5680849133629682</v>
      </c>
      <c r="I432" s="136" t="s">
        <v>2262</v>
      </c>
      <c r="J432" s="146">
        <v>30</v>
      </c>
      <c r="K432" s="147">
        <v>11</v>
      </c>
      <c r="L432" s="147">
        <v>1</v>
      </c>
      <c r="M432" s="147">
        <v>12</v>
      </c>
      <c r="N432" s="275">
        <f>590*2.2046</f>
        <v>1300.7140000000002</v>
      </c>
      <c r="O432" s="173">
        <f>11.58/2.2046</f>
        <v>5.2526535425927605</v>
      </c>
      <c r="P432" s="179">
        <v>45988</v>
      </c>
      <c r="Q432" s="260">
        <f>14.48/2.2046</f>
        <v>6.5680849133629682</v>
      </c>
      <c r="R432" s="271"/>
      <c r="S432" s="147"/>
      <c r="T432" s="129" t="s">
        <v>2089</v>
      </c>
      <c r="U432" s="147" t="s">
        <v>37</v>
      </c>
      <c r="V432" s="129"/>
      <c r="W432" s="147" t="s">
        <v>2208</v>
      </c>
      <c r="X432" s="205" t="s">
        <v>1009</v>
      </c>
      <c r="Y432" s="251"/>
      <c r="Z432" s="290"/>
      <c r="AA432" s="286" t="s">
        <v>33</v>
      </c>
    </row>
    <row r="433" spans="1:27 16381:16382" ht="24" x14ac:dyDescent="0.25">
      <c r="B433" s="136">
        <v>1109355</v>
      </c>
      <c r="C433" s="128" t="s">
        <v>30</v>
      </c>
      <c r="D433" s="128" t="s">
        <v>2463</v>
      </c>
      <c r="E433" s="147" t="s">
        <v>37</v>
      </c>
      <c r="F433" s="129" t="s">
        <v>1503</v>
      </c>
      <c r="G433" s="147" t="s">
        <v>34</v>
      </c>
      <c r="H433" s="189">
        <f t="shared" si="6"/>
        <v>6.04</v>
      </c>
      <c r="I433" s="136" t="s">
        <v>2464</v>
      </c>
      <c r="J433" s="146">
        <v>90</v>
      </c>
      <c r="K433" s="147">
        <v>9</v>
      </c>
      <c r="L433" s="147">
        <v>1</v>
      </c>
      <c r="M433" s="147">
        <v>10</v>
      </c>
      <c r="N433" s="275">
        <f>125*2.2046</f>
        <v>275.57499999999999</v>
      </c>
      <c r="O433" s="173">
        <f>16.57/2.2046</f>
        <v>7.5161026943663245</v>
      </c>
      <c r="P433" s="179">
        <v>46002</v>
      </c>
      <c r="Q433" s="173">
        <v>5.99</v>
      </c>
      <c r="R433" s="271">
        <v>0.05</v>
      </c>
      <c r="S433" s="147"/>
      <c r="T433" s="129" t="s">
        <v>2089</v>
      </c>
      <c r="U433" s="147" t="s">
        <v>37</v>
      </c>
      <c r="V433" s="129"/>
      <c r="W433" s="147" t="s">
        <v>2208</v>
      </c>
      <c r="X433" s="205" t="s">
        <v>1009</v>
      </c>
      <c r="Y433" s="251"/>
      <c r="Z433" s="290"/>
      <c r="AA433" s="286" t="s">
        <v>2685</v>
      </c>
    </row>
    <row r="434" spans="1:27 16381:16382" ht="24" hidden="1" x14ac:dyDescent="0.25">
      <c r="B434" s="136">
        <v>1109356</v>
      </c>
      <c r="C434" s="128" t="s">
        <v>30</v>
      </c>
      <c r="D434" s="128" t="s">
        <v>2199</v>
      </c>
      <c r="E434" s="147" t="s">
        <v>259</v>
      </c>
      <c r="F434" s="129" t="s">
        <v>1685</v>
      </c>
      <c r="G434" s="147" t="s">
        <v>34</v>
      </c>
      <c r="H434" s="189">
        <f t="shared" si="6"/>
        <v>1.7464687471650184</v>
      </c>
      <c r="I434" s="210" t="s">
        <v>2221</v>
      </c>
      <c r="J434" s="146">
        <v>30</v>
      </c>
      <c r="K434" s="147">
        <v>4</v>
      </c>
      <c r="L434" s="147">
        <v>8</v>
      </c>
      <c r="M434" s="147">
        <v>12</v>
      </c>
      <c r="N434" s="275">
        <v>6614</v>
      </c>
      <c r="O434" s="193"/>
      <c r="P434" s="179">
        <v>45908</v>
      </c>
      <c r="Q434" s="173">
        <f>3.244/2.2046</f>
        <v>1.4714687471650185</v>
      </c>
      <c r="R434" s="271">
        <f>9000/40000+0.05</f>
        <v>0.27500000000000002</v>
      </c>
      <c r="S434" s="164" t="s">
        <v>35</v>
      </c>
      <c r="T434" s="129" t="s">
        <v>2206</v>
      </c>
      <c r="U434" s="147" t="s">
        <v>37</v>
      </c>
      <c r="V434" s="129"/>
      <c r="W434" s="147" t="s">
        <v>2209</v>
      </c>
      <c r="X434" s="205" t="s">
        <v>1854</v>
      </c>
      <c r="Y434" s="251"/>
      <c r="Z434" s="290"/>
      <c r="AA434" s="286"/>
    </row>
    <row r="435" spans="1:27 16381:16382" ht="24" hidden="1" x14ac:dyDescent="0.25">
      <c r="B435" s="136">
        <v>1109357</v>
      </c>
      <c r="C435" s="128" t="s">
        <v>30</v>
      </c>
      <c r="D435" s="128" t="s">
        <v>2200</v>
      </c>
      <c r="E435" s="147" t="s">
        <v>259</v>
      </c>
      <c r="F435" s="129" t="s">
        <v>1685</v>
      </c>
      <c r="G435" s="147" t="s">
        <v>34</v>
      </c>
      <c r="H435" s="189">
        <f t="shared" si="6"/>
        <v>1.9732672593667786</v>
      </c>
      <c r="I435" s="210" t="s">
        <v>2221</v>
      </c>
      <c r="J435" s="146">
        <v>30</v>
      </c>
      <c r="K435" s="147">
        <v>4</v>
      </c>
      <c r="L435" s="147">
        <v>8</v>
      </c>
      <c r="M435" s="147">
        <v>12</v>
      </c>
      <c r="N435" s="275">
        <v>6614</v>
      </c>
      <c r="O435" s="193"/>
      <c r="P435" s="179">
        <v>45908</v>
      </c>
      <c r="Q435" s="173">
        <f>3.744/2.2046</f>
        <v>1.6982672593667785</v>
      </c>
      <c r="R435" s="271">
        <f>9000/40000+0.05</f>
        <v>0.27500000000000002</v>
      </c>
      <c r="S435" s="164" t="s">
        <v>35</v>
      </c>
      <c r="T435" s="129" t="s">
        <v>2206</v>
      </c>
      <c r="U435" s="147" t="s">
        <v>37</v>
      </c>
      <c r="V435" s="129"/>
      <c r="W435" s="147" t="s">
        <v>2209</v>
      </c>
      <c r="X435" s="205" t="s">
        <v>1854</v>
      </c>
      <c r="Y435" s="251"/>
      <c r="Z435" s="290"/>
      <c r="AA435" s="286"/>
    </row>
    <row r="436" spans="1:27 16381:16382" ht="24" hidden="1" x14ac:dyDescent="0.25">
      <c r="B436" s="136">
        <v>1109358</v>
      </c>
      <c r="C436" s="128" t="s">
        <v>30</v>
      </c>
      <c r="D436" s="128" t="s">
        <v>2201</v>
      </c>
      <c r="E436" s="147" t="s">
        <v>138</v>
      </c>
      <c r="F436" s="129" t="s">
        <v>1954</v>
      </c>
      <c r="G436" s="147" t="s">
        <v>34</v>
      </c>
      <c r="H436" s="189">
        <f t="shared" si="6"/>
        <v>3.9553660527986936</v>
      </c>
      <c r="I436" s="129" t="s">
        <v>2082</v>
      </c>
      <c r="J436" s="146">
        <v>0</v>
      </c>
      <c r="K436" s="147">
        <v>11</v>
      </c>
      <c r="L436" s="147">
        <v>1</v>
      </c>
      <c r="M436" s="147">
        <v>12</v>
      </c>
      <c r="N436" s="275">
        <f>1000*2.2046</f>
        <v>2204.6</v>
      </c>
      <c r="O436" s="193"/>
      <c r="P436" s="179">
        <v>45890</v>
      </c>
      <c r="Q436" s="173">
        <f>8.72/2.2046</f>
        <v>3.9553660527986936</v>
      </c>
      <c r="R436" s="271"/>
      <c r="S436" s="147"/>
      <c r="T436" s="129" t="s">
        <v>2206</v>
      </c>
      <c r="U436" s="147" t="s">
        <v>37</v>
      </c>
      <c r="V436" s="129"/>
      <c r="W436" s="147" t="s">
        <v>2209</v>
      </c>
      <c r="X436" s="205" t="s">
        <v>1854</v>
      </c>
      <c r="Y436" s="251"/>
      <c r="Z436" s="290"/>
      <c r="AA436" s="286"/>
    </row>
    <row r="437" spans="1:27 16381:16382" ht="24" hidden="1" x14ac:dyDescent="0.25">
      <c r="B437" s="136">
        <v>1109359</v>
      </c>
      <c r="C437" s="128" t="s">
        <v>30</v>
      </c>
      <c r="D437" s="128" t="s">
        <v>2202</v>
      </c>
      <c r="E437" s="147" t="s">
        <v>32</v>
      </c>
      <c r="F437" s="129" t="s">
        <v>1685</v>
      </c>
      <c r="G437" s="147" t="s">
        <v>34</v>
      </c>
      <c r="H437" s="189">
        <f t="shared" si="6"/>
        <v>1.7682414043363872</v>
      </c>
      <c r="I437" s="210" t="s">
        <v>2221</v>
      </c>
      <c r="J437" s="146">
        <v>30</v>
      </c>
      <c r="K437" s="147">
        <v>4</v>
      </c>
      <c r="L437" s="147">
        <v>8</v>
      </c>
      <c r="M437" s="147">
        <v>12</v>
      </c>
      <c r="N437" s="275">
        <v>6614</v>
      </c>
      <c r="O437" s="193"/>
      <c r="P437" s="179">
        <v>45908</v>
      </c>
      <c r="Q437" s="173">
        <f>3.292/2.2046</f>
        <v>1.4932414043363873</v>
      </c>
      <c r="R437" s="271">
        <f>9000/40000+0.05</f>
        <v>0.27500000000000002</v>
      </c>
      <c r="S437" s="164" t="s">
        <v>35</v>
      </c>
      <c r="T437" s="129" t="s">
        <v>2206</v>
      </c>
      <c r="U437" s="147" t="s">
        <v>37</v>
      </c>
      <c r="V437" s="129"/>
      <c r="W437" s="147" t="s">
        <v>2209</v>
      </c>
      <c r="X437" s="205" t="s">
        <v>1854</v>
      </c>
      <c r="Y437" s="251"/>
      <c r="Z437" s="290"/>
      <c r="AA437" s="286"/>
    </row>
    <row r="438" spans="1:27 16381:16382" ht="24" hidden="1" x14ac:dyDescent="0.25">
      <c r="A438" s="258"/>
      <c r="B438" s="136">
        <v>1109360</v>
      </c>
      <c r="C438" s="128" t="s">
        <v>30</v>
      </c>
      <c r="D438" s="136" t="s">
        <v>2203</v>
      </c>
      <c r="E438" s="147" t="s">
        <v>32</v>
      </c>
      <c r="F438" s="129" t="s">
        <v>1685</v>
      </c>
      <c r="G438" s="147" t="s">
        <v>34</v>
      </c>
      <c r="H438" s="189">
        <f t="shared" si="6"/>
        <v>1.6303479089177175</v>
      </c>
      <c r="I438" s="210" t="s">
        <v>2221</v>
      </c>
      <c r="J438" s="146">
        <v>30</v>
      </c>
      <c r="K438" s="147">
        <v>4</v>
      </c>
      <c r="L438" s="147">
        <v>8</v>
      </c>
      <c r="M438" s="147">
        <v>12</v>
      </c>
      <c r="N438" s="275">
        <v>6614</v>
      </c>
      <c r="O438" s="179"/>
      <c r="P438" s="179">
        <v>45908</v>
      </c>
      <c r="Q438" s="175">
        <f>2.988/2.2046</f>
        <v>1.3553479089177174</v>
      </c>
      <c r="R438" s="271">
        <f>9000/40000+0.05</f>
        <v>0.27500000000000002</v>
      </c>
      <c r="S438" s="164" t="s">
        <v>35</v>
      </c>
      <c r="T438" s="129" t="s">
        <v>2206</v>
      </c>
      <c r="U438" s="147" t="s">
        <v>37</v>
      </c>
      <c r="V438" s="147"/>
      <c r="W438" s="147" t="s">
        <v>2209</v>
      </c>
      <c r="X438" s="205" t="s">
        <v>1854</v>
      </c>
      <c r="Y438" s="251"/>
      <c r="Z438" s="290"/>
      <c r="AA438" s="286"/>
      <c r="XFB438" s="259"/>
    </row>
    <row r="439" spans="1:27 16381:16382" ht="36" x14ac:dyDescent="0.25">
      <c r="B439" s="136">
        <v>1109361</v>
      </c>
      <c r="C439" s="128" t="s">
        <v>30</v>
      </c>
      <c r="D439" s="128" t="s">
        <v>2312</v>
      </c>
      <c r="E439" s="147" t="s">
        <v>2439</v>
      </c>
      <c r="F439" s="129" t="s">
        <v>2089</v>
      </c>
      <c r="G439" s="147" t="s">
        <v>34</v>
      </c>
      <c r="H439" s="189">
        <f t="shared" si="6"/>
        <v>0</v>
      </c>
      <c r="I439" s="210" t="s">
        <v>2367</v>
      </c>
      <c r="J439" s="146">
        <v>90</v>
      </c>
      <c r="K439" s="147">
        <v>11</v>
      </c>
      <c r="L439" s="147">
        <v>1</v>
      </c>
      <c r="M439" s="147">
        <v>12</v>
      </c>
      <c r="N439" s="275"/>
      <c r="O439" s="193"/>
      <c r="P439" s="179"/>
      <c r="Q439" s="173"/>
      <c r="R439" s="271">
        <v>0</v>
      </c>
      <c r="S439" s="147"/>
      <c r="T439" s="129" t="s">
        <v>2089</v>
      </c>
      <c r="U439" s="147" t="s">
        <v>37</v>
      </c>
      <c r="V439" s="129"/>
      <c r="W439" s="147" t="s">
        <v>2208</v>
      </c>
      <c r="X439" s="205"/>
      <c r="Y439" s="251"/>
      <c r="Z439" s="290"/>
      <c r="AA439" s="286" t="s">
        <v>2715</v>
      </c>
    </row>
    <row r="440" spans="1:27 16381:16382" ht="60" x14ac:dyDescent="0.25">
      <c r="A440" s="258"/>
      <c r="B440" s="136">
        <v>1109362</v>
      </c>
      <c r="C440" s="128" t="s">
        <v>30</v>
      </c>
      <c r="D440" s="136" t="s">
        <v>2546</v>
      </c>
      <c r="E440" s="147" t="s">
        <v>2547</v>
      </c>
      <c r="F440" s="129" t="s">
        <v>2089</v>
      </c>
      <c r="G440" s="147" t="s">
        <v>34</v>
      </c>
      <c r="H440" s="189">
        <f t="shared" si="6"/>
        <v>29.592669872085636</v>
      </c>
      <c r="I440" s="210" t="s">
        <v>2368</v>
      </c>
      <c r="J440" s="146">
        <v>90</v>
      </c>
      <c r="K440" s="147">
        <v>11</v>
      </c>
      <c r="L440" s="147">
        <v>1</v>
      </c>
      <c r="M440" s="147">
        <v>12</v>
      </c>
      <c r="N440" s="277">
        <f>390*2.2046</f>
        <v>859.7940000000001</v>
      </c>
      <c r="O440" s="179"/>
      <c r="P440" s="179">
        <v>45971</v>
      </c>
      <c r="Q440" s="271">
        <f>65.24/2.2046</f>
        <v>29.592669872085636</v>
      </c>
      <c r="R440" s="269">
        <v>0</v>
      </c>
      <c r="S440" s="129"/>
      <c r="T440" s="129" t="s">
        <v>2089</v>
      </c>
      <c r="U440" s="147" t="s">
        <v>37</v>
      </c>
      <c r="V440" s="147"/>
      <c r="W440" s="147" t="s">
        <v>2208</v>
      </c>
      <c r="X440" s="206"/>
      <c r="Y440" s="251"/>
      <c r="Z440" s="290"/>
      <c r="AA440" s="354"/>
      <c r="XFB440" s="259"/>
    </row>
    <row r="441" spans="1:27 16381:16382" ht="36" hidden="1" x14ac:dyDescent="0.25">
      <c r="A441" s="258"/>
      <c r="B441" s="136">
        <v>1109363</v>
      </c>
      <c r="C441" s="128" t="s">
        <v>30</v>
      </c>
      <c r="D441" s="136" t="s">
        <v>2403</v>
      </c>
      <c r="E441" s="147"/>
      <c r="F441" s="129" t="s">
        <v>2089</v>
      </c>
      <c r="G441" s="147" t="s">
        <v>34</v>
      </c>
      <c r="H441" s="189">
        <f t="shared" si="6"/>
        <v>0</v>
      </c>
      <c r="I441" s="210" t="s">
        <v>2369</v>
      </c>
      <c r="J441" s="146">
        <v>90</v>
      </c>
      <c r="K441" s="147">
        <v>11</v>
      </c>
      <c r="L441" s="147">
        <v>1</v>
      </c>
      <c r="M441" s="147">
        <v>12</v>
      </c>
      <c r="N441" s="268"/>
      <c r="O441" s="179"/>
      <c r="P441" s="179"/>
      <c r="Q441" s="200"/>
      <c r="R441" s="269"/>
      <c r="S441" s="129"/>
      <c r="T441" s="129" t="s">
        <v>2089</v>
      </c>
      <c r="U441" s="147" t="s">
        <v>37</v>
      </c>
      <c r="V441" s="147"/>
      <c r="W441" s="147" t="s">
        <v>2209</v>
      </c>
      <c r="X441" s="206"/>
      <c r="Y441" s="251"/>
      <c r="Z441" s="290"/>
      <c r="AA441" s="286"/>
      <c r="XFB441" s="259"/>
    </row>
    <row r="442" spans="1:27 16381:16382" ht="36" x14ac:dyDescent="0.25">
      <c r="A442" s="258"/>
      <c r="B442" s="136">
        <v>1109364</v>
      </c>
      <c r="C442" s="128" t="s">
        <v>30</v>
      </c>
      <c r="D442" s="136" t="s">
        <v>2313</v>
      </c>
      <c r="E442" s="147" t="s">
        <v>146</v>
      </c>
      <c r="F442" s="129" t="s">
        <v>2089</v>
      </c>
      <c r="G442" s="147" t="s">
        <v>34</v>
      </c>
      <c r="H442" s="189">
        <f t="shared" si="6"/>
        <v>8.8950376485530249</v>
      </c>
      <c r="I442" s="210" t="s">
        <v>2370</v>
      </c>
      <c r="J442" s="146">
        <v>90</v>
      </c>
      <c r="K442" s="147">
        <v>11</v>
      </c>
      <c r="L442" s="147">
        <v>1</v>
      </c>
      <c r="M442" s="147">
        <v>12</v>
      </c>
      <c r="N442" s="277">
        <f>300*2.2046</f>
        <v>661.38</v>
      </c>
      <c r="O442" s="179"/>
      <c r="P442" s="179">
        <v>45966</v>
      </c>
      <c r="Q442" s="175">
        <f>19.61/2.2046</f>
        <v>8.8950376485530249</v>
      </c>
      <c r="R442" s="269">
        <v>0</v>
      </c>
      <c r="S442" s="129"/>
      <c r="T442" s="129" t="s">
        <v>2089</v>
      </c>
      <c r="U442" s="147" t="s">
        <v>37</v>
      </c>
      <c r="V442" s="147"/>
      <c r="W442" s="147" t="s">
        <v>2208</v>
      </c>
      <c r="X442" s="206"/>
      <c r="Y442" s="251"/>
      <c r="Z442" s="290"/>
      <c r="AA442" s="286" t="s">
        <v>33</v>
      </c>
      <c r="XFB442" s="259"/>
    </row>
    <row r="443" spans="1:27 16381:16382" ht="36" hidden="1" x14ac:dyDescent="0.25">
      <c r="A443" s="258"/>
      <c r="B443" s="136">
        <v>1109365</v>
      </c>
      <c r="C443" s="128" t="s">
        <v>30</v>
      </c>
      <c r="D443" s="136" t="s">
        <v>2339</v>
      </c>
      <c r="E443" s="147"/>
      <c r="F443" s="129" t="s">
        <v>2089</v>
      </c>
      <c r="G443" s="147" t="s">
        <v>34</v>
      </c>
      <c r="H443" s="189">
        <f t="shared" si="6"/>
        <v>0</v>
      </c>
      <c r="I443" s="210" t="s">
        <v>2371</v>
      </c>
      <c r="J443" s="146">
        <v>90</v>
      </c>
      <c r="K443" s="147">
        <v>11</v>
      </c>
      <c r="L443" s="147">
        <v>1</v>
      </c>
      <c r="M443" s="147">
        <v>12</v>
      </c>
      <c r="N443" s="268"/>
      <c r="O443" s="179"/>
      <c r="P443" s="179"/>
      <c r="Q443" s="200"/>
      <c r="R443" s="269"/>
      <c r="S443" s="129"/>
      <c r="T443" s="129" t="s">
        <v>2089</v>
      </c>
      <c r="U443" s="147" t="s">
        <v>37</v>
      </c>
      <c r="V443" s="147"/>
      <c r="W443" s="147" t="s">
        <v>2209</v>
      </c>
      <c r="X443" s="206"/>
      <c r="Y443" s="251"/>
      <c r="Z443" s="290"/>
      <c r="AA443" s="286"/>
      <c r="XFB443" s="259"/>
    </row>
    <row r="444" spans="1:27 16381:16382" ht="36" x14ac:dyDescent="0.25">
      <c r="A444" s="258"/>
      <c r="B444" s="136">
        <v>1109366</v>
      </c>
      <c r="C444" s="128" t="s">
        <v>30</v>
      </c>
      <c r="D444" s="136" t="s">
        <v>2340</v>
      </c>
      <c r="E444" s="147" t="s">
        <v>66</v>
      </c>
      <c r="F444" s="129" t="s">
        <v>2089</v>
      </c>
      <c r="G444" s="147" t="s">
        <v>34</v>
      </c>
      <c r="H444" s="189">
        <f t="shared" si="6"/>
        <v>5.710786537240315</v>
      </c>
      <c r="I444" s="210" t="s">
        <v>2372</v>
      </c>
      <c r="J444" s="146">
        <v>90</v>
      </c>
      <c r="K444" s="147">
        <v>11</v>
      </c>
      <c r="L444" s="147">
        <v>1</v>
      </c>
      <c r="M444" s="147">
        <v>12</v>
      </c>
      <c r="N444" s="277">
        <f>700*2.2046</f>
        <v>1543.22</v>
      </c>
      <c r="O444" s="179"/>
      <c r="P444" s="179">
        <v>45966</v>
      </c>
      <c r="Q444" s="200">
        <f>12.59/2.2046</f>
        <v>5.710786537240315</v>
      </c>
      <c r="R444" s="269">
        <v>0</v>
      </c>
      <c r="S444" s="129"/>
      <c r="T444" s="129" t="s">
        <v>2089</v>
      </c>
      <c r="U444" s="147" t="s">
        <v>37</v>
      </c>
      <c r="V444" s="147"/>
      <c r="W444" s="147" t="s">
        <v>2208</v>
      </c>
      <c r="X444" s="206"/>
      <c r="Y444" s="251"/>
      <c r="Z444" s="290"/>
      <c r="AA444" s="286" t="s">
        <v>33</v>
      </c>
      <c r="XFB444" s="259"/>
    </row>
    <row r="445" spans="1:27 16381:16382" ht="36" x14ac:dyDescent="0.25">
      <c r="A445" s="258"/>
      <c r="B445" s="136">
        <v>1109367</v>
      </c>
      <c r="C445" s="128" t="s">
        <v>30</v>
      </c>
      <c r="D445" s="136" t="s">
        <v>2713</v>
      </c>
      <c r="E445" s="147" t="s">
        <v>32</v>
      </c>
      <c r="F445" s="129" t="s">
        <v>2089</v>
      </c>
      <c r="G445" s="147" t="s">
        <v>34</v>
      </c>
      <c r="H445" s="189">
        <f t="shared" si="6"/>
        <v>5.2435816021046904</v>
      </c>
      <c r="I445" s="136" t="s">
        <v>2373</v>
      </c>
      <c r="J445" s="146">
        <v>90</v>
      </c>
      <c r="K445" s="147">
        <v>11</v>
      </c>
      <c r="L445" s="147">
        <v>1</v>
      </c>
      <c r="M445" s="147">
        <v>12</v>
      </c>
      <c r="N445" s="277">
        <f>2679.38*2.2046</f>
        <v>5906.9611480000003</v>
      </c>
      <c r="O445" s="179"/>
      <c r="P445" s="179">
        <v>45966</v>
      </c>
      <c r="Q445" s="175">
        <f>11.56/2.2046</f>
        <v>5.2435816021046904</v>
      </c>
      <c r="R445" s="269">
        <v>0</v>
      </c>
      <c r="S445" s="129"/>
      <c r="T445" s="129" t="s">
        <v>2089</v>
      </c>
      <c r="U445" s="147" t="s">
        <v>37</v>
      </c>
      <c r="V445" s="147"/>
      <c r="W445" s="147" t="s">
        <v>2208</v>
      </c>
      <c r="X445" s="206"/>
      <c r="Y445" s="251"/>
      <c r="Z445" s="290"/>
      <c r="AA445" s="286" t="s">
        <v>33</v>
      </c>
      <c r="XFB445" s="259"/>
    </row>
    <row r="446" spans="1:27 16381:16382" ht="36" x14ac:dyDescent="0.25">
      <c r="A446" s="265"/>
      <c r="B446" s="136">
        <v>1109368</v>
      </c>
      <c r="C446" s="128" t="s">
        <v>30</v>
      </c>
      <c r="D446" s="136" t="s">
        <v>2437</v>
      </c>
      <c r="E446" s="147" t="s">
        <v>2440</v>
      </c>
      <c r="F446" s="129" t="s">
        <v>2350</v>
      </c>
      <c r="G446" s="147" t="s">
        <v>34</v>
      </c>
      <c r="H446" s="189">
        <f t="shared" si="6"/>
        <v>5.6835707157761037</v>
      </c>
      <c r="I446" s="136" t="s">
        <v>2374</v>
      </c>
      <c r="J446" s="146">
        <v>30</v>
      </c>
      <c r="K446" s="147">
        <v>11</v>
      </c>
      <c r="L446" s="147">
        <v>1</v>
      </c>
      <c r="M446" s="147">
        <v>12</v>
      </c>
      <c r="N446" s="267">
        <f>545*2.2046</f>
        <v>1201.5070000000001</v>
      </c>
      <c r="O446" s="269">
        <f>17.47/2.2046</f>
        <v>7.9243400163294924</v>
      </c>
      <c r="P446" s="179">
        <v>45971</v>
      </c>
      <c r="Q446" s="269">
        <f>12.53/2.2046</f>
        <v>5.6835707157761037</v>
      </c>
      <c r="R446" s="276">
        <v>0</v>
      </c>
      <c r="S446" s="147"/>
      <c r="T446" s="129" t="s">
        <v>2089</v>
      </c>
      <c r="U446" s="147" t="s">
        <v>37</v>
      </c>
      <c r="V446" s="205"/>
      <c r="W446" s="147" t="s">
        <v>2208</v>
      </c>
      <c r="X446" s="206"/>
      <c r="Y446" s="251"/>
      <c r="Z446" s="290"/>
      <c r="AA446" s="286" t="s">
        <v>33</v>
      </c>
      <c r="XFA446" s="259"/>
      <c r="XFB446" s="266"/>
    </row>
    <row r="447" spans="1:27 16381:16382" ht="36" x14ac:dyDescent="0.25">
      <c r="A447" s="265"/>
      <c r="B447" s="136">
        <v>1109369</v>
      </c>
      <c r="C447" s="128" t="s">
        <v>30</v>
      </c>
      <c r="D447" s="136" t="s">
        <v>2314</v>
      </c>
      <c r="E447" s="147" t="s">
        <v>535</v>
      </c>
      <c r="F447" s="129" t="s">
        <v>2089</v>
      </c>
      <c r="G447" s="147" t="s">
        <v>34</v>
      </c>
      <c r="H447" s="189">
        <f t="shared" si="6"/>
        <v>5.2844053343010069</v>
      </c>
      <c r="I447" s="136" t="s">
        <v>2375</v>
      </c>
      <c r="J447" s="146">
        <v>90</v>
      </c>
      <c r="K447" s="147">
        <v>11</v>
      </c>
      <c r="L447" s="147">
        <v>1</v>
      </c>
      <c r="M447" s="147">
        <v>12</v>
      </c>
      <c r="N447" s="147">
        <f>500*2.2046</f>
        <v>1102.3</v>
      </c>
      <c r="O447" s="173"/>
      <c r="P447" s="179">
        <v>45972</v>
      </c>
      <c r="Q447" s="269">
        <f>11.65/2.2046</f>
        <v>5.2844053343010069</v>
      </c>
      <c r="R447" s="269">
        <v>0</v>
      </c>
      <c r="S447" s="147"/>
      <c r="T447" s="129" t="s">
        <v>2089</v>
      </c>
      <c r="U447" s="147" t="s">
        <v>37</v>
      </c>
      <c r="V447" s="205"/>
      <c r="W447" s="147" t="s">
        <v>2208</v>
      </c>
      <c r="X447" s="206"/>
      <c r="Y447" s="251"/>
      <c r="Z447" s="290"/>
      <c r="AA447" s="354"/>
      <c r="XFA447" s="259"/>
      <c r="XFB447" s="266"/>
    </row>
    <row r="448" spans="1:27 16381:16382" ht="36" hidden="1" x14ac:dyDescent="0.25">
      <c r="A448" s="265"/>
      <c r="B448" s="136">
        <v>1109370</v>
      </c>
      <c r="C448" s="128" t="s">
        <v>30</v>
      </c>
      <c r="D448" s="136" t="s">
        <v>2315</v>
      </c>
      <c r="E448" s="147"/>
      <c r="F448" s="129" t="s">
        <v>2089</v>
      </c>
      <c r="G448" s="147" t="s">
        <v>34</v>
      </c>
      <c r="H448" s="189">
        <f t="shared" si="6"/>
        <v>0</v>
      </c>
      <c r="I448" s="136" t="s">
        <v>2376</v>
      </c>
      <c r="J448" s="146">
        <v>90</v>
      </c>
      <c r="K448" s="147">
        <v>11</v>
      </c>
      <c r="L448" s="147">
        <v>1</v>
      </c>
      <c r="M448" s="147">
        <v>12</v>
      </c>
      <c r="N448" s="267"/>
      <c r="O448" s="173"/>
      <c r="P448" s="179"/>
      <c r="Q448" s="147"/>
      <c r="R448" s="276"/>
      <c r="S448" s="147"/>
      <c r="T448" s="129" t="s">
        <v>2089</v>
      </c>
      <c r="U448" s="147" t="s">
        <v>37</v>
      </c>
      <c r="V448" s="205"/>
      <c r="W448" s="147" t="s">
        <v>2209</v>
      </c>
      <c r="X448" s="206"/>
      <c r="Y448" s="251"/>
      <c r="Z448" s="290"/>
      <c r="AA448" s="286"/>
      <c r="XFA448" s="259"/>
      <c r="XFB448" s="266"/>
    </row>
    <row r="449" spans="1:27 16381:16382" ht="36" x14ac:dyDescent="0.25">
      <c r="A449" s="265"/>
      <c r="B449" s="136">
        <v>1109371</v>
      </c>
      <c r="C449" s="128" t="s">
        <v>30</v>
      </c>
      <c r="D449" s="136" t="s">
        <v>2349</v>
      </c>
      <c r="E449" s="147" t="s">
        <v>2398</v>
      </c>
      <c r="F449" s="129" t="s">
        <v>1836</v>
      </c>
      <c r="G449" s="147" t="s">
        <v>34</v>
      </c>
      <c r="H449" s="189">
        <f t="shared" si="6"/>
        <v>15.260000000000002</v>
      </c>
      <c r="I449" s="136" t="s">
        <v>2402</v>
      </c>
      <c r="J449" s="146">
        <v>0</v>
      </c>
      <c r="K449" s="147">
        <v>6</v>
      </c>
      <c r="L449" s="147">
        <v>1</v>
      </c>
      <c r="M449" s="147">
        <v>7</v>
      </c>
      <c r="N449" s="267">
        <v>550</v>
      </c>
      <c r="O449" s="173">
        <v>4.82</v>
      </c>
      <c r="P449" s="179">
        <v>45943</v>
      </c>
      <c r="Q449" s="269">
        <v>15.21</v>
      </c>
      <c r="R449" s="260">
        <v>0.05</v>
      </c>
      <c r="S449" s="147"/>
      <c r="T449" s="129" t="s">
        <v>2089</v>
      </c>
      <c r="U449" s="147" t="s">
        <v>37</v>
      </c>
      <c r="V449" s="205"/>
      <c r="W449" s="147" t="s">
        <v>2208</v>
      </c>
      <c r="X449" s="206"/>
      <c r="Y449" s="251"/>
      <c r="Z449" s="290"/>
      <c r="AA449" s="286" t="s">
        <v>33</v>
      </c>
      <c r="XFA449" s="259"/>
      <c r="XFB449" s="266"/>
    </row>
    <row r="450" spans="1:27 16381:16382" ht="36" x14ac:dyDescent="0.25">
      <c r="A450" s="265"/>
      <c r="B450" s="136">
        <v>1109372</v>
      </c>
      <c r="C450" s="128" t="s">
        <v>30</v>
      </c>
      <c r="D450" s="136" t="s">
        <v>2412</v>
      </c>
      <c r="E450" s="147" t="s">
        <v>32</v>
      </c>
      <c r="F450" s="129" t="s">
        <v>2350</v>
      </c>
      <c r="G450" s="147" t="s">
        <v>34</v>
      </c>
      <c r="H450" s="189">
        <f t="shared" si="6"/>
        <v>5.52</v>
      </c>
      <c r="I450" s="136" t="s">
        <v>2377</v>
      </c>
      <c r="J450" s="146">
        <v>30</v>
      </c>
      <c r="K450" s="147">
        <v>11</v>
      </c>
      <c r="L450" s="147">
        <v>1</v>
      </c>
      <c r="M450" s="147">
        <v>12</v>
      </c>
      <c r="N450" s="147">
        <f>2040*2.2046</f>
        <v>4497.384</v>
      </c>
      <c r="O450" s="173"/>
      <c r="P450" s="179">
        <v>45959</v>
      </c>
      <c r="Q450" s="269">
        <v>5.52</v>
      </c>
      <c r="R450" s="271">
        <v>0</v>
      </c>
      <c r="S450" s="147"/>
      <c r="T450" s="129" t="s">
        <v>2089</v>
      </c>
      <c r="U450" s="147" t="s">
        <v>37</v>
      </c>
      <c r="V450" s="205"/>
      <c r="W450" s="147" t="s">
        <v>2208</v>
      </c>
      <c r="X450" s="206"/>
      <c r="Y450" s="251"/>
      <c r="Z450" s="290"/>
      <c r="AA450" s="286" t="s">
        <v>33</v>
      </c>
      <c r="XFA450" s="259"/>
      <c r="XFB450" s="266"/>
    </row>
    <row r="451" spans="1:27 16381:16382" ht="36" hidden="1" x14ac:dyDescent="0.25">
      <c r="A451" s="265"/>
      <c r="B451" s="136">
        <v>1109373</v>
      </c>
      <c r="C451" s="128" t="s">
        <v>30</v>
      </c>
      <c r="D451" s="136" t="s">
        <v>2316</v>
      </c>
      <c r="E451" s="147"/>
      <c r="F451" s="129" t="s">
        <v>2089</v>
      </c>
      <c r="G451" s="147" t="s">
        <v>34</v>
      </c>
      <c r="H451" s="189">
        <f t="shared" ref="H451:H514" si="7">Q451+R451</f>
        <v>0</v>
      </c>
      <c r="I451" s="136" t="s">
        <v>2378</v>
      </c>
      <c r="J451" s="146">
        <v>90</v>
      </c>
      <c r="K451" s="147">
        <v>11</v>
      </c>
      <c r="L451" s="147">
        <v>1</v>
      </c>
      <c r="M451" s="147">
        <v>12</v>
      </c>
      <c r="N451" s="267"/>
      <c r="O451" s="173"/>
      <c r="P451" s="179"/>
      <c r="Q451" s="147"/>
      <c r="R451" s="276"/>
      <c r="S451" s="147"/>
      <c r="T451" s="129" t="s">
        <v>2089</v>
      </c>
      <c r="U451" s="147" t="s">
        <v>37</v>
      </c>
      <c r="V451" s="205"/>
      <c r="W451" s="147" t="s">
        <v>2209</v>
      </c>
      <c r="X451" s="206"/>
      <c r="Y451" s="251"/>
      <c r="Z451" s="290"/>
      <c r="AA451" s="286"/>
      <c r="XFA451" s="259"/>
      <c r="XFB451" s="266"/>
    </row>
    <row r="452" spans="1:27 16381:16382" ht="36" hidden="1" x14ac:dyDescent="0.25">
      <c r="A452" s="265"/>
      <c r="B452" s="136">
        <v>1109374</v>
      </c>
      <c r="C452" s="128" t="s">
        <v>30</v>
      </c>
      <c r="D452" s="136" t="s">
        <v>2317</v>
      </c>
      <c r="E452" s="147"/>
      <c r="F452" s="129" t="s">
        <v>2089</v>
      </c>
      <c r="G452" s="147" t="s">
        <v>34</v>
      </c>
      <c r="H452" s="189">
        <f t="shared" si="7"/>
        <v>0</v>
      </c>
      <c r="I452" s="136" t="s">
        <v>2379</v>
      </c>
      <c r="J452" s="146">
        <v>90</v>
      </c>
      <c r="K452" s="147">
        <v>11</v>
      </c>
      <c r="L452" s="147">
        <v>1</v>
      </c>
      <c r="M452" s="147">
        <v>12</v>
      </c>
      <c r="N452" s="267"/>
      <c r="O452" s="173"/>
      <c r="P452" s="179"/>
      <c r="Q452" s="147"/>
      <c r="R452" s="276"/>
      <c r="S452" s="147"/>
      <c r="T452" s="129" t="s">
        <v>2089</v>
      </c>
      <c r="U452" s="147" t="s">
        <v>37</v>
      </c>
      <c r="V452" s="205"/>
      <c r="W452" s="147" t="s">
        <v>2209</v>
      </c>
      <c r="X452" s="206"/>
      <c r="Y452" s="251"/>
      <c r="Z452" s="290"/>
      <c r="AA452" s="286"/>
      <c r="XFA452" s="259"/>
      <c r="XFB452" s="266"/>
    </row>
    <row r="453" spans="1:27 16381:16382" ht="36" x14ac:dyDescent="0.25">
      <c r="A453" s="265"/>
      <c r="B453" s="136">
        <v>1109375</v>
      </c>
      <c r="C453" s="128" t="s">
        <v>30</v>
      </c>
      <c r="D453" s="136" t="s">
        <v>2318</v>
      </c>
      <c r="E453" s="147" t="s">
        <v>1690</v>
      </c>
      <c r="F453" s="129" t="s">
        <v>2089</v>
      </c>
      <c r="G453" s="147" t="s">
        <v>34</v>
      </c>
      <c r="H453" s="189">
        <f t="shared" si="7"/>
        <v>15.603737639481084</v>
      </c>
      <c r="I453" s="136" t="s">
        <v>2380</v>
      </c>
      <c r="J453" s="146">
        <v>90</v>
      </c>
      <c r="K453" s="147">
        <v>11</v>
      </c>
      <c r="L453" s="147">
        <v>1</v>
      </c>
      <c r="M453" s="147">
        <v>12</v>
      </c>
      <c r="N453" s="147">
        <f>360*2.2046</f>
        <v>793.65600000000006</v>
      </c>
      <c r="O453" s="173"/>
      <c r="P453" s="179">
        <v>45972</v>
      </c>
      <c r="Q453" s="269">
        <f>34.4/2.2046</f>
        <v>15.603737639481084</v>
      </c>
      <c r="R453" s="269">
        <v>0</v>
      </c>
      <c r="S453" s="147"/>
      <c r="T453" s="129" t="s">
        <v>2089</v>
      </c>
      <c r="U453" s="147" t="s">
        <v>37</v>
      </c>
      <c r="V453" s="205"/>
      <c r="W453" s="147" t="s">
        <v>2208</v>
      </c>
      <c r="X453" s="206"/>
      <c r="Y453" s="251"/>
      <c r="Z453" s="290"/>
      <c r="AA453" s="286" t="s">
        <v>2689</v>
      </c>
      <c r="XFA453" s="259"/>
      <c r="XFB453" s="266"/>
    </row>
    <row r="454" spans="1:27 16381:16382" ht="36" hidden="1" x14ac:dyDescent="0.25">
      <c r="A454" s="265"/>
      <c r="B454" s="136">
        <v>1109376</v>
      </c>
      <c r="C454" s="128" t="s">
        <v>30</v>
      </c>
      <c r="D454" s="136" t="s">
        <v>2319</v>
      </c>
      <c r="E454" s="147"/>
      <c r="F454" s="129" t="s">
        <v>2089</v>
      </c>
      <c r="G454" s="147" t="s">
        <v>34</v>
      </c>
      <c r="H454" s="189">
        <f t="shared" si="7"/>
        <v>0</v>
      </c>
      <c r="I454" s="136" t="s">
        <v>2381</v>
      </c>
      <c r="J454" s="146">
        <v>90</v>
      </c>
      <c r="K454" s="147">
        <v>11</v>
      </c>
      <c r="L454" s="147">
        <v>1</v>
      </c>
      <c r="M454" s="147">
        <v>12</v>
      </c>
      <c r="N454" s="267"/>
      <c r="O454" s="173"/>
      <c r="P454" s="179"/>
      <c r="Q454" s="147"/>
      <c r="R454" s="276"/>
      <c r="S454" s="147"/>
      <c r="T454" s="129" t="s">
        <v>2089</v>
      </c>
      <c r="U454" s="147" t="s">
        <v>37</v>
      </c>
      <c r="V454" s="205"/>
      <c r="W454" s="147" t="s">
        <v>2209</v>
      </c>
      <c r="X454" s="206"/>
      <c r="Y454" s="251"/>
      <c r="Z454" s="290"/>
      <c r="AA454" s="286"/>
      <c r="XFA454" s="259"/>
      <c r="XFB454" s="266"/>
    </row>
    <row r="455" spans="1:27 16381:16382" ht="36" hidden="1" x14ac:dyDescent="0.25">
      <c r="A455" s="265"/>
      <c r="B455" s="136">
        <v>1109377</v>
      </c>
      <c r="C455" s="128" t="s">
        <v>30</v>
      </c>
      <c r="D455" s="136" t="s">
        <v>2320</v>
      </c>
      <c r="E455" s="147"/>
      <c r="F455" s="129" t="s">
        <v>2089</v>
      </c>
      <c r="G455" s="147" t="s">
        <v>34</v>
      </c>
      <c r="H455" s="189">
        <f t="shared" si="7"/>
        <v>0</v>
      </c>
      <c r="I455" s="136" t="s">
        <v>2382</v>
      </c>
      <c r="J455" s="146">
        <v>90</v>
      </c>
      <c r="K455" s="147">
        <v>11</v>
      </c>
      <c r="L455" s="147">
        <v>1</v>
      </c>
      <c r="M455" s="147">
        <v>12</v>
      </c>
      <c r="N455" s="267"/>
      <c r="O455" s="173"/>
      <c r="P455" s="179"/>
      <c r="Q455" s="147"/>
      <c r="R455" s="276"/>
      <c r="S455" s="147"/>
      <c r="T455" s="129" t="s">
        <v>2089</v>
      </c>
      <c r="U455" s="147" t="s">
        <v>37</v>
      </c>
      <c r="V455" s="205"/>
      <c r="W455" s="147" t="s">
        <v>2209</v>
      </c>
      <c r="X455" s="206"/>
      <c r="Y455" s="251"/>
      <c r="Z455" s="290"/>
      <c r="AA455" s="286"/>
      <c r="XFA455" s="259"/>
      <c r="XFB455" s="266"/>
    </row>
    <row r="456" spans="1:27 16381:16382" ht="36" hidden="1" x14ac:dyDescent="0.25">
      <c r="A456" s="265"/>
      <c r="B456" s="136">
        <v>1109378</v>
      </c>
      <c r="C456" s="128" t="s">
        <v>30</v>
      </c>
      <c r="D456" s="136" t="s">
        <v>2321</v>
      </c>
      <c r="E456" s="147"/>
      <c r="F456" s="129" t="s">
        <v>2089</v>
      </c>
      <c r="G456" s="147" t="s">
        <v>34</v>
      </c>
      <c r="H456" s="189">
        <f t="shared" si="7"/>
        <v>0</v>
      </c>
      <c r="I456" s="136" t="s">
        <v>2383</v>
      </c>
      <c r="J456" s="146">
        <v>90</v>
      </c>
      <c r="K456" s="147">
        <v>11</v>
      </c>
      <c r="L456" s="147">
        <v>1</v>
      </c>
      <c r="M456" s="147">
        <v>12</v>
      </c>
      <c r="N456" s="267"/>
      <c r="O456" s="173"/>
      <c r="P456" s="179"/>
      <c r="Q456" s="147"/>
      <c r="R456" s="276"/>
      <c r="S456" s="147"/>
      <c r="T456" s="129" t="s">
        <v>2089</v>
      </c>
      <c r="U456" s="147" t="s">
        <v>37</v>
      </c>
      <c r="V456" s="205"/>
      <c r="W456" s="147" t="s">
        <v>2209</v>
      </c>
      <c r="X456" s="206"/>
      <c r="Y456" s="251"/>
      <c r="Z456" s="290"/>
      <c r="AA456" s="286"/>
      <c r="XFA456" s="259"/>
      <c r="XFB456" s="266"/>
    </row>
    <row r="457" spans="1:27 16381:16382" ht="24" hidden="1" x14ac:dyDescent="0.25">
      <c r="A457" s="265"/>
      <c r="B457" s="136">
        <v>1109379</v>
      </c>
      <c r="C457" s="128" t="s">
        <v>30</v>
      </c>
      <c r="D457" s="136" t="s">
        <v>2409</v>
      </c>
      <c r="E457" s="147" t="s">
        <v>545</v>
      </c>
      <c r="F457" s="129" t="s">
        <v>1836</v>
      </c>
      <c r="G457" s="147" t="s">
        <v>34</v>
      </c>
      <c r="H457" s="189">
        <f t="shared" si="7"/>
        <v>13.21</v>
      </c>
      <c r="I457" s="136" t="s">
        <v>2408</v>
      </c>
      <c r="J457" s="146">
        <v>0</v>
      </c>
      <c r="K457" s="147">
        <v>9</v>
      </c>
      <c r="L457" s="275">
        <v>1</v>
      </c>
      <c r="M457" s="275">
        <v>10</v>
      </c>
      <c r="N457" s="267">
        <v>550</v>
      </c>
      <c r="O457" s="269">
        <v>42.7</v>
      </c>
      <c r="P457" s="179">
        <v>45961</v>
      </c>
      <c r="Q457" s="269">
        <v>13.16</v>
      </c>
      <c r="R457" s="276">
        <v>0.05</v>
      </c>
      <c r="S457" s="147"/>
      <c r="T457" s="129" t="s">
        <v>2089</v>
      </c>
      <c r="U457" s="147" t="s">
        <v>37</v>
      </c>
      <c r="V457" s="205"/>
      <c r="W457" s="147" t="s">
        <v>2209</v>
      </c>
      <c r="X457" s="206"/>
      <c r="Y457" s="251"/>
      <c r="Z457" s="290"/>
      <c r="AA457" s="286"/>
      <c r="XFA457" s="259"/>
      <c r="XFB457" s="266"/>
    </row>
    <row r="458" spans="1:27 16381:16382" ht="36" hidden="1" x14ac:dyDescent="0.25">
      <c r="A458" s="265"/>
      <c r="B458" s="136">
        <v>1109380</v>
      </c>
      <c r="C458" s="128" t="s">
        <v>30</v>
      </c>
      <c r="D458" s="136" t="s">
        <v>2322</v>
      </c>
      <c r="E458" s="147"/>
      <c r="F458" s="129" t="s">
        <v>2089</v>
      </c>
      <c r="G458" s="147" t="s">
        <v>34</v>
      </c>
      <c r="H458" s="189">
        <f t="shared" si="7"/>
        <v>0</v>
      </c>
      <c r="I458" s="136" t="s">
        <v>2384</v>
      </c>
      <c r="J458" s="146">
        <v>90</v>
      </c>
      <c r="K458" s="147">
        <v>11</v>
      </c>
      <c r="L458" s="147">
        <v>1</v>
      </c>
      <c r="M458" s="147">
        <v>12</v>
      </c>
      <c r="N458" s="267"/>
      <c r="O458" s="173"/>
      <c r="P458" s="179"/>
      <c r="Q458" s="147"/>
      <c r="R458" s="276"/>
      <c r="S458" s="147"/>
      <c r="T458" s="129" t="s">
        <v>2089</v>
      </c>
      <c r="U458" s="147" t="s">
        <v>37</v>
      </c>
      <c r="V458" s="205"/>
      <c r="W458" s="147" t="s">
        <v>2209</v>
      </c>
      <c r="X458" s="206"/>
      <c r="Y458" s="251"/>
      <c r="Z458" s="290"/>
      <c r="AA458" s="286"/>
      <c r="XFA458" s="259"/>
      <c r="XFB458" s="266"/>
    </row>
    <row r="459" spans="1:27 16381:16382" ht="36" x14ac:dyDescent="0.25">
      <c r="A459" s="265"/>
      <c r="B459" s="136">
        <v>1109381</v>
      </c>
      <c r="C459" s="128" t="s">
        <v>30</v>
      </c>
      <c r="D459" s="136" t="s">
        <v>2529</v>
      </c>
      <c r="E459" s="147" t="s">
        <v>2398</v>
      </c>
      <c r="F459" s="129" t="s">
        <v>2350</v>
      </c>
      <c r="G459" s="147" t="s">
        <v>34</v>
      </c>
      <c r="H459" s="189">
        <f t="shared" si="7"/>
        <v>3.63</v>
      </c>
      <c r="I459" s="136" t="s">
        <v>2385</v>
      </c>
      <c r="J459" s="146">
        <v>30</v>
      </c>
      <c r="K459" s="147">
        <v>10</v>
      </c>
      <c r="L459" s="147">
        <v>1</v>
      </c>
      <c r="M459" s="147">
        <v>12</v>
      </c>
      <c r="N459" s="267">
        <v>4497</v>
      </c>
      <c r="O459" s="269">
        <f>6.68/2.2046</f>
        <v>3.0300281230155126</v>
      </c>
      <c r="P459" s="179">
        <v>46062</v>
      </c>
      <c r="Q459" s="269">
        <v>3.63</v>
      </c>
      <c r="R459" s="269">
        <v>0</v>
      </c>
      <c r="S459" s="147"/>
      <c r="T459" s="129" t="s">
        <v>2089</v>
      </c>
      <c r="U459" s="147" t="s">
        <v>37</v>
      </c>
      <c r="V459" s="205"/>
      <c r="W459" s="147" t="s">
        <v>2208</v>
      </c>
      <c r="X459" s="206"/>
      <c r="Y459" s="251"/>
      <c r="Z459" s="290"/>
      <c r="AA459" s="286" t="s">
        <v>1829</v>
      </c>
      <c r="XFA459" s="259"/>
      <c r="XFB459" s="266"/>
    </row>
    <row r="460" spans="1:27 16381:16382" ht="48" x14ac:dyDescent="0.25">
      <c r="A460" s="265"/>
      <c r="B460" s="136">
        <v>1109382</v>
      </c>
      <c r="C460" s="128" t="s">
        <v>30</v>
      </c>
      <c r="D460" s="136" t="s">
        <v>2548</v>
      </c>
      <c r="E460" s="147" t="s">
        <v>2195</v>
      </c>
      <c r="F460" s="129" t="s">
        <v>2089</v>
      </c>
      <c r="G460" s="147" t="s">
        <v>34</v>
      </c>
      <c r="H460" s="189">
        <f t="shared" si="7"/>
        <v>20.439081919622609</v>
      </c>
      <c r="I460" s="136" t="s">
        <v>2386</v>
      </c>
      <c r="J460" s="146">
        <v>90</v>
      </c>
      <c r="K460" s="147">
        <v>11</v>
      </c>
      <c r="L460" s="147">
        <v>1</v>
      </c>
      <c r="M460" s="147">
        <v>12</v>
      </c>
      <c r="N460" s="307">
        <f>47.481*2.2046</f>
        <v>104.67661260000001</v>
      </c>
      <c r="O460" s="173"/>
      <c r="P460" s="179">
        <v>45971</v>
      </c>
      <c r="Q460" s="269">
        <f>45.06/2.2046</f>
        <v>20.439081919622609</v>
      </c>
      <c r="R460" s="276">
        <v>0</v>
      </c>
      <c r="S460" s="147"/>
      <c r="T460" s="129" t="s">
        <v>2089</v>
      </c>
      <c r="U460" s="147" t="s">
        <v>37</v>
      </c>
      <c r="V460" s="205"/>
      <c r="W460" s="147" t="s">
        <v>2208</v>
      </c>
      <c r="X460" s="206"/>
      <c r="Y460" s="251"/>
      <c r="Z460" s="290"/>
      <c r="AA460" s="286" t="s">
        <v>2707</v>
      </c>
      <c r="XFA460" s="259"/>
      <c r="XFB460" s="266"/>
    </row>
    <row r="461" spans="1:27 16381:16382" ht="36" x14ac:dyDescent="0.25">
      <c r="A461" s="265"/>
      <c r="B461" s="136">
        <v>1109383</v>
      </c>
      <c r="C461" s="128" t="s">
        <v>30</v>
      </c>
      <c r="D461" s="136" t="s">
        <v>2323</v>
      </c>
      <c r="E461" s="147" t="s">
        <v>2195</v>
      </c>
      <c r="F461" s="129" t="s">
        <v>2089</v>
      </c>
      <c r="G461" s="147" t="s">
        <v>34</v>
      </c>
      <c r="H461" s="189">
        <f t="shared" si="7"/>
        <v>26.313163385648188</v>
      </c>
      <c r="I461" s="136" t="s">
        <v>2387</v>
      </c>
      <c r="J461" s="146">
        <v>90</v>
      </c>
      <c r="K461" s="147">
        <v>11</v>
      </c>
      <c r="L461" s="147">
        <v>1</v>
      </c>
      <c r="M461" s="147">
        <v>12</v>
      </c>
      <c r="N461" s="267">
        <f>20*2.2046</f>
        <v>44.091999999999999</v>
      </c>
      <c r="O461" s="173"/>
      <c r="P461" s="179">
        <v>45943</v>
      </c>
      <c r="Q461" s="269">
        <f>58.01/2.2046</f>
        <v>26.313163385648188</v>
      </c>
      <c r="R461" s="271">
        <v>0</v>
      </c>
      <c r="S461" s="147"/>
      <c r="T461" s="129" t="s">
        <v>2089</v>
      </c>
      <c r="U461" s="147" t="s">
        <v>37</v>
      </c>
      <c r="V461" s="205"/>
      <c r="W461" s="147" t="s">
        <v>2208</v>
      </c>
      <c r="X461" s="206"/>
      <c r="Y461" s="251"/>
      <c r="Z461" s="290"/>
      <c r="AA461" s="354"/>
      <c r="XFA461" s="259"/>
      <c r="XFB461" s="266"/>
    </row>
    <row r="462" spans="1:27 16381:16382" ht="24" x14ac:dyDescent="0.25">
      <c r="A462" s="265"/>
      <c r="B462" s="136">
        <v>1109384</v>
      </c>
      <c r="C462" s="128" t="s">
        <v>30</v>
      </c>
      <c r="D462" s="136" t="s">
        <v>2676</v>
      </c>
      <c r="E462" s="147" t="s">
        <v>32</v>
      </c>
      <c r="F462" s="129" t="s">
        <v>323</v>
      </c>
      <c r="G462" s="147" t="s">
        <v>34</v>
      </c>
      <c r="H462" s="189">
        <f t="shared" si="7"/>
        <v>7.35</v>
      </c>
      <c r="I462" s="136" t="s">
        <v>2544</v>
      </c>
      <c r="J462" s="146">
        <v>0</v>
      </c>
      <c r="K462" s="147">
        <v>11</v>
      </c>
      <c r="L462" s="147">
        <v>1</v>
      </c>
      <c r="M462" s="147">
        <v>12</v>
      </c>
      <c r="N462" s="147">
        <v>551</v>
      </c>
      <c r="O462" s="269">
        <f>16.84/2.2046</f>
        <v>7.6385738909552749</v>
      </c>
      <c r="P462" s="179">
        <v>46062</v>
      </c>
      <c r="Q462" s="269">
        <v>7.3</v>
      </c>
      <c r="R462" s="269">
        <v>0.05</v>
      </c>
      <c r="S462" s="147"/>
      <c r="T462" s="129" t="s">
        <v>2089</v>
      </c>
      <c r="U462" s="147" t="s">
        <v>37</v>
      </c>
      <c r="V462" s="205"/>
      <c r="W462" s="147" t="s">
        <v>2208</v>
      </c>
      <c r="X462" s="206"/>
      <c r="Y462" s="251"/>
      <c r="Z462" s="290"/>
      <c r="AA462" s="286" t="s">
        <v>33</v>
      </c>
      <c r="XFA462" s="259"/>
      <c r="XFB462" s="266"/>
    </row>
    <row r="463" spans="1:27 16381:16382" ht="24" x14ac:dyDescent="0.25">
      <c r="A463" s="265"/>
      <c r="B463" s="136">
        <v>1109385</v>
      </c>
      <c r="C463" s="128" t="s">
        <v>30</v>
      </c>
      <c r="D463" s="136" t="s">
        <v>2410</v>
      </c>
      <c r="E463" s="147" t="s">
        <v>843</v>
      </c>
      <c r="F463" s="129" t="s">
        <v>1748</v>
      </c>
      <c r="G463" s="147" t="s">
        <v>34</v>
      </c>
      <c r="H463" s="189">
        <f t="shared" si="7"/>
        <v>10.030000000000001</v>
      </c>
      <c r="I463" s="136" t="s">
        <v>2411</v>
      </c>
      <c r="J463" s="146">
        <v>0</v>
      </c>
      <c r="K463" s="147">
        <v>5</v>
      </c>
      <c r="L463" s="147">
        <v>1</v>
      </c>
      <c r="M463" s="147">
        <v>6</v>
      </c>
      <c r="N463" s="147">
        <v>220</v>
      </c>
      <c r="O463" s="173">
        <f>21.75/2.2046</f>
        <v>9.8657352807765584</v>
      </c>
      <c r="P463" s="179">
        <v>45959</v>
      </c>
      <c r="Q463" s="269">
        <v>9.98</v>
      </c>
      <c r="R463" s="269">
        <v>0.05</v>
      </c>
      <c r="S463" s="147"/>
      <c r="T463" s="129" t="s">
        <v>2089</v>
      </c>
      <c r="U463" s="147" t="s">
        <v>37</v>
      </c>
      <c r="V463" s="205"/>
      <c r="W463" s="147" t="s">
        <v>2208</v>
      </c>
      <c r="X463" s="206"/>
      <c r="Y463" s="251"/>
      <c r="Z463" s="290"/>
      <c r="AA463" s="286" t="s">
        <v>2706</v>
      </c>
      <c r="XFA463" s="259"/>
      <c r="XFB463" s="266"/>
    </row>
    <row r="464" spans="1:27 16381:16382" ht="48" x14ac:dyDescent="0.25">
      <c r="A464" s="265"/>
      <c r="B464" s="136">
        <v>1109386</v>
      </c>
      <c r="C464" s="128" t="s">
        <v>30</v>
      </c>
      <c r="D464" s="136" t="s">
        <v>2324</v>
      </c>
      <c r="E464" s="282" t="s">
        <v>131</v>
      </c>
      <c r="F464" s="129" t="s">
        <v>2089</v>
      </c>
      <c r="G464" s="147" t="s">
        <v>34</v>
      </c>
      <c r="H464" s="189">
        <f t="shared" si="7"/>
        <v>5.6654268347999635</v>
      </c>
      <c r="I464" s="136" t="s">
        <v>2388</v>
      </c>
      <c r="J464" s="146">
        <v>90</v>
      </c>
      <c r="K464" s="147">
        <v>11</v>
      </c>
      <c r="L464" s="147">
        <v>1</v>
      </c>
      <c r="M464" s="147">
        <v>12</v>
      </c>
      <c r="N464" s="275">
        <f>20*2.2046</f>
        <v>44.091999999999999</v>
      </c>
      <c r="O464" s="173"/>
      <c r="P464" s="179">
        <v>45943</v>
      </c>
      <c r="Q464" s="269">
        <f>12.49/2.2046</f>
        <v>5.6654268347999635</v>
      </c>
      <c r="R464" s="271">
        <v>0</v>
      </c>
      <c r="S464" s="147"/>
      <c r="T464" s="129" t="s">
        <v>2089</v>
      </c>
      <c r="U464" s="147" t="s">
        <v>37</v>
      </c>
      <c r="V464" s="205"/>
      <c r="W464" s="147" t="s">
        <v>2208</v>
      </c>
      <c r="X464" s="206"/>
      <c r="Y464" s="251"/>
      <c r="Z464" s="290"/>
      <c r="AA464" s="286" t="s">
        <v>2693</v>
      </c>
      <c r="XFA464" s="259"/>
      <c r="XFB464" s="266"/>
    </row>
    <row r="465" spans="1:27 16377:16382" hidden="1" x14ac:dyDescent="0.25">
      <c r="A465" s="265"/>
      <c r="B465" s="285">
        <v>1109387</v>
      </c>
      <c r="C465" s="128" t="s">
        <v>30</v>
      </c>
      <c r="D465" s="136" t="s">
        <v>2333</v>
      </c>
      <c r="E465" s="147" t="s">
        <v>1808</v>
      </c>
      <c r="F465" s="129" t="s">
        <v>2331</v>
      </c>
      <c r="G465" s="147" t="s">
        <v>34</v>
      </c>
      <c r="H465" s="189">
        <f t="shared" si="7"/>
        <v>2.3199999999999998</v>
      </c>
      <c r="I465" s="147"/>
      <c r="J465" s="146">
        <v>0</v>
      </c>
      <c r="K465" s="147">
        <v>9</v>
      </c>
      <c r="L465" s="147">
        <v>1</v>
      </c>
      <c r="M465" s="268">
        <v>10</v>
      </c>
      <c r="N465" s="147">
        <v>12000</v>
      </c>
      <c r="O465" s="173"/>
      <c r="P465" s="179">
        <v>45936</v>
      </c>
      <c r="Q465" s="175">
        <v>2.27</v>
      </c>
      <c r="R465" s="276">
        <v>0.05</v>
      </c>
      <c r="S465" s="147"/>
      <c r="T465" s="129" t="s">
        <v>2332</v>
      </c>
      <c r="U465" s="147" t="s">
        <v>37</v>
      </c>
      <c r="V465" s="205"/>
      <c r="W465" s="216" t="s">
        <v>54</v>
      </c>
      <c r="X465" s="206"/>
      <c r="Y465" s="251"/>
      <c r="Z465" s="290"/>
      <c r="AA465" s="286"/>
      <c r="XFA465" s="259"/>
      <c r="XFB465" s="266"/>
    </row>
    <row r="466" spans="1:27 16377:16382" hidden="1" x14ac:dyDescent="0.25">
      <c r="A466" s="265"/>
      <c r="B466" s="136">
        <v>1109388</v>
      </c>
      <c r="C466" s="128" t="s">
        <v>30</v>
      </c>
      <c r="D466" s="136" t="s">
        <v>2328</v>
      </c>
      <c r="E466" s="147" t="s">
        <v>43</v>
      </c>
      <c r="F466" s="129" t="s">
        <v>276</v>
      </c>
      <c r="G466" s="147" t="s">
        <v>34</v>
      </c>
      <c r="H466" s="189">
        <f t="shared" si="7"/>
        <v>2.0299999999999998</v>
      </c>
      <c r="I466" s="129" t="s">
        <v>2082</v>
      </c>
      <c r="J466" s="146">
        <v>0</v>
      </c>
      <c r="K466" s="147">
        <v>11</v>
      </c>
      <c r="L466" s="147">
        <v>1</v>
      </c>
      <c r="M466" s="268">
        <v>12</v>
      </c>
      <c r="N466" s="147">
        <v>6600</v>
      </c>
      <c r="O466" s="173"/>
      <c r="P466" s="179">
        <v>45936</v>
      </c>
      <c r="Q466" s="175">
        <v>1.98</v>
      </c>
      <c r="R466" s="271">
        <v>0.05</v>
      </c>
      <c r="S466" s="147"/>
      <c r="T466" s="129" t="s">
        <v>2332</v>
      </c>
      <c r="U466" s="147" t="s">
        <v>37</v>
      </c>
      <c r="V466" s="205"/>
      <c r="W466" s="147" t="s">
        <v>2209</v>
      </c>
      <c r="X466" s="279" t="s">
        <v>2438</v>
      </c>
      <c r="Y466" s="251"/>
      <c r="Z466" s="290"/>
      <c r="AA466" s="286"/>
      <c r="XFA466" s="259"/>
      <c r="XFB466" s="266"/>
    </row>
    <row r="467" spans="1:27 16377:16382" x14ac:dyDescent="0.25">
      <c r="A467" s="265"/>
      <c r="B467" s="136">
        <v>1109389</v>
      </c>
      <c r="C467" s="128" t="s">
        <v>30</v>
      </c>
      <c r="D467" s="136" t="s">
        <v>2329</v>
      </c>
      <c r="E467" s="280" t="s">
        <v>32</v>
      </c>
      <c r="F467" s="210" t="s">
        <v>2013</v>
      </c>
      <c r="G467" s="147" t="s">
        <v>34</v>
      </c>
      <c r="H467" s="189">
        <f t="shared" si="7"/>
        <v>3.6199999999999997</v>
      </c>
      <c r="I467" s="129" t="s">
        <v>2082</v>
      </c>
      <c r="J467" s="146">
        <v>0</v>
      </c>
      <c r="K467" s="147">
        <v>9</v>
      </c>
      <c r="L467" s="147">
        <v>1</v>
      </c>
      <c r="M467" s="267">
        <v>10</v>
      </c>
      <c r="N467" s="147">
        <v>6614</v>
      </c>
      <c r="O467" s="200"/>
      <c r="P467" s="179">
        <v>45936</v>
      </c>
      <c r="Q467" s="175">
        <v>3.57</v>
      </c>
      <c r="R467" s="269">
        <v>0.05</v>
      </c>
      <c r="S467" s="147"/>
      <c r="T467" s="129" t="s">
        <v>2332</v>
      </c>
      <c r="U467" s="147" t="s">
        <v>37</v>
      </c>
      <c r="V467" s="147"/>
      <c r="W467" s="147" t="s">
        <v>2210</v>
      </c>
      <c r="X467" s="251"/>
      <c r="Y467" s="251"/>
      <c r="Z467" s="291" t="s">
        <v>2564</v>
      </c>
      <c r="AA467" s="286" t="s">
        <v>2692</v>
      </c>
      <c r="XEZ467" s="259"/>
      <c r="XFA467" s="266"/>
      <c r="XFB467" s="266"/>
    </row>
    <row r="468" spans="1:27 16377:16382" ht="36" x14ac:dyDescent="0.25">
      <c r="A468" s="265"/>
      <c r="B468" s="129">
        <v>1109390</v>
      </c>
      <c r="C468" s="128" t="s">
        <v>30</v>
      </c>
      <c r="D468" s="136" t="s">
        <v>2354</v>
      </c>
      <c r="E468" s="280" t="s">
        <v>32</v>
      </c>
      <c r="F468" s="129" t="s">
        <v>2350</v>
      </c>
      <c r="G468" s="147" t="s">
        <v>34</v>
      </c>
      <c r="H468" s="189">
        <f t="shared" si="7"/>
        <v>4.785448607457135</v>
      </c>
      <c r="I468" s="136" t="s">
        <v>2389</v>
      </c>
      <c r="J468" s="146">
        <v>30</v>
      </c>
      <c r="K468" s="275">
        <v>11</v>
      </c>
      <c r="L468" s="277">
        <v>1</v>
      </c>
      <c r="M468" s="147">
        <v>12</v>
      </c>
      <c r="N468" s="325">
        <f>2040*2.2046</f>
        <v>4497.384</v>
      </c>
      <c r="O468" s="200"/>
      <c r="P468" s="179">
        <v>45971</v>
      </c>
      <c r="Q468" s="276">
        <f>10.55/2.2046</f>
        <v>4.785448607457135</v>
      </c>
      <c r="R468" s="269">
        <v>0</v>
      </c>
      <c r="S468" s="129"/>
      <c r="T468" s="129" t="s">
        <v>2089</v>
      </c>
      <c r="U468" s="147" t="s">
        <v>37</v>
      </c>
      <c r="V468" s="147"/>
      <c r="W468" s="147" t="s">
        <v>2208</v>
      </c>
      <c r="X468" s="251"/>
      <c r="Y468" s="251"/>
      <c r="Z468" s="290"/>
      <c r="AA468" s="286" t="s">
        <v>33</v>
      </c>
      <c r="XEZ468" s="259"/>
      <c r="XFA468" s="266"/>
      <c r="XFB468" s="266"/>
    </row>
    <row r="469" spans="1:27 16377:16382" hidden="1" x14ac:dyDescent="0.25">
      <c r="A469" s="272"/>
      <c r="B469" s="129">
        <v>1109391</v>
      </c>
      <c r="C469" s="128" t="s">
        <v>30</v>
      </c>
      <c r="D469" s="136" t="s">
        <v>2366</v>
      </c>
      <c r="E469" s="147" t="s">
        <v>1808</v>
      </c>
      <c r="F469" s="129" t="s">
        <v>1791</v>
      </c>
      <c r="G469" s="147" t="s">
        <v>34</v>
      </c>
      <c r="H469" s="189">
        <f t="shared" si="7"/>
        <v>4.4669999999999996</v>
      </c>
      <c r="I469" s="129" t="s">
        <v>2082</v>
      </c>
      <c r="J469" s="146">
        <v>30</v>
      </c>
      <c r="K469" s="147">
        <v>8</v>
      </c>
      <c r="L469" s="147">
        <v>1</v>
      </c>
      <c r="M469" s="147">
        <v>9</v>
      </c>
      <c r="N469" s="326">
        <v>1653</v>
      </c>
      <c r="O469" s="179"/>
      <c r="P469" s="179">
        <v>45952</v>
      </c>
      <c r="Q469" s="173">
        <v>4.4169999999999998</v>
      </c>
      <c r="R469" s="271">
        <v>0.05</v>
      </c>
      <c r="S469" s="147"/>
      <c r="T469" s="129" t="s">
        <v>1846</v>
      </c>
      <c r="U469" s="147" t="s">
        <v>35</v>
      </c>
      <c r="V469" s="147"/>
      <c r="W469" s="147" t="s">
        <v>2209</v>
      </c>
      <c r="X469" s="205" t="s">
        <v>1009</v>
      </c>
      <c r="Y469" s="251"/>
      <c r="Z469" s="286"/>
      <c r="AA469" s="230"/>
      <c r="XEY469" s="259"/>
      <c r="XEZ469" s="266"/>
      <c r="XFA469" s="266"/>
      <c r="XFB469" s="273"/>
    </row>
    <row r="470" spans="1:27 16377:16382" ht="24" hidden="1" x14ac:dyDescent="0.25">
      <c r="A470" s="272"/>
      <c r="B470" s="129">
        <v>1109392</v>
      </c>
      <c r="C470" s="128" t="s">
        <v>30</v>
      </c>
      <c r="D470" s="136" t="s">
        <v>2397</v>
      </c>
      <c r="E470" s="147" t="s">
        <v>2398</v>
      </c>
      <c r="F470" s="129" t="s">
        <v>1685</v>
      </c>
      <c r="G470" s="147" t="s">
        <v>34</v>
      </c>
      <c r="H470" s="189">
        <f t="shared" si="7"/>
        <v>2.8929999999999998</v>
      </c>
      <c r="I470" s="210" t="s">
        <v>2221</v>
      </c>
      <c r="J470" s="146">
        <v>30</v>
      </c>
      <c r="K470" s="147">
        <v>11</v>
      </c>
      <c r="L470" s="147">
        <v>1</v>
      </c>
      <c r="M470" s="147">
        <v>12</v>
      </c>
      <c r="N470" s="326">
        <v>1653</v>
      </c>
      <c r="O470" s="179"/>
      <c r="P470" s="179">
        <v>45954</v>
      </c>
      <c r="Q470" s="173">
        <v>2.8929999999999998</v>
      </c>
      <c r="R470" s="260"/>
      <c r="S470" s="164" t="s">
        <v>35</v>
      </c>
      <c r="T470" s="129" t="s">
        <v>2206</v>
      </c>
      <c r="U470" s="147" t="s">
        <v>37</v>
      </c>
      <c r="V470" s="147"/>
      <c r="W470" s="147" t="s">
        <v>2209</v>
      </c>
      <c r="X470" s="205" t="s">
        <v>1854</v>
      </c>
      <c r="Y470" s="251"/>
      <c r="Z470" s="230"/>
      <c r="AA470" s="230"/>
      <c r="XEX470" s="259"/>
      <c r="XEY470" s="266"/>
      <c r="XEZ470" s="266"/>
      <c r="XFA470" s="273"/>
      <c r="XFB470" s="266"/>
    </row>
    <row r="471" spans="1:27 16377:16382" ht="60" x14ac:dyDescent="0.25">
      <c r="A471" s="261"/>
      <c r="B471" s="136">
        <v>1109393</v>
      </c>
      <c r="C471" s="129" t="s">
        <v>30</v>
      </c>
      <c r="D471" s="136" t="s">
        <v>2457</v>
      </c>
      <c r="E471" s="147" t="s">
        <v>2458</v>
      </c>
      <c r="F471" s="129" t="s">
        <v>323</v>
      </c>
      <c r="G471" s="147" t="s">
        <v>34</v>
      </c>
      <c r="H471" s="189">
        <f t="shared" si="7"/>
        <v>5.28</v>
      </c>
      <c r="I471" s="136" t="s">
        <v>2459</v>
      </c>
      <c r="J471" s="146">
        <v>0</v>
      </c>
      <c r="K471" s="147">
        <v>18</v>
      </c>
      <c r="L471" s="147">
        <v>2</v>
      </c>
      <c r="M471" s="147">
        <v>20</v>
      </c>
      <c r="N471" s="275">
        <v>1300</v>
      </c>
      <c r="O471" s="173">
        <f>14.63/2.2046</f>
        <v>6.636124467023496</v>
      </c>
      <c r="P471" s="179">
        <v>46002</v>
      </c>
      <c r="Q471" s="173">
        <v>5.23</v>
      </c>
      <c r="R471" s="269">
        <v>0.05</v>
      </c>
      <c r="S471" s="129"/>
      <c r="T471" s="129" t="s">
        <v>2089</v>
      </c>
      <c r="U471" s="147" t="s">
        <v>37</v>
      </c>
      <c r="V471" s="147"/>
      <c r="W471" s="147" t="s">
        <v>2208</v>
      </c>
      <c r="X471" s="296" t="s">
        <v>1009</v>
      </c>
      <c r="Y471" s="251"/>
      <c r="Z471" s="290"/>
      <c r="AA471" s="286" t="s">
        <v>33</v>
      </c>
      <c r="XEW471" s="259"/>
      <c r="XEX471" s="266"/>
      <c r="XEY471" s="266"/>
      <c r="XEZ471" s="273"/>
      <c r="XFA471" s="266"/>
      <c r="XFB471" s="135"/>
    </row>
    <row r="472" spans="1:27 16377:16382" x14ac:dyDescent="0.25">
      <c r="B472" s="136">
        <v>1109394</v>
      </c>
      <c r="C472" s="128" t="s">
        <v>30</v>
      </c>
      <c r="D472" s="128" t="s">
        <v>2445</v>
      </c>
      <c r="E472" s="147" t="s">
        <v>1808</v>
      </c>
      <c r="F472" s="129" t="s">
        <v>276</v>
      </c>
      <c r="G472" s="147" t="s">
        <v>34</v>
      </c>
      <c r="H472" s="189">
        <f t="shared" si="7"/>
        <v>6.3597000000000001</v>
      </c>
      <c r="I472" s="129" t="s">
        <v>2082</v>
      </c>
      <c r="J472" s="146">
        <v>0</v>
      </c>
      <c r="K472" s="147">
        <v>16</v>
      </c>
      <c r="L472" s="147">
        <v>1</v>
      </c>
      <c r="M472" s="147">
        <v>17</v>
      </c>
      <c r="N472" s="275">
        <v>6614</v>
      </c>
      <c r="O472" s="193"/>
      <c r="P472" s="179">
        <v>45982</v>
      </c>
      <c r="Q472" s="173">
        <v>5.72</v>
      </c>
      <c r="R472" s="271">
        <f>0.5897+0.05</f>
        <v>0.63970000000000005</v>
      </c>
      <c r="S472" s="147"/>
      <c r="T472" s="129" t="s">
        <v>2332</v>
      </c>
      <c r="U472" s="147" t="s">
        <v>37</v>
      </c>
      <c r="V472" s="129"/>
      <c r="W472" s="147" t="s">
        <v>2208</v>
      </c>
      <c r="X472" s="205" t="s">
        <v>2446</v>
      </c>
      <c r="Y472" s="288">
        <v>46031</v>
      </c>
      <c r="Z472" s="291" t="s">
        <v>2526</v>
      </c>
      <c r="AA472" s="230" t="s">
        <v>2690</v>
      </c>
    </row>
    <row r="473" spans="1:27 16377:16382" x14ac:dyDescent="0.25">
      <c r="B473" s="136">
        <v>1109395</v>
      </c>
      <c r="C473" s="128" t="s">
        <v>30</v>
      </c>
      <c r="D473" s="128" t="s">
        <v>2466</v>
      </c>
      <c r="E473" s="147" t="s">
        <v>2467</v>
      </c>
      <c r="F473" s="129" t="s">
        <v>276</v>
      </c>
      <c r="G473" s="147" t="s">
        <v>34</v>
      </c>
      <c r="H473" s="189">
        <f t="shared" si="7"/>
        <v>1.8</v>
      </c>
      <c r="I473" s="129" t="s">
        <v>2082</v>
      </c>
      <c r="J473" s="146">
        <v>0</v>
      </c>
      <c r="K473" s="147">
        <v>13</v>
      </c>
      <c r="L473" s="147">
        <v>1</v>
      </c>
      <c r="M473" s="147">
        <v>14</v>
      </c>
      <c r="N473" s="275">
        <v>8818</v>
      </c>
      <c r="O473" s="193"/>
      <c r="P473" s="179">
        <v>46048</v>
      </c>
      <c r="Q473" s="173">
        <v>1.75</v>
      </c>
      <c r="R473" s="271">
        <v>0.05</v>
      </c>
      <c r="S473" s="147"/>
      <c r="T473" s="129" t="s">
        <v>2332</v>
      </c>
      <c r="U473" s="147" t="s">
        <v>37</v>
      </c>
      <c r="V473" s="129"/>
      <c r="W473" s="147" t="s">
        <v>2208</v>
      </c>
      <c r="X473" s="205" t="s">
        <v>2438</v>
      </c>
      <c r="Y473" s="288">
        <v>46099</v>
      </c>
      <c r="Z473" s="291" t="s">
        <v>2591</v>
      </c>
      <c r="AA473" s="286" t="s">
        <v>1998</v>
      </c>
    </row>
    <row r="474" spans="1:27 16377:16382" ht="24" hidden="1" x14ac:dyDescent="0.25">
      <c r="A474" s="298"/>
      <c r="B474" s="136">
        <v>1109396</v>
      </c>
      <c r="C474" s="128" t="s">
        <v>30</v>
      </c>
      <c r="D474" s="136" t="s">
        <v>2556</v>
      </c>
      <c r="E474" s="147" t="s">
        <v>2398</v>
      </c>
      <c r="F474" s="129" t="s">
        <v>2559</v>
      </c>
      <c r="G474" s="147" t="s">
        <v>34</v>
      </c>
      <c r="H474" s="189">
        <f t="shared" si="7"/>
        <v>2.6799999999999997</v>
      </c>
      <c r="I474" s="129" t="s">
        <v>2560</v>
      </c>
      <c r="J474" s="147"/>
      <c r="K474" s="147">
        <v>3</v>
      </c>
      <c r="L474" s="147">
        <v>1</v>
      </c>
      <c r="M474" s="147">
        <v>4</v>
      </c>
      <c r="N474" s="268"/>
      <c r="O474" s="179"/>
      <c r="P474" s="173"/>
      <c r="Q474" s="271">
        <v>2.63</v>
      </c>
      <c r="R474" s="269">
        <v>0.05</v>
      </c>
      <c r="S474" s="129"/>
      <c r="T474" s="129" t="s">
        <v>2561</v>
      </c>
      <c r="U474" s="147" t="s">
        <v>37</v>
      </c>
      <c r="V474" s="147"/>
      <c r="W474" s="205" t="s">
        <v>2209</v>
      </c>
      <c r="X474" s="206"/>
      <c r="Y474" s="251"/>
      <c r="Z474" s="251"/>
      <c r="AA474" s="230"/>
      <c r="XFB474" s="299"/>
    </row>
    <row r="475" spans="1:27 16377:16382" ht="36" hidden="1" x14ac:dyDescent="0.25">
      <c r="A475" s="298"/>
      <c r="B475" s="136">
        <v>1109397</v>
      </c>
      <c r="C475" s="128" t="s">
        <v>30</v>
      </c>
      <c r="D475" s="136" t="s">
        <v>2557</v>
      </c>
      <c r="E475" s="147" t="s">
        <v>66</v>
      </c>
      <c r="F475" s="129" t="s">
        <v>2559</v>
      </c>
      <c r="G475" s="147" t="s">
        <v>34</v>
      </c>
      <c r="H475" s="189">
        <f t="shared" si="7"/>
        <v>2.42</v>
      </c>
      <c r="I475" s="129" t="s">
        <v>2560</v>
      </c>
      <c r="J475" s="147"/>
      <c r="K475" s="147">
        <v>3</v>
      </c>
      <c r="L475" s="147">
        <v>1</v>
      </c>
      <c r="M475" s="147">
        <v>4</v>
      </c>
      <c r="N475" s="268"/>
      <c r="O475" s="179"/>
      <c r="P475" s="173"/>
      <c r="Q475" s="271">
        <v>2.37</v>
      </c>
      <c r="R475" s="269">
        <v>0.05</v>
      </c>
      <c r="S475" s="129"/>
      <c r="T475" s="129" t="s">
        <v>2561</v>
      </c>
      <c r="U475" s="147" t="s">
        <v>37</v>
      </c>
      <c r="V475" s="147"/>
      <c r="W475" s="205" t="s">
        <v>2209</v>
      </c>
      <c r="X475" s="206"/>
      <c r="Y475" s="251"/>
      <c r="Z475" s="251"/>
      <c r="AA475" s="230"/>
      <c r="XFB475" s="299"/>
    </row>
    <row r="476" spans="1:27 16377:16382" ht="24" hidden="1" x14ac:dyDescent="0.25">
      <c r="A476" s="298"/>
      <c r="B476" s="136">
        <v>1109398</v>
      </c>
      <c r="C476" s="128" t="s">
        <v>30</v>
      </c>
      <c r="D476" s="136" t="s">
        <v>2558</v>
      </c>
      <c r="E476" s="147" t="s">
        <v>32</v>
      </c>
      <c r="F476" s="129" t="s">
        <v>2559</v>
      </c>
      <c r="G476" s="147" t="s">
        <v>34</v>
      </c>
      <c r="H476" s="189">
        <f t="shared" si="7"/>
        <v>1.75</v>
      </c>
      <c r="I476" s="129" t="s">
        <v>2560</v>
      </c>
      <c r="J476" s="147"/>
      <c r="K476" s="147">
        <v>3</v>
      </c>
      <c r="L476" s="147">
        <v>1</v>
      </c>
      <c r="M476" s="147">
        <v>4</v>
      </c>
      <c r="N476" s="268"/>
      <c r="O476" s="179"/>
      <c r="P476" s="173"/>
      <c r="Q476" s="271">
        <v>1.7</v>
      </c>
      <c r="R476" s="269">
        <v>0.05</v>
      </c>
      <c r="S476" s="129"/>
      <c r="T476" s="129" t="s">
        <v>2561</v>
      </c>
      <c r="U476" s="147" t="s">
        <v>37</v>
      </c>
      <c r="V476" s="147"/>
      <c r="W476" s="205" t="s">
        <v>2209</v>
      </c>
      <c r="X476" s="206"/>
      <c r="Y476" s="251"/>
      <c r="Z476" s="251"/>
      <c r="AA476" s="230"/>
      <c r="XFB476" s="299"/>
    </row>
    <row r="477" spans="1:27 16377:16382" ht="24" hidden="1" x14ac:dyDescent="0.25">
      <c r="A477" s="298"/>
      <c r="B477" s="136">
        <v>1109399</v>
      </c>
      <c r="C477" s="128" t="s">
        <v>30</v>
      </c>
      <c r="D477" s="136" t="s">
        <v>2574</v>
      </c>
      <c r="E477" s="129" t="s">
        <v>2575</v>
      </c>
      <c r="F477" s="129" t="s">
        <v>271</v>
      </c>
      <c r="G477" s="147" t="s">
        <v>34</v>
      </c>
      <c r="H477" s="189">
        <f t="shared" si="7"/>
        <v>2.04</v>
      </c>
      <c r="I477" s="136" t="s">
        <v>2576</v>
      </c>
      <c r="J477" s="147"/>
      <c r="K477" s="147">
        <v>12</v>
      </c>
      <c r="L477" s="147">
        <v>1</v>
      </c>
      <c r="M477" s="147">
        <v>13</v>
      </c>
      <c r="N477" s="275">
        <v>35000</v>
      </c>
      <c r="O477" s="173"/>
      <c r="P477" s="179">
        <v>46087</v>
      </c>
      <c r="Q477" s="173">
        <v>1.99</v>
      </c>
      <c r="R477" s="260">
        <v>0.05</v>
      </c>
      <c r="S477" s="129"/>
      <c r="T477" s="129" t="s">
        <v>2206</v>
      </c>
      <c r="U477" s="147" t="s">
        <v>37</v>
      </c>
      <c r="V477" s="205"/>
      <c r="W477" s="205" t="s">
        <v>2209</v>
      </c>
      <c r="X477" s="296" t="s">
        <v>1009</v>
      </c>
      <c r="Y477" s="251"/>
      <c r="Z477" s="251"/>
      <c r="AA477" s="230"/>
      <c r="XFA477" s="299"/>
      <c r="XFB477" s="299"/>
    </row>
    <row r="478" spans="1:27 16377:16382" hidden="1" x14ac:dyDescent="0.25">
      <c r="A478" s="298"/>
      <c r="B478" s="136">
        <v>1109400</v>
      </c>
      <c r="C478" s="128" t="s">
        <v>30</v>
      </c>
      <c r="D478" s="136" t="s">
        <v>2659</v>
      </c>
      <c r="E478" s="147" t="s">
        <v>2398</v>
      </c>
      <c r="F478" s="129" t="s">
        <v>2660</v>
      </c>
      <c r="G478" s="147" t="s">
        <v>34</v>
      </c>
      <c r="H478" s="189">
        <f t="shared" si="7"/>
        <v>0</v>
      </c>
      <c r="I478" s="147"/>
      <c r="J478" s="147"/>
      <c r="K478" s="147"/>
      <c r="L478" s="147"/>
      <c r="M478" s="275"/>
      <c r="N478" s="173"/>
      <c r="O478" s="179"/>
      <c r="P478" s="173"/>
      <c r="Q478" s="173"/>
      <c r="R478" s="276"/>
      <c r="S478" s="129"/>
      <c r="T478" s="129" t="s">
        <v>2660</v>
      </c>
      <c r="U478" s="147"/>
      <c r="V478" s="205"/>
      <c r="W478" s="205" t="s">
        <v>2209</v>
      </c>
      <c r="X478" s="251"/>
      <c r="Y478" s="251"/>
      <c r="Z478" s="230"/>
      <c r="AA478" s="230"/>
      <c r="XEZ478" s="299"/>
      <c r="XFA478" s="299"/>
      <c r="XFB478" s="299"/>
    </row>
    <row r="479" spans="1:27 16377:16382" hidden="1" x14ac:dyDescent="0.25">
      <c r="A479" s="298"/>
      <c r="B479" s="136">
        <v>1109401</v>
      </c>
      <c r="C479" s="128" t="s">
        <v>30</v>
      </c>
      <c r="D479" s="136" t="s">
        <v>2662</v>
      </c>
      <c r="E479" s="147" t="s">
        <v>2398</v>
      </c>
      <c r="F479" s="129" t="s">
        <v>2663</v>
      </c>
      <c r="G479" s="147" t="s">
        <v>34</v>
      </c>
      <c r="H479" s="189">
        <f t="shared" si="7"/>
        <v>1.2656400254014335</v>
      </c>
      <c r="I479" s="136"/>
      <c r="J479" s="147"/>
      <c r="K479" s="147"/>
      <c r="L479" s="147"/>
      <c r="M479" s="147"/>
      <c r="N479" s="275"/>
      <c r="O479" s="173"/>
      <c r="P479" s="179">
        <v>46161</v>
      </c>
      <c r="Q479" s="173">
        <f>2.68/2.2046</f>
        <v>1.2156400254014335</v>
      </c>
      <c r="R479" s="260">
        <v>0.05</v>
      </c>
      <c r="S479" s="129"/>
      <c r="T479" s="129" t="s">
        <v>2089</v>
      </c>
      <c r="U479" s="147" t="s">
        <v>37</v>
      </c>
      <c r="V479" s="205"/>
      <c r="W479" s="205" t="s">
        <v>2209</v>
      </c>
      <c r="X479" s="296" t="s">
        <v>2438</v>
      </c>
      <c r="Y479" s="251"/>
      <c r="Z479" s="251"/>
      <c r="AA479" s="230"/>
      <c r="XFA479" s="299"/>
      <c r="XFB479" s="299"/>
    </row>
    <row r="480" spans="1:27 16377:16382" x14ac:dyDescent="0.25">
      <c r="A480" s="298"/>
      <c r="B480" s="158">
        <v>1109402</v>
      </c>
      <c r="C480" s="128" t="s">
        <v>30</v>
      </c>
      <c r="D480" s="136" t="s">
        <v>2667</v>
      </c>
      <c r="E480" s="147" t="s">
        <v>2398</v>
      </c>
      <c r="F480" s="129" t="s">
        <v>1788</v>
      </c>
      <c r="G480" s="147" t="s">
        <v>34</v>
      </c>
      <c r="H480" s="189">
        <f t="shared" si="7"/>
        <v>2.5299999999999998</v>
      </c>
      <c r="I480" s="223" t="s">
        <v>2082</v>
      </c>
      <c r="J480" s="147">
        <v>0</v>
      </c>
      <c r="K480" s="147">
        <v>10</v>
      </c>
      <c r="L480" s="147">
        <v>2</v>
      </c>
      <c r="M480" s="147">
        <v>12</v>
      </c>
      <c r="N480" s="173"/>
      <c r="O480" s="179"/>
      <c r="P480" s="179">
        <v>46169</v>
      </c>
      <c r="Q480" s="173">
        <v>2.48</v>
      </c>
      <c r="R480" s="269">
        <v>0.05</v>
      </c>
      <c r="S480" s="129"/>
      <c r="T480" s="129" t="s">
        <v>2666</v>
      </c>
      <c r="U480" s="205" t="s">
        <v>35</v>
      </c>
      <c r="V480" s="205"/>
      <c r="W480" s="147" t="s">
        <v>2210</v>
      </c>
      <c r="X480" s="251"/>
      <c r="Y480" s="253" t="s">
        <v>2524</v>
      </c>
      <c r="Z480" s="253" t="s">
        <v>2524</v>
      </c>
      <c r="AA480" s="230" t="s">
        <v>2705</v>
      </c>
      <c r="XEZ480" s="299"/>
      <c r="XFA480" s="299"/>
      <c r="XFB480" s="299"/>
    </row>
    <row r="481" spans="1:27 16381:16382" x14ac:dyDescent="0.25">
      <c r="A481" s="298"/>
      <c r="B481" s="158">
        <v>1109403</v>
      </c>
      <c r="C481" s="128" t="s">
        <v>30</v>
      </c>
      <c r="D481" s="136" t="s">
        <v>2724</v>
      </c>
      <c r="E481" s="147" t="s">
        <v>32</v>
      </c>
      <c r="F481" s="129" t="s">
        <v>1836</v>
      </c>
      <c r="G481" s="147" t="s">
        <v>34</v>
      </c>
      <c r="H481" s="189">
        <f t="shared" si="7"/>
        <v>2.4</v>
      </c>
      <c r="I481" s="223" t="s">
        <v>2082</v>
      </c>
      <c r="J481" s="147">
        <v>0</v>
      </c>
      <c r="K481" s="147">
        <v>11</v>
      </c>
      <c r="L481" s="147">
        <v>1</v>
      </c>
      <c r="M481" s="147">
        <v>12</v>
      </c>
      <c r="N481" s="275">
        <v>44092</v>
      </c>
      <c r="O481" s="173"/>
      <c r="P481" s="179">
        <v>46184</v>
      </c>
      <c r="Q481" s="173">
        <v>2.35</v>
      </c>
      <c r="R481" s="269">
        <v>0.05</v>
      </c>
      <c r="S481" s="129"/>
      <c r="T481" s="129" t="s">
        <v>2725</v>
      </c>
      <c r="U481" s="147" t="s">
        <v>35</v>
      </c>
      <c r="V481" s="205"/>
      <c r="W481" s="147" t="s">
        <v>2210</v>
      </c>
      <c r="X481" s="296"/>
      <c r="Y481" s="253" t="s">
        <v>2524</v>
      </c>
      <c r="Z481" s="253" t="s">
        <v>2524</v>
      </c>
      <c r="AA481" s="230" t="s">
        <v>33</v>
      </c>
      <c r="XFA481" s="299"/>
      <c r="XFB481" s="299"/>
    </row>
    <row r="482" spans="1:27 16381:16382" s="181" customFormat="1" hidden="1" x14ac:dyDescent="0.25">
      <c r="A482" s="131">
        <v>1</v>
      </c>
      <c r="B482" s="136">
        <v>1201001</v>
      </c>
      <c r="C482" s="127" t="s">
        <v>567</v>
      </c>
      <c r="D482" s="128" t="s">
        <v>568</v>
      </c>
      <c r="E482" s="147" t="s">
        <v>38</v>
      </c>
      <c r="F482" s="129" t="s">
        <v>569</v>
      </c>
      <c r="G482" s="147" t="s">
        <v>34</v>
      </c>
      <c r="H482" s="189">
        <f t="shared" si="7"/>
        <v>0</v>
      </c>
      <c r="I482" s="213"/>
      <c r="J482" s="149"/>
      <c r="K482" s="147"/>
      <c r="L482" s="147"/>
      <c r="M482" s="147">
        <v>3</v>
      </c>
      <c r="N482" s="275"/>
      <c r="O482" s="194"/>
      <c r="P482" s="179"/>
      <c r="Q482" s="173"/>
      <c r="R482" s="260">
        <v>0</v>
      </c>
      <c r="S482" s="167"/>
      <c r="T482" s="129" t="s">
        <v>55</v>
      </c>
      <c r="U482" s="147" t="s">
        <v>37</v>
      </c>
      <c r="V482" s="129"/>
      <c r="W482" s="162" t="s">
        <v>54</v>
      </c>
      <c r="X482" s="205"/>
      <c r="Y482" s="251"/>
      <c r="Z482" s="155"/>
      <c r="AA482" s="230"/>
    </row>
    <row r="483" spans="1:27 16381:16382" s="181" customFormat="1" hidden="1" x14ac:dyDescent="0.25">
      <c r="A483" s="131">
        <v>1</v>
      </c>
      <c r="B483" s="136">
        <v>1201002</v>
      </c>
      <c r="C483" s="127" t="s">
        <v>567</v>
      </c>
      <c r="D483" s="128" t="s">
        <v>570</v>
      </c>
      <c r="E483" s="147" t="s">
        <v>38</v>
      </c>
      <c r="F483" s="129" t="s">
        <v>569</v>
      </c>
      <c r="G483" s="147" t="s">
        <v>34</v>
      </c>
      <c r="H483" s="189">
        <f t="shared" si="7"/>
        <v>0</v>
      </c>
      <c r="I483" s="213"/>
      <c r="J483" s="149"/>
      <c r="K483" s="147">
        <v>11</v>
      </c>
      <c r="L483" s="147">
        <v>1</v>
      </c>
      <c r="M483" s="147">
        <v>12</v>
      </c>
      <c r="N483" s="275"/>
      <c r="O483" s="194"/>
      <c r="P483" s="179"/>
      <c r="Q483" s="173"/>
      <c r="R483" s="260">
        <v>0</v>
      </c>
      <c r="S483" s="167"/>
      <c r="T483" s="129"/>
      <c r="U483" s="147" t="s">
        <v>37</v>
      </c>
      <c r="V483" s="129"/>
      <c r="W483" s="162" t="s">
        <v>54</v>
      </c>
      <c r="X483" s="205"/>
      <c r="Y483" s="251"/>
      <c r="Z483" s="155"/>
      <c r="AA483" s="230"/>
    </row>
    <row r="484" spans="1:27 16381:16382" s="181" customFormat="1" hidden="1" x14ac:dyDescent="0.25">
      <c r="A484" s="131">
        <v>1</v>
      </c>
      <c r="B484" s="136">
        <v>1201003</v>
      </c>
      <c r="C484" s="127" t="s">
        <v>567</v>
      </c>
      <c r="D484" s="128" t="s">
        <v>571</v>
      </c>
      <c r="E484" s="147" t="s">
        <v>38</v>
      </c>
      <c r="F484" s="129" t="s">
        <v>569</v>
      </c>
      <c r="G484" s="147" t="s">
        <v>34</v>
      </c>
      <c r="H484" s="189">
        <f t="shared" si="7"/>
        <v>0</v>
      </c>
      <c r="I484" s="213"/>
      <c r="J484" s="149"/>
      <c r="K484" s="147">
        <v>11</v>
      </c>
      <c r="L484" s="147">
        <v>1</v>
      </c>
      <c r="M484" s="147">
        <v>12</v>
      </c>
      <c r="N484" s="275"/>
      <c r="O484" s="194"/>
      <c r="P484" s="179"/>
      <c r="Q484" s="173"/>
      <c r="R484" s="260">
        <v>0</v>
      </c>
      <c r="S484" s="167"/>
      <c r="T484" s="129"/>
      <c r="U484" s="147" t="s">
        <v>37</v>
      </c>
      <c r="V484" s="129"/>
      <c r="W484" s="162" t="s">
        <v>54</v>
      </c>
      <c r="X484" s="205"/>
      <c r="Y484" s="251"/>
      <c r="Z484" s="155"/>
      <c r="AA484" s="230"/>
    </row>
    <row r="485" spans="1:27 16381:16382" s="181" customFormat="1" hidden="1" x14ac:dyDescent="0.25">
      <c r="A485" s="131">
        <v>1</v>
      </c>
      <c r="B485" s="136">
        <v>1201004</v>
      </c>
      <c r="C485" s="127" t="s">
        <v>567</v>
      </c>
      <c r="D485" s="128" t="s">
        <v>572</v>
      </c>
      <c r="E485" s="147" t="s">
        <v>38</v>
      </c>
      <c r="F485" s="129" t="s">
        <v>569</v>
      </c>
      <c r="G485" s="147" t="s">
        <v>34</v>
      </c>
      <c r="H485" s="189">
        <f t="shared" si="7"/>
        <v>0</v>
      </c>
      <c r="I485" s="213"/>
      <c r="J485" s="149"/>
      <c r="K485" s="147">
        <v>11</v>
      </c>
      <c r="L485" s="147">
        <v>1</v>
      </c>
      <c r="M485" s="147">
        <v>12</v>
      </c>
      <c r="N485" s="275"/>
      <c r="O485" s="194"/>
      <c r="P485" s="179"/>
      <c r="Q485" s="173"/>
      <c r="R485" s="260">
        <v>0</v>
      </c>
      <c r="S485" s="167"/>
      <c r="T485" s="129" t="s">
        <v>55</v>
      </c>
      <c r="U485" s="147" t="s">
        <v>37</v>
      </c>
      <c r="V485" s="129"/>
      <c r="W485" s="162" t="s">
        <v>54</v>
      </c>
      <c r="X485" s="205"/>
      <c r="Y485" s="251"/>
      <c r="Z485" s="155"/>
      <c r="AA485" s="230"/>
    </row>
    <row r="486" spans="1:27 16381:16382" s="181" customFormat="1" hidden="1" x14ac:dyDescent="0.25">
      <c r="A486" s="131">
        <v>1</v>
      </c>
      <c r="B486" s="136">
        <v>1201005</v>
      </c>
      <c r="C486" s="127" t="s">
        <v>567</v>
      </c>
      <c r="D486" s="128" t="s">
        <v>573</v>
      </c>
      <c r="E486" s="147" t="s">
        <v>38</v>
      </c>
      <c r="F486" s="129" t="s">
        <v>569</v>
      </c>
      <c r="G486" s="147" t="s">
        <v>34</v>
      </c>
      <c r="H486" s="189">
        <f t="shared" si="7"/>
        <v>0</v>
      </c>
      <c r="I486" s="213"/>
      <c r="J486" s="149"/>
      <c r="K486" s="147">
        <v>11</v>
      </c>
      <c r="L486" s="147">
        <v>1</v>
      </c>
      <c r="M486" s="147">
        <v>12</v>
      </c>
      <c r="N486" s="275"/>
      <c r="O486" s="194"/>
      <c r="P486" s="179"/>
      <c r="Q486" s="173"/>
      <c r="R486" s="260">
        <v>0</v>
      </c>
      <c r="S486" s="167"/>
      <c r="T486" s="129"/>
      <c r="U486" s="147" t="s">
        <v>37</v>
      </c>
      <c r="V486" s="129"/>
      <c r="W486" s="162" t="s">
        <v>54</v>
      </c>
      <c r="X486" s="205"/>
      <c r="Y486" s="251"/>
      <c r="Z486" s="155"/>
      <c r="AA486" s="230"/>
    </row>
    <row r="487" spans="1:27 16381:16382" s="181" customFormat="1" hidden="1" x14ac:dyDescent="0.25">
      <c r="A487" s="131">
        <v>1</v>
      </c>
      <c r="B487" s="136">
        <v>1201006</v>
      </c>
      <c r="C487" s="127" t="s">
        <v>567</v>
      </c>
      <c r="D487" s="128" t="s">
        <v>574</v>
      </c>
      <c r="E487" s="147" t="s">
        <v>38</v>
      </c>
      <c r="F487" s="129" t="s">
        <v>569</v>
      </c>
      <c r="G487" s="147" t="s">
        <v>34</v>
      </c>
      <c r="H487" s="189">
        <f t="shared" si="7"/>
        <v>0</v>
      </c>
      <c r="I487" s="213"/>
      <c r="J487" s="149"/>
      <c r="K487" s="147">
        <v>11</v>
      </c>
      <c r="L487" s="147">
        <v>1</v>
      </c>
      <c r="M487" s="147">
        <v>12</v>
      </c>
      <c r="N487" s="275"/>
      <c r="O487" s="194"/>
      <c r="P487" s="179"/>
      <c r="Q487" s="173"/>
      <c r="R487" s="260">
        <v>0</v>
      </c>
      <c r="S487" s="167"/>
      <c r="T487" s="129" t="s">
        <v>55</v>
      </c>
      <c r="U487" s="147" t="s">
        <v>37</v>
      </c>
      <c r="V487" s="129"/>
      <c r="W487" s="162" t="s">
        <v>54</v>
      </c>
      <c r="X487" s="205"/>
      <c r="Y487" s="251"/>
      <c r="Z487" s="155"/>
      <c r="AA487" s="230"/>
    </row>
    <row r="488" spans="1:27 16381:16382" s="181" customFormat="1" hidden="1" x14ac:dyDescent="0.25">
      <c r="A488" s="131">
        <v>1</v>
      </c>
      <c r="B488" s="136">
        <v>1201007</v>
      </c>
      <c r="C488" s="127" t="s">
        <v>567</v>
      </c>
      <c r="D488" s="128" t="s">
        <v>575</v>
      </c>
      <c r="E488" s="147" t="s">
        <v>38</v>
      </c>
      <c r="F488" s="129" t="s">
        <v>569</v>
      </c>
      <c r="G488" s="147" t="s">
        <v>34</v>
      </c>
      <c r="H488" s="189">
        <f t="shared" si="7"/>
        <v>0</v>
      </c>
      <c r="I488" s="213"/>
      <c r="J488" s="149"/>
      <c r="K488" s="147">
        <v>11</v>
      </c>
      <c r="L488" s="147">
        <v>1</v>
      </c>
      <c r="M488" s="147">
        <v>12</v>
      </c>
      <c r="N488" s="275"/>
      <c r="O488" s="194"/>
      <c r="P488" s="179"/>
      <c r="Q488" s="173"/>
      <c r="R488" s="260">
        <v>0</v>
      </c>
      <c r="S488" s="167"/>
      <c r="T488" s="129"/>
      <c r="U488" s="147" t="s">
        <v>37</v>
      </c>
      <c r="V488" s="129"/>
      <c r="W488" s="162" t="s">
        <v>54</v>
      </c>
      <c r="X488" s="205"/>
      <c r="Y488" s="251"/>
      <c r="Z488" s="155"/>
      <c r="AA488" s="230"/>
    </row>
    <row r="489" spans="1:27 16381:16382" s="181" customFormat="1" hidden="1" x14ac:dyDescent="0.25">
      <c r="A489" s="131">
        <v>1</v>
      </c>
      <c r="B489" s="136">
        <v>1201008</v>
      </c>
      <c r="C489" s="127" t="s">
        <v>567</v>
      </c>
      <c r="D489" s="128" t="s">
        <v>576</v>
      </c>
      <c r="E489" s="147" t="s">
        <v>38</v>
      </c>
      <c r="F489" s="129" t="s">
        <v>577</v>
      </c>
      <c r="G489" s="147" t="s">
        <v>34</v>
      </c>
      <c r="H489" s="189">
        <f t="shared" si="7"/>
        <v>0</v>
      </c>
      <c r="I489" s="213"/>
      <c r="J489" s="149"/>
      <c r="K489" s="147">
        <v>12</v>
      </c>
      <c r="L489" s="147">
        <v>1</v>
      </c>
      <c r="M489" s="147">
        <v>13</v>
      </c>
      <c r="N489" s="275" t="s">
        <v>578</v>
      </c>
      <c r="O489" s="194"/>
      <c r="P489" s="179"/>
      <c r="Q489" s="173"/>
      <c r="R489" s="260">
        <v>0</v>
      </c>
      <c r="S489" s="167"/>
      <c r="T489" s="129" t="s">
        <v>64</v>
      </c>
      <c r="U489" s="147" t="s">
        <v>37</v>
      </c>
      <c r="V489" s="129"/>
      <c r="W489" s="162" t="s">
        <v>54</v>
      </c>
      <c r="X489" s="205"/>
      <c r="Y489" s="251"/>
      <c r="Z489" s="155"/>
      <c r="AA489" s="230"/>
    </row>
    <row r="490" spans="1:27 16381:16382" s="181" customFormat="1" hidden="1" x14ac:dyDescent="0.25">
      <c r="A490" s="131">
        <v>1</v>
      </c>
      <c r="B490" s="136">
        <v>1201009</v>
      </c>
      <c r="C490" s="127" t="s">
        <v>567</v>
      </c>
      <c r="D490" s="128" t="s">
        <v>582</v>
      </c>
      <c r="E490" s="147" t="s">
        <v>38</v>
      </c>
      <c r="F490" s="129" t="s">
        <v>584</v>
      </c>
      <c r="G490" s="147" t="s">
        <v>34</v>
      </c>
      <c r="H490" s="189">
        <f t="shared" si="7"/>
        <v>0</v>
      </c>
      <c r="I490" s="213"/>
      <c r="J490" s="149"/>
      <c r="K490" s="147"/>
      <c r="L490" s="147"/>
      <c r="M490" s="147">
        <v>4</v>
      </c>
      <c r="N490" s="275">
        <v>39</v>
      </c>
      <c r="O490" s="194"/>
      <c r="P490" s="179"/>
      <c r="Q490" s="173"/>
      <c r="R490" s="260">
        <v>0</v>
      </c>
      <c r="S490" s="167"/>
      <c r="T490" s="129" t="s">
        <v>64</v>
      </c>
      <c r="U490" s="147" t="s">
        <v>37</v>
      </c>
      <c r="V490" s="129"/>
      <c r="W490" s="162" t="s">
        <v>54</v>
      </c>
      <c r="X490" s="205"/>
      <c r="Y490" s="251"/>
      <c r="Z490" s="155"/>
      <c r="AA490" s="230"/>
    </row>
    <row r="491" spans="1:27 16381:16382" s="181" customFormat="1" hidden="1" x14ac:dyDescent="0.25">
      <c r="A491" s="131">
        <v>1</v>
      </c>
      <c r="B491" s="136">
        <v>1201010</v>
      </c>
      <c r="C491" s="127" t="s">
        <v>589</v>
      </c>
      <c r="D491" s="128" t="s">
        <v>590</v>
      </c>
      <c r="E491" s="147" t="s">
        <v>38</v>
      </c>
      <c r="F491" s="129" t="s">
        <v>584</v>
      </c>
      <c r="G491" s="147" t="s">
        <v>34</v>
      </c>
      <c r="H491" s="189">
        <f t="shared" si="7"/>
        <v>0</v>
      </c>
      <c r="I491" s="213"/>
      <c r="J491" s="149"/>
      <c r="K491" s="147"/>
      <c r="L491" s="147"/>
      <c r="M491" s="147">
        <v>4</v>
      </c>
      <c r="N491" s="275">
        <v>39</v>
      </c>
      <c r="O491" s="194"/>
      <c r="P491" s="179"/>
      <c r="Q491" s="173"/>
      <c r="R491" s="260">
        <v>0</v>
      </c>
      <c r="S491" s="167"/>
      <c r="T491" s="129" t="s">
        <v>64</v>
      </c>
      <c r="U491" s="147" t="s">
        <v>37</v>
      </c>
      <c r="V491" s="129"/>
      <c r="W491" s="162" t="s">
        <v>54</v>
      </c>
      <c r="X491" s="205"/>
      <c r="Y491" s="251"/>
      <c r="Z491" s="155"/>
      <c r="AA491" s="230"/>
    </row>
    <row r="492" spans="1:27 16381:16382" s="181" customFormat="1" ht="24" hidden="1" x14ac:dyDescent="0.25">
      <c r="A492" s="131">
        <v>1</v>
      </c>
      <c r="B492" s="136">
        <v>1201011</v>
      </c>
      <c r="C492" s="127" t="s">
        <v>567</v>
      </c>
      <c r="D492" s="128" t="s">
        <v>591</v>
      </c>
      <c r="E492" s="147" t="s">
        <v>38</v>
      </c>
      <c r="F492" s="129" t="s">
        <v>584</v>
      </c>
      <c r="G492" s="147" t="s">
        <v>34</v>
      </c>
      <c r="H492" s="189">
        <f t="shared" si="7"/>
        <v>0</v>
      </c>
      <c r="I492" s="213"/>
      <c r="J492" s="149"/>
      <c r="K492" s="147"/>
      <c r="L492" s="147"/>
      <c r="M492" s="147">
        <v>4</v>
      </c>
      <c r="N492" s="275">
        <v>39</v>
      </c>
      <c r="O492" s="194"/>
      <c r="P492" s="179"/>
      <c r="Q492" s="173"/>
      <c r="R492" s="260">
        <v>0</v>
      </c>
      <c r="S492" s="167"/>
      <c r="T492" s="129" t="s">
        <v>64</v>
      </c>
      <c r="U492" s="147" t="s">
        <v>37</v>
      </c>
      <c r="V492" s="129"/>
      <c r="W492" s="162" t="s">
        <v>54</v>
      </c>
      <c r="X492" s="205"/>
      <c r="Y492" s="251"/>
      <c r="Z492" s="155"/>
      <c r="AA492" s="230"/>
    </row>
    <row r="493" spans="1:27 16381:16382" s="181" customFormat="1" hidden="1" x14ac:dyDescent="0.25">
      <c r="A493" s="131">
        <v>1</v>
      </c>
      <c r="B493" s="136">
        <v>1201012</v>
      </c>
      <c r="C493" s="127" t="s">
        <v>589</v>
      </c>
      <c r="D493" s="128" t="s">
        <v>592</v>
      </c>
      <c r="E493" s="147" t="s">
        <v>38</v>
      </c>
      <c r="F493" s="129" t="s">
        <v>584</v>
      </c>
      <c r="G493" s="147" t="s">
        <v>34</v>
      </c>
      <c r="H493" s="189">
        <f t="shared" si="7"/>
        <v>0</v>
      </c>
      <c r="I493" s="213"/>
      <c r="J493" s="149"/>
      <c r="K493" s="147"/>
      <c r="L493" s="147"/>
      <c r="M493" s="147">
        <v>4</v>
      </c>
      <c r="N493" s="275">
        <v>39</v>
      </c>
      <c r="O493" s="194"/>
      <c r="P493" s="179"/>
      <c r="Q493" s="173"/>
      <c r="R493" s="260">
        <v>0</v>
      </c>
      <c r="S493" s="167"/>
      <c r="T493" s="129" t="s">
        <v>64</v>
      </c>
      <c r="U493" s="147" t="s">
        <v>37</v>
      </c>
      <c r="V493" s="129"/>
      <c r="W493" s="162" t="s">
        <v>54</v>
      </c>
      <c r="X493" s="205"/>
      <c r="Y493" s="251"/>
      <c r="Z493" s="155"/>
      <c r="AA493" s="230"/>
    </row>
    <row r="494" spans="1:27 16381:16382" s="181" customFormat="1" ht="24" hidden="1" x14ac:dyDescent="0.25">
      <c r="A494" s="131">
        <v>1</v>
      </c>
      <c r="B494" s="136">
        <v>1201013</v>
      </c>
      <c r="C494" s="128" t="s">
        <v>593</v>
      </c>
      <c r="D494" s="128" t="s">
        <v>594</v>
      </c>
      <c r="E494" s="147" t="s">
        <v>38</v>
      </c>
      <c r="F494" s="129" t="s">
        <v>584</v>
      </c>
      <c r="G494" s="147" t="s">
        <v>34</v>
      </c>
      <c r="H494" s="189">
        <f t="shared" si="7"/>
        <v>0</v>
      </c>
      <c r="I494" s="213"/>
      <c r="J494" s="149"/>
      <c r="K494" s="147"/>
      <c r="L494" s="147"/>
      <c r="M494" s="147">
        <v>4</v>
      </c>
      <c r="N494" s="275">
        <v>39</v>
      </c>
      <c r="O494" s="194"/>
      <c r="P494" s="179"/>
      <c r="Q494" s="173"/>
      <c r="R494" s="260">
        <v>0</v>
      </c>
      <c r="S494" s="167"/>
      <c r="T494" s="129" t="s">
        <v>64</v>
      </c>
      <c r="U494" s="147" t="s">
        <v>37</v>
      </c>
      <c r="V494" s="129"/>
      <c r="W494" s="162" t="s">
        <v>54</v>
      </c>
      <c r="X494" s="205"/>
      <c r="Y494" s="251"/>
      <c r="Z494" s="155"/>
      <c r="AA494" s="230"/>
    </row>
    <row r="495" spans="1:27 16381:16382" s="181" customFormat="1" ht="24" hidden="1" x14ac:dyDescent="0.25">
      <c r="A495" s="131">
        <v>1</v>
      </c>
      <c r="B495" s="136">
        <v>1201014</v>
      </c>
      <c r="C495" s="128" t="s">
        <v>589</v>
      </c>
      <c r="D495" s="128" t="s">
        <v>595</v>
      </c>
      <c r="E495" s="147" t="s">
        <v>38</v>
      </c>
      <c r="F495" s="129" t="s">
        <v>584</v>
      </c>
      <c r="G495" s="147" t="s">
        <v>34</v>
      </c>
      <c r="H495" s="189">
        <f t="shared" si="7"/>
        <v>0</v>
      </c>
      <c r="I495" s="213"/>
      <c r="J495" s="149"/>
      <c r="K495" s="147"/>
      <c r="L495" s="147"/>
      <c r="M495" s="147">
        <v>4</v>
      </c>
      <c r="N495" s="275">
        <v>39</v>
      </c>
      <c r="O495" s="194"/>
      <c r="P495" s="179"/>
      <c r="Q495" s="173"/>
      <c r="R495" s="260">
        <v>0</v>
      </c>
      <c r="S495" s="167"/>
      <c r="T495" s="129" t="s">
        <v>64</v>
      </c>
      <c r="U495" s="147" t="s">
        <v>37</v>
      </c>
      <c r="V495" s="129"/>
      <c r="W495" s="162" t="s">
        <v>54</v>
      </c>
      <c r="X495" s="205"/>
      <c r="Y495" s="251"/>
      <c r="Z495" s="155"/>
      <c r="AA495" s="230"/>
    </row>
    <row r="496" spans="1:27 16381:16382" s="181" customFormat="1" ht="24" hidden="1" x14ac:dyDescent="0.25">
      <c r="A496" s="131">
        <v>1</v>
      </c>
      <c r="B496" s="136">
        <v>1201015</v>
      </c>
      <c r="C496" s="128" t="s">
        <v>567</v>
      </c>
      <c r="D496" s="128" t="s">
        <v>596</v>
      </c>
      <c r="E496" s="147" t="s">
        <v>38</v>
      </c>
      <c r="F496" s="129" t="s">
        <v>597</v>
      </c>
      <c r="G496" s="147" t="s">
        <v>34</v>
      </c>
      <c r="H496" s="189">
        <f t="shared" si="7"/>
        <v>0</v>
      </c>
      <c r="I496" s="213"/>
      <c r="J496" s="149"/>
      <c r="K496" s="147">
        <v>5</v>
      </c>
      <c r="L496" s="147">
        <v>1</v>
      </c>
      <c r="M496" s="147">
        <v>6</v>
      </c>
      <c r="N496" s="275"/>
      <c r="O496" s="194"/>
      <c r="P496" s="179"/>
      <c r="Q496" s="173"/>
      <c r="R496" s="260">
        <v>0</v>
      </c>
      <c r="S496" s="167"/>
      <c r="T496" s="129" t="s">
        <v>64</v>
      </c>
      <c r="U496" s="147" t="s">
        <v>37</v>
      </c>
      <c r="V496" s="129"/>
      <c r="W496" s="162" t="s">
        <v>54</v>
      </c>
      <c r="X496" s="205"/>
      <c r="Y496" s="251"/>
      <c r="Z496" s="155"/>
      <c r="AA496" s="230"/>
    </row>
    <row r="497" spans="1:27" s="181" customFormat="1" ht="24" hidden="1" x14ac:dyDescent="0.25">
      <c r="A497" s="131">
        <v>1</v>
      </c>
      <c r="B497" s="136">
        <v>1201016</v>
      </c>
      <c r="C497" s="128" t="s">
        <v>567</v>
      </c>
      <c r="D497" s="128" t="s">
        <v>598</v>
      </c>
      <c r="E497" s="147" t="s">
        <v>38</v>
      </c>
      <c r="F497" s="129" t="s">
        <v>597</v>
      </c>
      <c r="G497" s="147" t="s">
        <v>34</v>
      </c>
      <c r="H497" s="189">
        <f t="shared" si="7"/>
        <v>0</v>
      </c>
      <c r="I497" s="213"/>
      <c r="J497" s="149"/>
      <c r="K497" s="147">
        <v>5</v>
      </c>
      <c r="L497" s="147">
        <v>1</v>
      </c>
      <c r="M497" s="147">
        <v>6</v>
      </c>
      <c r="N497" s="275"/>
      <c r="O497" s="194"/>
      <c r="P497" s="179"/>
      <c r="Q497" s="173"/>
      <c r="R497" s="260">
        <v>0</v>
      </c>
      <c r="S497" s="167"/>
      <c r="T497" s="129" t="s">
        <v>64</v>
      </c>
      <c r="U497" s="147" t="s">
        <v>37</v>
      </c>
      <c r="V497" s="129"/>
      <c r="W497" s="162" t="s">
        <v>54</v>
      </c>
      <c r="X497" s="205"/>
      <c r="Y497" s="251"/>
      <c r="Z497" s="155"/>
      <c r="AA497" s="230"/>
    </row>
    <row r="498" spans="1:27" s="181" customFormat="1" hidden="1" x14ac:dyDescent="0.25">
      <c r="A498" s="131">
        <v>1</v>
      </c>
      <c r="B498" s="136">
        <v>1201017</v>
      </c>
      <c r="C498" s="128"/>
      <c r="D498" s="128" t="s">
        <v>599</v>
      </c>
      <c r="E498" s="147" t="s">
        <v>38</v>
      </c>
      <c r="F498" s="129" t="s">
        <v>597</v>
      </c>
      <c r="G498" s="147" t="s">
        <v>34</v>
      </c>
      <c r="H498" s="189">
        <f t="shared" si="7"/>
        <v>0</v>
      </c>
      <c r="I498" s="213"/>
      <c r="J498" s="149"/>
      <c r="K498" s="147">
        <v>5</v>
      </c>
      <c r="L498" s="147">
        <v>1</v>
      </c>
      <c r="M498" s="147">
        <v>6</v>
      </c>
      <c r="N498" s="275"/>
      <c r="O498" s="194"/>
      <c r="P498" s="179"/>
      <c r="Q498" s="173"/>
      <c r="R498" s="260">
        <v>0</v>
      </c>
      <c r="S498" s="167"/>
      <c r="T498" s="129" t="s">
        <v>64</v>
      </c>
      <c r="U498" s="147" t="s">
        <v>37</v>
      </c>
      <c r="V498" s="129"/>
      <c r="W498" s="162" t="s">
        <v>54</v>
      </c>
      <c r="X498" s="205"/>
      <c r="Y498" s="251"/>
      <c r="Z498" s="155"/>
      <c r="AA498" s="230"/>
    </row>
    <row r="499" spans="1:27" s="181" customFormat="1" hidden="1" x14ac:dyDescent="0.25">
      <c r="A499" s="131">
        <v>1</v>
      </c>
      <c r="B499" s="136">
        <v>1201018</v>
      </c>
      <c r="C499" s="128" t="s">
        <v>600</v>
      </c>
      <c r="D499" s="128" t="s">
        <v>601</v>
      </c>
      <c r="E499" s="147" t="s">
        <v>38</v>
      </c>
      <c r="F499" s="129" t="s">
        <v>597</v>
      </c>
      <c r="G499" s="147" t="s">
        <v>34</v>
      </c>
      <c r="H499" s="189">
        <f t="shared" si="7"/>
        <v>0</v>
      </c>
      <c r="I499" s="213"/>
      <c r="J499" s="149"/>
      <c r="K499" s="147">
        <v>5</v>
      </c>
      <c r="L499" s="147">
        <v>1</v>
      </c>
      <c r="M499" s="147">
        <v>6</v>
      </c>
      <c r="N499" s="275"/>
      <c r="O499" s="194"/>
      <c r="P499" s="179"/>
      <c r="Q499" s="173"/>
      <c r="R499" s="260">
        <v>0</v>
      </c>
      <c r="S499" s="167"/>
      <c r="T499" s="129" t="s">
        <v>64</v>
      </c>
      <c r="U499" s="147" t="s">
        <v>37</v>
      </c>
      <c r="V499" s="129"/>
      <c r="W499" s="162" t="s">
        <v>54</v>
      </c>
      <c r="X499" s="205"/>
      <c r="Y499" s="251"/>
      <c r="Z499" s="155"/>
      <c r="AA499" s="230"/>
    </row>
    <row r="500" spans="1:27" s="181" customFormat="1" ht="24" hidden="1" x14ac:dyDescent="0.25">
      <c r="A500" s="131">
        <v>1</v>
      </c>
      <c r="B500" s="136">
        <v>1201019</v>
      </c>
      <c r="C500" s="128" t="s">
        <v>567</v>
      </c>
      <c r="D500" s="128" t="s">
        <v>602</v>
      </c>
      <c r="E500" s="147" t="s">
        <v>38</v>
      </c>
      <c r="F500" s="129" t="s">
        <v>584</v>
      </c>
      <c r="G500" s="147" t="s">
        <v>34</v>
      </c>
      <c r="H500" s="189">
        <f t="shared" si="7"/>
        <v>0</v>
      </c>
      <c r="I500" s="213"/>
      <c r="J500" s="149"/>
      <c r="K500" s="147">
        <v>11</v>
      </c>
      <c r="L500" s="147">
        <v>1</v>
      </c>
      <c r="M500" s="147">
        <v>12</v>
      </c>
      <c r="N500" s="275" t="s">
        <v>603</v>
      </c>
      <c r="O500" s="194"/>
      <c r="P500" s="179"/>
      <c r="Q500" s="173"/>
      <c r="R500" s="260">
        <v>0</v>
      </c>
      <c r="S500" s="167"/>
      <c r="T500" s="129" t="s">
        <v>496</v>
      </c>
      <c r="U500" s="147" t="s">
        <v>37</v>
      </c>
      <c r="V500" s="129"/>
      <c r="W500" s="162" t="s">
        <v>54</v>
      </c>
      <c r="X500" s="205"/>
      <c r="Y500" s="251"/>
      <c r="Z500" s="155"/>
      <c r="AA500" s="230"/>
    </row>
    <row r="501" spans="1:27" s="181" customFormat="1" ht="24" hidden="1" x14ac:dyDescent="0.25">
      <c r="A501" s="131">
        <v>1</v>
      </c>
      <c r="B501" s="136">
        <v>1201020</v>
      </c>
      <c r="C501" s="128" t="s">
        <v>567</v>
      </c>
      <c r="D501" s="128" t="s">
        <v>604</v>
      </c>
      <c r="E501" s="147" t="s">
        <v>38</v>
      </c>
      <c r="F501" s="129" t="s">
        <v>584</v>
      </c>
      <c r="G501" s="147" t="s">
        <v>34</v>
      </c>
      <c r="H501" s="189">
        <f t="shared" si="7"/>
        <v>0</v>
      </c>
      <c r="I501" s="213"/>
      <c r="J501" s="149"/>
      <c r="K501" s="147">
        <v>11</v>
      </c>
      <c r="L501" s="147">
        <v>1</v>
      </c>
      <c r="M501" s="147">
        <v>12</v>
      </c>
      <c r="N501" s="275" t="s">
        <v>603</v>
      </c>
      <c r="O501" s="194"/>
      <c r="P501" s="179"/>
      <c r="Q501" s="173"/>
      <c r="R501" s="260">
        <v>0</v>
      </c>
      <c r="S501" s="167"/>
      <c r="T501" s="129" t="s">
        <v>496</v>
      </c>
      <c r="U501" s="147" t="s">
        <v>37</v>
      </c>
      <c r="V501" s="129"/>
      <c r="W501" s="162" t="s">
        <v>54</v>
      </c>
      <c r="X501" s="205"/>
      <c r="Y501" s="251"/>
      <c r="Z501" s="155"/>
      <c r="AA501" s="230"/>
    </row>
    <row r="502" spans="1:27" s="181" customFormat="1" ht="24" hidden="1" x14ac:dyDescent="0.25">
      <c r="A502" s="131">
        <v>1</v>
      </c>
      <c r="B502" s="136">
        <v>1201021</v>
      </c>
      <c r="C502" s="128" t="s">
        <v>567</v>
      </c>
      <c r="D502" s="128" t="s">
        <v>605</v>
      </c>
      <c r="E502" s="147" t="s">
        <v>38</v>
      </c>
      <c r="F502" s="129" t="s">
        <v>584</v>
      </c>
      <c r="G502" s="147" t="s">
        <v>607</v>
      </c>
      <c r="H502" s="189">
        <f t="shared" si="7"/>
        <v>52.2</v>
      </c>
      <c r="I502" s="134"/>
      <c r="J502" s="150"/>
      <c r="K502" s="147"/>
      <c r="L502" s="147"/>
      <c r="M502" s="147">
        <v>4</v>
      </c>
      <c r="N502" s="275" t="s">
        <v>608</v>
      </c>
      <c r="O502" s="194"/>
      <c r="P502" s="179"/>
      <c r="Q502" s="173">
        <v>29.53</v>
      </c>
      <c r="R502" s="271">
        <v>22.67</v>
      </c>
      <c r="S502" s="164"/>
      <c r="T502" s="129" t="s">
        <v>58</v>
      </c>
      <c r="U502" s="147" t="s">
        <v>35</v>
      </c>
      <c r="V502" s="129"/>
      <c r="W502" s="147" t="s">
        <v>2209</v>
      </c>
      <c r="X502" s="205"/>
      <c r="Y502" s="251"/>
      <c r="Z502" s="155"/>
      <c r="AA502" s="230"/>
    </row>
    <row r="503" spans="1:27" s="181" customFormat="1" ht="24" hidden="1" x14ac:dyDescent="0.25">
      <c r="A503" s="131">
        <v>1</v>
      </c>
      <c r="B503" s="136">
        <v>1201022</v>
      </c>
      <c r="C503" s="128" t="s">
        <v>567</v>
      </c>
      <c r="D503" s="128" t="s">
        <v>612</v>
      </c>
      <c r="E503" s="147" t="s">
        <v>38</v>
      </c>
      <c r="F503" s="129" t="s">
        <v>584</v>
      </c>
      <c r="G503" s="147" t="s">
        <v>607</v>
      </c>
      <c r="H503" s="189">
        <f t="shared" si="7"/>
        <v>71.98</v>
      </c>
      <c r="I503" s="134"/>
      <c r="J503" s="150"/>
      <c r="K503" s="147"/>
      <c r="L503" s="147"/>
      <c r="M503" s="147">
        <v>4</v>
      </c>
      <c r="N503" s="275" t="s">
        <v>608</v>
      </c>
      <c r="O503" s="194"/>
      <c r="P503" s="179"/>
      <c r="Q503" s="173">
        <v>49.31</v>
      </c>
      <c r="R503" s="271">
        <v>22.67</v>
      </c>
      <c r="S503" s="164"/>
      <c r="T503" s="129" t="s">
        <v>58</v>
      </c>
      <c r="U503" s="147" t="s">
        <v>35</v>
      </c>
      <c r="V503" s="129"/>
      <c r="W503" s="147" t="s">
        <v>2209</v>
      </c>
      <c r="X503" s="205"/>
      <c r="Y503" s="251"/>
      <c r="Z503" s="155"/>
      <c r="AA503" s="230"/>
    </row>
    <row r="504" spans="1:27" s="181" customFormat="1" hidden="1" x14ac:dyDescent="0.25">
      <c r="A504" s="131">
        <v>1</v>
      </c>
      <c r="B504" s="136">
        <v>1201023</v>
      </c>
      <c r="C504" s="128" t="s">
        <v>567</v>
      </c>
      <c r="D504" s="128" t="s">
        <v>613</v>
      </c>
      <c r="E504" s="147" t="s">
        <v>38</v>
      </c>
      <c r="F504" s="129" t="s">
        <v>614</v>
      </c>
      <c r="G504" s="147" t="s">
        <v>607</v>
      </c>
      <c r="H504" s="189">
        <f t="shared" si="7"/>
        <v>0</v>
      </c>
      <c r="I504" s="134"/>
      <c r="J504" s="150"/>
      <c r="K504" s="147"/>
      <c r="L504" s="147"/>
      <c r="M504" s="147">
        <v>4</v>
      </c>
      <c r="N504" s="275">
        <v>16.2</v>
      </c>
      <c r="O504" s="194"/>
      <c r="P504" s="179"/>
      <c r="Q504" s="173"/>
      <c r="R504" s="271">
        <v>0</v>
      </c>
      <c r="S504" s="167" t="s">
        <v>35</v>
      </c>
      <c r="T504" s="129" t="s">
        <v>272</v>
      </c>
      <c r="U504" s="147" t="s">
        <v>35</v>
      </c>
      <c r="V504" s="129"/>
      <c r="W504" s="147" t="s">
        <v>2209</v>
      </c>
      <c r="X504" s="205"/>
      <c r="Y504" s="251"/>
      <c r="Z504" s="155"/>
      <c r="AA504" s="230"/>
    </row>
    <row r="505" spans="1:27" s="181" customFormat="1" ht="24" hidden="1" x14ac:dyDescent="0.25">
      <c r="A505" s="131">
        <v>1</v>
      </c>
      <c r="B505" s="136">
        <v>1201024</v>
      </c>
      <c r="C505" s="128" t="s">
        <v>567</v>
      </c>
      <c r="D505" s="128" t="s">
        <v>616</v>
      </c>
      <c r="E505" s="147" t="s">
        <v>38</v>
      </c>
      <c r="F505" s="129" t="s">
        <v>617</v>
      </c>
      <c r="G505" s="147" t="s">
        <v>618</v>
      </c>
      <c r="H505" s="189">
        <f t="shared" si="7"/>
        <v>47.367864693446087</v>
      </c>
      <c r="I505" s="134"/>
      <c r="J505" s="150"/>
      <c r="K505" s="147"/>
      <c r="L505" s="147"/>
      <c r="M505" s="147">
        <v>2</v>
      </c>
      <c r="N505" s="275">
        <v>0.94599999999999995</v>
      </c>
      <c r="O505" s="194"/>
      <c r="P505" s="179"/>
      <c r="Q505" s="173">
        <v>47.367864693446087</v>
      </c>
      <c r="R505" s="271">
        <v>0</v>
      </c>
      <c r="S505" s="167"/>
      <c r="T505" s="129" t="s">
        <v>468</v>
      </c>
      <c r="U505" s="147" t="s">
        <v>37</v>
      </c>
      <c r="V505" s="129"/>
      <c r="W505" s="147" t="s">
        <v>2209</v>
      </c>
      <c r="X505" s="205"/>
      <c r="Y505" s="251"/>
      <c r="Z505" s="155"/>
      <c r="AA505" s="230"/>
    </row>
    <row r="506" spans="1:27" s="181" customFormat="1" ht="24" hidden="1" x14ac:dyDescent="0.25">
      <c r="A506" s="131">
        <v>1</v>
      </c>
      <c r="B506" s="136">
        <v>1201025</v>
      </c>
      <c r="C506" s="128" t="s">
        <v>567</v>
      </c>
      <c r="D506" s="128" t="s">
        <v>624</v>
      </c>
      <c r="E506" s="147" t="s">
        <v>38</v>
      </c>
      <c r="F506" s="129" t="s">
        <v>289</v>
      </c>
      <c r="G506" s="147"/>
      <c r="H506" s="189">
        <f t="shared" si="7"/>
        <v>0</v>
      </c>
      <c r="I506" s="134"/>
      <c r="J506" s="150"/>
      <c r="K506" s="147">
        <v>11</v>
      </c>
      <c r="L506" s="147">
        <v>1</v>
      </c>
      <c r="M506" s="147">
        <v>12</v>
      </c>
      <c r="N506" s="275"/>
      <c r="O506" s="194"/>
      <c r="P506" s="179"/>
      <c r="Q506" s="173"/>
      <c r="R506" s="271"/>
      <c r="S506" s="167"/>
      <c r="T506" s="129" t="s">
        <v>289</v>
      </c>
      <c r="U506" s="147" t="s">
        <v>37</v>
      </c>
      <c r="V506" s="129"/>
      <c r="W506" s="162" t="s">
        <v>2519</v>
      </c>
      <c r="X506" s="205"/>
      <c r="Y506" s="251"/>
      <c r="Z506" s="155"/>
      <c r="AA506" s="230"/>
    </row>
    <row r="507" spans="1:27" s="181" customFormat="1" hidden="1" x14ac:dyDescent="0.25">
      <c r="A507" s="131">
        <v>1</v>
      </c>
      <c r="B507" s="136">
        <v>1201026</v>
      </c>
      <c r="C507" s="128" t="s">
        <v>567</v>
      </c>
      <c r="D507" s="128" t="s">
        <v>625</v>
      </c>
      <c r="E507" s="147" t="s">
        <v>38</v>
      </c>
      <c r="F507" s="129" t="s">
        <v>289</v>
      </c>
      <c r="G507" s="147"/>
      <c r="H507" s="189">
        <f t="shared" si="7"/>
        <v>0</v>
      </c>
      <c r="I507" s="134"/>
      <c r="J507" s="150"/>
      <c r="K507" s="147">
        <v>11</v>
      </c>
      <c r="L507" s="147">
        <v>1</v>
      </c>
      <c r="M507" s="147">
        <v>12</v>
      </c>
      <c r="N507" s="275"/>
      <c r="O507" s="194"/>
      <c r="P507" s="179"/>
      <c r="Q507" s="173"/>
      <c r="R507" s="271"/>
      <c r="S507" s="167"/>
      <c r="T507" s="129" t="s">
        <v>289</v>
      </c>
      <c r="U507" s="147" t="s">
        <v>37</v>
      </c>
      <c r="V507" s="129"/>
      <c r="W507" s="162" t="s">
        <v>2519</v>
      </c>
      <c r="X507" s="205"/>
      <c r="Y507" s="251"/>
      <c r="Z507" s="155"/>
      <c r="AA507" s="230"/>
    </row>
    <row r="508" spans="1:27" s="181" customFormat="1" ht="24" x14ac:dyDescent="0.25">
      <c r="A508" s="131"/>
      <c r="B508" s="157">
        <v>1201027</v>
      </c>
      <c r="C508" s="129" t="s">
        <v>567</v>
      </c>
      <c r="D508" s="136" t="s">
        <v>1823</v>
      </c>
      <c r="E508" s="147" t="s">
        <v>38</v>
      </c>
      <c r="F508" s="129" t="s">
        <v>1824</v>
      </c>
      <c r="G508" s="147" t="s">
        <v>607</v>
      </c>
      <c r="H508" s="189">
        <f t="shared" si="7"/>
        <v>3589.4866666666667</v>
      </c>
      <c r="I508" s="226" t="s">
        <v>2230</v>
      </c>
      <c r="J508" s="146">
        <v>30</v>
      </c>
      <c r="K508" s="147">
        <v>2</v>
      </c>
      <c r="L508" s="147">
        <v>1</v>
      </c>
      <c r="M508" s="147">
        <v>3</v>
      </c>
      <c r="N508" s="275">
        <v>6</v>
      </c>
      <c r="O508" s="196">
        <f>2995.1+479.216+112.5</f>
        <v>3586.8159999999998</v>
      </c>
      <c r="P508" s="179">
        <v>46175</v>
      </c>
      <c r="Q508" s="175">
        <f>3052+488.32</f>
        <v>3540.32</v>
      </c>
      <c r="R508" s="350">
        <v>49.166666666666664</v>
      </c>
      <c r="S508" s="164"/>
      <c r="T508" s="129" t="s">
        <v>2206</v>
      </c>
      <c r="U508" s="147" t="s">
        <v>37</v>
      </c>
      <c r="V508" s="147">
        <v>3500296</v>
      </c>
      <c r="W508" s="147" t="s">
        <v>2208</v>
      </c>
      <c r="X508" s="205" t="s">
        <v>1904</v>
      </c>
      <c r="Y508" s="251"/>
      <c r="Z508" s="290"/>
      <c r="AA508" s="286"/>
    </row>
    <row r="509" spans="1:27" s="181" customFormat="1" hidden="1" x14ac:dyDescent="0.25">
      <c r="A509" s="131">
        <v>1</v>
      </c>
      <c r="B509" s="136">
        <v>1201100</v>
      </c>
      <c r="C509" s="128" t="s">
        <v>567</v>
      </c>
      <c r="D509" s="128" t="s">
        <v>621</v>
      </c>
      <c r="E509" s="147" t="s">
        <v>38</v>
      </c>
      <c r="F509" s="129" t="s">
        <v>622</v>
      </c>
      <c r="G509" s="147" t="s">
        <v>623</v>
      </c>
      <c r="H509" s="189">
        <f t="shared" si="7"/>
        <v>7.84</v>
      </c>
      <c r="I509" s="134"/>
      <c r="J509" s="150"/>
      <c r="K509" s="147"/>
      <c r="L509" s="147"/>
      <c r="M509" s="147">
        <v>6</v>
      </c>
      <c r="N509" s="275"/>
      <c r="O509" s="194"/>
      <c r="P509" s="179"/>
      <c r="Q509" s="173">
        <v>7.84</v>
      </c>
      <c r="R509" s="271"/>
      <c r="S509" s="167"/>
      <c r="T509" s="129"/>
      <c r="U509" s="147" t="s">
        <v>37</v>
      </c>
      <c r="V509" s="129"/>
      <c r="W509" s="147" t="s">
        <v>2209</v>
      </c>
      <c r="X509" s="205"/>
      <c r="Y509" s="251"/>
      <c r="Z509" s="155"/>
      <c r="AA509" s="230"/>
    </row>
    <row r="510" spans="1:27" s="181" customFormat="1" hidden="1" x14ac:dyDescent="0.25">
      <c r="A510" s="131">
        <v>1</v>
      </c>
      <c r="B510" s="136">
        <v>1202001</v>
      </c>
      <c r="C510" s="137" t="s">
        <v>567</v>
      </c>
      <c r="D510" s="143" t="s">
        <v>626</v>
      </c>
      <c r="E510" s="147" t="s">
        <v>38</v>
      </c>
      <c r="F510" s="129" t="s">
        <v>628</v>
      </c>
      <c r="G510" s="147" t="s">
        <v>607</v>
      </c>
      <c r="H510" s="189">
        <f t="shared" si="7"/>
        <v>536.5</v>
      </c>
      <c r="I510" s="134"/>
      <c r="J510" s="150"/>
      <c r="K510" s="147"/>
      <c r="L510" s="147"/>
      <c r="M510" s="147">
        <v>4</v>
      </c>
      <c r="N510" s="275" t="s">
        <v>630</v>
      </c>
      <c r="O510" s="194"/>
      <c r="P510" s="179"/>
      <c r="Q510" s="173">
        <v>16.5</v>
      </c>
      <c r="R510" s="271">
        <v>520</v>
      </c>
      <c r="S510" s="164"/>
      <c r="T510" s="129" t="s">
        <v>277</v>
      </c>
      <c r="U510" s="147" t="s">
        <v>35</v>
      </c>
      <c r="V510" s="129"/>
      <c r="W510" s="147" t="s">
        <v>2209</v>
      </c>
      <c r="X510" s="205"/>
      <c r="Y510" s="251"/>
      <c r="Z510" s="155"/>
      <c r="AA510" s="230"/>
    </row>
    <row r="511" spans="1:27" s="181" customFormat="1" hidden="1" x14ac:dyDescent="0.25">
      <c r="A511" s="131">
        <v>1</v>
      </c>
      <c r="B511" s="136">
        <v>1202002</v>
      </c>
      <c r="C511" s="137" t="s">
        <v>567</v>
      </c>
      <c r="D511" s="143" t="s">
        <v>635</v>
      </c>
      <c r="E511" s="147" t="s">
        <v>38</v>
      </c>
      <c r="F511" s="129" t="s">
        <v>628</v>
      </c>
      <c r="G511" s="147" t="s">
        <v>607</v>
      </c>
      <c r="H511" s="189">
        <f t="shared" si="7"/>
        <v>545</v>
      </c>
      <c r="I511" s="134"/>
      <c r="J511" s="150"/>
      <c r="K511" s="147"/>
      <c r="L511" s="147"/>
      <c r="M511" s="147">
        <v>4</v>
      </c>
      <c r="N511" s="275" t="s">
        <v>630</v>
      </c>
      <c r="O511" s="194"/>
      <c r="P511" s="179"/>
      <c r="Q511" s="173">
        <v>25</v>
      </c>
      <c r="R511" s="271">
        <v>520</v>
      </c>
      <c r="S511" s="164"/>
      <c r="T511" s="129" t="s">
        <v>277</v>
      </c>
      <c r="U511" s="147" t="s">
        <v>35</v>
      </c>
      <c r="V511" s="129"/>
      <c r="W511" s="147" t="s">
        <v>2209</v>
      </c>
      <c r="X511" s="205"/>
      <c r="Y511" s="251"/>
      <c r="Z511" s="155"/>
      <c r="AA511" s="230"/>
    </row>
    <row r="512" spans="1:27" s="181" customFormat="1" hidden="1" x14ac:dyDescent="0.25">
      <c r="A512" s="131">
        <v>1</v>
      </c>
      <c r="B512" s="136">
        <v>1202003</v>
      </c>
      <c r="C512" s="137" t="s">
        <v>567</v>
      </c>
      <c r="D512" s="143" t="s">
        <v>636</v>
      </c>
      <c r="E512" s="147" t="s">
        <v>38</v>
      </c>
      <c r="F512" s="129" t="s">
        <v>628</v>
      </c>
      <c r="G512" s="147" t="s">
        <v>607</v>
      </c>
      <c r="H512" s="189">
        <f t="shared" si="7"/>
        <v>545.29999999999995</v>
      </c>
      <c r="I512" s="134"/>
      <c r="J512" s="150"/>
      <c r="K512" s="147"/>
      <c r="L512" s="147"/>
      <c r="M512" s="147">
        <v>4</v>
      </c>
      <c r="N512" s="275" t="s">
        <v>630</v>
      </c>
      <c r="O512" s="194"/>
      <c r="P512" s="179"/>
      <c r="Q512" s="173">
        <v>25.3</v>
      </c>
      <c r="R512" s="271">
        <v>520</v>
      </c>
      <c r="S512" s="164"/>
      <c r="T512" s="129" t="s">
        <v>277</v>
      </c>
      <c r="U512" s="147" t="s">
        <v>35</v>
      </c>
      <c r="V512" s="129"/>
      <c r="W512" s="147" t="s">
        <v>2209</v>
      </c>
      <c r="X512" s="205"/>
      <c r="Y512" s="251"/>
      <c r="Z512" s="155"/>
      <c r="AA512" s="230"/>
    </row>
    <row r="513" spans="1:27" s="181" customFormat="1" hidden="1" x14ac:dyDescent="0.25">
      <c r="A513" s="131">
        <v>1</v>
      </c>
      <c r="B513" s="136">
        <v>1202004</v>
      </c>
      <c r="C513" s="137" t="s">
        <v>567</v>
      </c>
      <c r="D513" s="143" t="s">
        <v>637</v>
      </c>
      <c r="E513" s="147" t="s">
        <v>38</v>
      </c>
      <c r="F513" s="129" t="s">
        <v>628</v>
      </c>
      <c r="G513" s="147" t="s">
        <v>607</v>
      </c>
      <c r="H513" s="189">
        <f t="shared" si="7"/>
        <v>541</v>
      </c>
      <c r="I513" s="134"/>
      <c r="J513" s="150"/>
      <c r="K513" s="147"/>
      <c r="L513" s="147"/>
      <c r="M513" s="147">
        <v>4</v>
      </c>
      <c r="N513" s="275" t="s">
        <v>630</v>
      </c>
      <c r="O513" s="194"/>
      <c r="P513" s="179"/>
      <c r="Q513" s="173">
        <v>21</v>
      </c>
      <c r="R513" s="271">
        <v>520</v>
      </c>
      <c r="S513" s="164"/>
      <c r="T513" s="129" t="s">
        <v>277</v>
      </c>
      <c r="U513" s="147" t="s">
        <v>35</v>
      </c>
      <c r="V513" s="129"/>
      <c r="W513" s="147" t="s">
        <v>2209</v>
      </c>
      <c r="X513" s="205"/>
      <c r="Y513" s="251"/>
      <c r="Z513" s="155"/>
      <c r="AA513" s="230"/>
    </row>
    <row r="514" spans="1:27" s="181" customFormat="1" hidden="1" x14ac:dyDescent="0.25">
      <c r="A514" s="131">
        <v>1</v>
      </c>
      <c r="B514" s="136">
        <v>1202005</v>
      </c>
      <c r="C514" s="137" t="s">
        <v>567</v>
      </c>
      <c r="D514" s="143" t="s">
        <v>638</v>
      </c>
      <c r="E514" s="147" t="s">
        <v>38</v>
      </c>
      <c r="F514" s="129" t="s">
        <v>628</v>
      </c>
      <c r="G514" s="147" t="s">
        <v>607</v>
      </c>
      <c r="H514" s="189">
        <f t="shared" si="7"/>
        <v>534.70000000000005</v>
      </c>
      <c r="I514" s="134"/>
      <c r="J514" s="150"/>
      <c r="K514" s="147"/>
      <c r="L514" s="147"/>
      <c r="M514" s="147">
        <v>4</v>
      </c>
      <c r="N514" s="275" t="s">
        <v>630</v>
      </c>
      <c r="O514" s="194"/>
      <c r="P514" s="179"/>
      <c r="Q514" s="173">
        <v>14.7</v>
      </c>
      <c r="R514" s="271">
        <v>520</v>
      </c>
      <c r="S514" s="164"/>
      <c r="T514" s="129" t="s">
        <v>277</v>
      </c>
      <c r="U514" s="147" t="s">
        <v>35</v>
      </c>
      <c r="V514" s="129"/>
      <c r="W514" s="147" t="s">
        <v>2209</v>
      </c>
      <c r="X514" s="205"/>
      <c r="Y514" s="251"/>
      <c r="Z514" s="155"/>
      <c r="AA514" s="230"/>
    </row>
    <row r="515" spans="1:27" s="181" customFormat="1" hidden="1" x14ac:dyDescent="0.25">
      <c r="A515" s="131">
        <v>1</v>
      </c>
      <c r="B515" s="136">
        <v>1202006</v>
      </c>
      <c r="C515" s="137" t="s">
        <v>567</v>
      </c>
      <c r="D515" s="143" t="s">
        <v>639</v>
      </c>
      <c r="E515" s="147" t="s">
        <v>38</v>
      </c>
      <c r="F515" s="129" t="s">
        <v>628</v>
      </c>
      <c r="G515" s="147" t="s">
        <v>607</v>
      </c>
      <c r="H515" s="189">
        <f t="shared" ref="H515:H578" si="8">Q515+R515</f>
        <v>541.5</v>
      </c>
      <c r="I515" s="134"/>
      <c r="J515" s="150"/>
      <c r="K515" s="147"/>
      <c r="L515" s="147"/>
      <c r="M515" s="147">
        <v>4</v>
      </c>
      <c r="N515" s="275" t="s">
        <v>630</v>
      </c>
      <c r="O515" s="194"/>
      <c r="P515" s="179"/>
      <c r="Q515" s="173">
        <v>21.5</v>
      </c>
      <c r="R515" s="271">
        <v>520</v>
      </c>
      <c r="S515" s="164"/>
      <c r="T515" s="129" t="s">
        <v>277</v>
      </c>
      <c r="U515" s="147" t="s">
        <v>35</v>
      </c>
      <c r="V515" s="129"/>
      <c r="W515" s="147" t="s">
        <v>2209</v>
      </c>
      <c r="X515" s="205"/>
      <c r="Y515" s="251"/>
      <c r="Z515" s="155"/>
      <c r="AA515" s="230"/>
    </row>
    <row r="516" spans="1:27" s="181" customFormat="1" hidden="1" x14ac:dyDescent="0.25">
      <c r="A516" s="131">
        <v>1</v>
      </c>
      <c r="B516" s="136">
        <v>1202007</v>
      </c>
      <c r="C516" s="137" t="s">
        <v>567</v>
      </c>
      <c r="D516" s="143" t="s">
        <v>640</v>
      </c>
      <c r="E516" s="147" t="s">
        <v>38</v>
      </c>
      <c r="F516" s="129" t="s">
        <v>628</v>
      </c>
      <c r="G516" s="147" t="s">
        <v>607</v>
      </c>
      <c r="H516" s="189">
        <f t="shared" si="8"/>
        <v>543.5</v>
      </c>
      <c r="I516" s="134"/>
      <c r="J516" s="150"/>
      <c r="K516" s="147"/>
      <c r="L516" s="147"/>
      <c r="M516" s="147">
        <v>4</v>
      </c>
      <c r="N516" s="275" t="s">
        <v>630</v>
      </c>
      <c r="O516" s="194"/>
      <c r="P516" s="179"/>
      <c r="Q516" s="173">
        <v>23.5</v>
      </c>
      <c r="R516" s="271">
        <v>520</v>
      </c>
      <c r="S516" s="164"/>
      <c r="T516" s="129" t="s">
        <v>277</v>
      </c>
      <c r="U516" s="147" t="s">
        <v>35</v>
      </c>
      <c r="V516" s="129"/>
      <c r="W516" s="147" t="s">
        <v>2209</v>
      </c>
      <c r="X516" s="205"/>
      <c r="Y516" s="251"/>
      <c r="Z516" s="155"/>
      <c r="AA516" s="230"/>
    </row>
    <row r="517" spans="1:27" s="181" customFormat="1" hidden="1" x14ac:dyDescent="0.25">
      <c r="A517" s="131">
        <v>1</v>
      </c>
      <c r="B517" s="136">
        <v>1202008</v>
      </c>
      <c r="C517" s="137" t="s">
        <v>589</v>
      </c>
      <c r="D517" s="143" t="s">
        <v>641</v>
      </c>
      <c r="E517" s="147" t="s">
        <v>38</v>
      </c>
      <c r="F517" s="129" t="s">
        <v>628</v>
      </c>
      <c r="G517" s="147" t="s">
        <v>607</v>
      </c>
      <c r="H517" s="189">
        <f t="shared" si="8"/>
        <v>537</v>
      </c>
      <c r="I517" s="134"/>
      <c r="J517" s="150"/>
      <c r="K517" s="147"/>
      <c r="L517" s="147"/>
      <c r="M517" s="147">
        <v>4</v>
      </c>
      <c r="N517" s="275" t="s">
        <v>630</v>
      </c>
      <c r="O517" s="194"/>
      <c r="P517" s="179"/>
      <c r="Q517" s="173">
        <v>17</v>
      </c>
      <c r="R517" s="271">
        <v>520</v>
      </c>
      <c r="S517" s="164"/>
      <c r="T517" s="129" t="s">
        <v>277</v>
      </c>
      <c r="U517" s="147" t="s">
        <v>35</v>
      </c>
      <c r="V517" s="129"/>
      <c r="W517" s="147" t="s">
        <v>2209</v>
      </c>
      <c r="X517" s="205"/>
      <c r="Y517" s="251"/>
      <c r="Z517" s="155"/>
      <c r="AA517" s="230"/>
    </row>
    <row r="518" spans="1:27" s="181" customFormat="1" ht="24" hidden="1" x14ac:dyDescent="0.25">
      <c r="A518" s="131">
        <v>1</v>
      </c>
      <c r="B518" s="136">
        <v>1202009</v>
      </c>
      <c r="C518" s="137" t="s">
        <v>567</v>
      </c>
      <c r="D518" s="143" t="s">
        <v>642</v>
      </c>
      <c r="E518" s="147" t="s">
        <v>38</v>
      </c>
      <c r="F518" s="129" t="s">
        <v>628</v>
      </c>
      <c r="G518" s="147" t="s">
        <v>607</v>
      </c>
      <c r="H518" s="189">
        <f t="shared" si="8"/>
        <v>547</v>
      </c>
      <c r="I518" s="134"/>
      <c r="J518" s="150"/>
      <c r="K518" s="147"/>
      <c r="L518" s="147"/>
      <c r="M518" s="147">
        <v>4</v>
      </c>
      <c r="N518" s="275" t="s">
        <v>630</v>
      </c>
      <c r="O518" s="194"/>
      <c r="P518" s="179"/>
      <c r="Q518" s="173">
        <v>27</v>
      </c>
      <c r="R518" s="271">
        <v>520</v>
      </c>
      <c r="S518" s="164"/>
      <c r="T518" s="129" t="s">
        <v>277</v>
      </c>
      <c r="U518" s="147" t="s">
        <v>35</v>
      </c>
      <c r="V518" s="129"/>
      <c r="W518" s="147" t="s">
        <v>2209</v>
      </c>
      <c r="X518" s="205"/>
      <c r="Y518" s="251"/>
      <c r="Z518" s="155"/>
      <c r="AA518" s="230"/>
    </row>
    <row r="519" spans="1:27" s="181" customFormat="1" hidden="1" x14ac:dyDescent="0.25">
      <c r="A519" s="131">
        <v>1</v>
      </c>
      <c r="B519" s="136">
        <v>1202010</v>
      </c>
      <c r="C519" s="137" t="s">
        <v>567</v>
      </c>
      <c r="D519" s="143" t="s">
        <v>643</v>
      </c>
      <c r="E519" s="147" t="s">
        <v>38</v>
      </c>
      <c r="F519" s="129" t="s">
        <v>189</v>
      </c>
      <c r="G519" s="147" t="s">
        <v>623</v>
      </c>
      <c r="H519" s="189">
        <f t="shared" si="8"/>
        <v>0</v>
      </c>
      <c r="I519" s="213"/>
      <c r="J519" s="149"/>
      <c r="K519" s="147">
        <v>12</v>
      </c>
      <c r="L519" s="147">
        <v>1</v>
      </c>
      <c r="M519" s="147">
        <v>13</v>
      </c>
      <c r="N519" s="275"/>
      <c r="O519" s="194"/>
      <c r="P519" s="179"/>
      <c r="Q519" s="173"/>
      <c r="R519" s="260">
        <v>0</v>
      </c>
      <c r="S519" s="164"/>
      <c r="T519" s="129" t="s">
        <v>189</v>
      </c>
      <c r="U519" s="147" t="s">
        <v>35</v>
      </c>
      <c r="V519" s="129"/>
      <c r="W519" s="176" t="s">
        <v>2519</v>
      </c>
      <c r="X519" s="205"/>
      <c r="Y519" s="251"/>
      <c r="Z519" s="155"/>
      <c r="AA519" s="230"/>
    </row>
    <row r="520" spans="1:27" s="181" customFormat="1" hidden="1" x14ac:dyDescent="0.25">
      <c r="A520" s="131">
        <v>1</v>
      </c>
      <c r="B520" s="136">
        <v>1202011</v>
      </c>
      <c r="C520" s="137" t="s">
        <v>567</v>
      </c>
      <c r="D520" s="143" t="s">
        <v>644</v>
      </c>
      <c r="E520" s="147" t="s">
        <v>38</v>
      </c>
      <c r="F520" s="129" t="s">
        <v>189</v>
      </c>
      <c r="G520" s="147" t="s">
        <v>623</v>
      </c>
      <c r="H520" s="189">
        <f t="shared" si="8"/>
        <v>0</v>
      </c>
      <c r="I520" s="213"/>
      <c r="J520" s="149"/>
      <c r="K520" s="147">
        <v>12</v>
      </c>
      <c r="L520" s="147">
        <v>1</v>
      </c>
      <c r="M520" s="147">
        <v>13</v>
      </c>
      <c r="N520" s="275"/>
      <c r="O520" s="194"/>
      <c r="P520" s="179"/>
      <c r="Q520" s="173"/>
      <c r="R520" s="260">
        <v>0</v>
      </c>
      <c r="S520" s="164"/>
      <c r="T520" s="129" t="s">
        <v>189</v>
      </c>
      <c r="U520" s="147" t="s">
        <v>35</v>
      </c>
      <c r="V520" s="129"/>
      <c r="W520" s="176" t="s">
        <v>2519</v>
      </c>
      <c r="X520" s="205"/>
      <c r="Y520" s="251"/>
      <c r="Z520" s="155"/>
      <c r="AA520" s="230"/>
    </row>
    <row r="521" spans="1:27" s="181" customFormat="1" hidden="1" x14ac:dyDescent="0.25">
      <c r="A521" s="131">
        <v>1</v>
      </c>
      <c r="B521" s="136">
        <v>1203001</v>
      </c>
      <c r="C521" s="127" t="s">
        <v>567</v>
      </c>
      <c r="D521" s="128" t="s">
        <v>645</v>
      </c>
      <c r="E521" s="147" t="s">
        <v>38</v>
      </c>
      <c r="F521" s="129" t="s">
        <v>569</v>
      </c>
      <c r="G521" s="147" t="s">
        <v>34</v>
      </c>
      <c r="H521" s="189">
        <f t="shared" si="8"/>
        <v>6</v>
      </c>
      <c r="I521" s="210"/>
      <c r="J521" s="150"/>
      <c r="K521" s="147"/>
      <c r="L521" s="147"/>
      <c r="M521" s="147">
        <v>4</v>
      </c>
      <c r="N521" s="275"/>
      <c r="O521" s="194"/>
      <c r="P521" s="179"/>
      <c r="Q521" s="173">
        <v>6</v>
      </c>
      <c r="R521" s="271"/>
      <c r="S521" s="167"/>
      <c r="T521" s="129" t="s">
        <v>55</v>
      </c>
      <c r="U521" s="147" t="s">
        <v>37</v>
      </c>
      <c r="V521" s="129"/>
      <c r="W521" s="147" t="s">
        <v>2209</v>
      </c>
      <c r="X521" s="205"/>
      <c r="Y521" s="251"/>
      <c r="Z521" s="155"/>
      <c r="AA521" s="230"/>
    </row>
    <row r="522" spans="1:27" s="181" customFormat="1" hidden="1" x14ac:dyDescent="0.25">
      <c r="A522" s="131">
        <v>1</v>
      </c>
      <c r="B522" s="136">
        <v>1203002</v>
      </c>
      <c r="C522" s="127" t="s">
        <v>567</v>
      </c>
      <c r="D522" s="128" t="s">
        <v>646</v>
      </c>
      <c r="E522" s="147" t="s">
        <v>38</v>
      </c>
      <c r="F522" s="129" t="s">
        <v>569</v>
      </c>
      <c r="G522" s="147" t="s">
        <v>34</v>
      </c>
      <c r="H522" s="189">
        <f t="shared" si="8"/>
        <v>6</v>
      </c>
      <c r="I522" s="134"/>
      <c r="J522" s="150"/>
      <c r="K522" s="147"/>
      <c r="L522" s="147"/>
      <c r="M522" s="147">
        <v>4</v>
      </c>
      <c r="N522" s="275"/>
      <c r="O522" s="194"/>
      <c r="P522" s="179"/>
      <c r="Q522" s="173">
        <v>6</v>
      </c>
      <c r="R522" s="271"/>
      <c r="S522" s="167"/>
      <c r="T522" s="129" t="s">
        <v>55</v>
      </c>
      <c r="U522" s="147" t="s">
        <v>37</v>
      </c>
      <c r="V522" s="129"/>
      <c r="W522" s="162" t="s">
        <v>54</v>
      </c>
      <c r="X522" s="205"/>
      <c r="Y522" s="251"/>
      <c r="Z522" s="155"/>
      <c r="AA522" s="230"/>
    </row>
    <row r="523" spans="1:27" s="181" customFormat="1" hidden="1" x14ac:dyDescent="0.25">
      <c r="A523" s="131">
        <v>1</v>
      </c>
      <c r="B523" s="136">
        <v>1203003</v>
      </c>
      <c r="C523" s="127" t="s">
        <v>567</v>
      </c>
      <c r="D523" s="128" t="s">
        <v>647</v>
      </c>
      <c r="E523" s="147" t="s">
        <v>38</v>
      </c>
      <c r="F523" s="129" t="s">
        <v>648</v>
      </c>
      <c r="G523" s="147" t="s">
        <v>34</v>
      </c>
      <c r="H523" s="189">
        <f t="shared" si="8"/>
        <v>35</v>
      </c>
      <c r="I523" s="134"/>
      <c r="J523" s="150"/>
      <c r="K523" s="147"/>
      <c r="L523" s="147"/>
      <c r="M523" s="147">
        <v>2</v>
      </c>
      <c r="N523" s="275"/>
      <c r="O523" s="194"/>
      <c r="P523" s="179"/>
      <c r="Q523" s="173">
        <v>35</v>
      </c>
      <c r="R523" s="271"/>
      <c r="S523" s="167"/>
      <c r="T523" s="129"/>
      <c r="U523" s="147" t="s">
        <v>37</v>
      </c>
      <c r="V523" s="129"/>
      <c r="W523" s="147" t="s">
        <v>2209</v>
      </c>
      <c r="X523" s="205"/>
      <c r="Y523" s="251"/>
      <c r="Z523" s="155"/>
      <c r="AA523" s="230"/>
    </row>
    <row r="524" spans="1:27" s="181" customFormat="1" hidden="1" x14ac:dyDescent="0.25">
      <c r="A524" s="131">
        <v>1</v>
      </c>
      <c r="B524" s="136">
        <v>1203004</v>
      </c>
      <c r="C524" s="127" t="s">
        <v>567</v>
      </c>
      <c r="D524" s="128" t="s">
        <v>649</v>
      </c>
      <c r="E524" s="147" t="s">
        <v>38</v>
      </c>
      <c r="F524" s="129" t="s">
        <v>648</v>
      </c>
      <c r="G524" s="147" t="s">
        <v>34</v>
      </c>
      <c r="H524" s="189">
        <f t="shared" si="8"/>
        <v>35</v>
      </c>
      <c r="I524" s="134"/>
      <c r="J524" s="150"/>
      <c r="K524" s="147"/>
      <c r="L524" s="147"/>
      <c r="M524" s="147">
        <v>2</v>
      </c>
      <c r="N524" s="275"/>
      <c r="O524" s="194"/>
      <c r="P524" s="179"/>
      <c r="Q524" s="173">
        <v>35</v>
      </c>
      <c r="R524" s="271"/>
      <c r="S524" s="167"/>
      <c r="T524" s="129"/>
      <c r="U524" s="147" t="s">
        <v>37</v>
      </c>
      <c r="V524" s="129"/>
      <c r="W524" s="147" t="s">
        <v>2209</v>
      </c>
      <c r="X524" s="205"/>
      <c r="Y524" s="251"/>
      <c r="Z524" s="155"/>
      <c r="AA524" s="230"/>
    </row>
    <row r="525" spans="1:27" hidden="1" x14ac:dyDescent="0.25">
      <c r="A525" s="131">
        <v>1</v>
      </c>
      <c r="B525" s="136">
        <v>1203005</v>
      </c>
      <c r="C525" s="127" t="s">
        <v>589</v>
      </c>
      <c r="D525" s="128" t="s">
        <v>650</v>
      </c>
      <c r="E525" s="147" t="s">
        <v>38</v>
      </c>
      <c r="F525" s="138" t="s">
        <v>57</v>
      </c>
      <c r="G525" s="147" t="s">
        <v>34</v>
      </c>
      <c r="H525" s="189">
        <f t="shared" si="8"/>
        <v>0</v>
      </c>
      <c r="I525" s="213"/>
      <c r="J525" s="149"/>
      <c r="K525" s="147">
        <v>12</v>
      </c>
      <c r="L525" s="147">
        <v>1</v>
      </c>
      <c r="M525" s="147">
        <v>13</v>
      </c>
      <c r="N525" s="275"/>
      <c r="O525" s="194"/>
      <c r="P525" s="179"/>
      <c r="Q525" s="173"/>
      <c r="R525" s="260">
        <v>0</v>
      </c>
      <c r="S525" s="167"/>
      <c r="T525" s="129" t="s">
        <v>55</v>
      </c>
      <c r="U525" s="147" t="s">
        <v>37</v>
      </c>
      <c r="V525" s="129"/>
      <c r="W525" s="162" t="s">
        <v>54</v>
      </c>
      <c r="X525" s="205"/>
      <c r="Y525" s="251"/>
      <c r="Z525" s="155"/>
      <c r="AA525" s="230"/>
    </row>
    <row r="526" spans="1:27" ht="24" hidden="1" x14ac:dyDescent="0.25">
      <c r="A526" s="131">
        <v>1</v>
      </c>
      <c r="B526" s="136">
        <v>1203006</v>
      </c>
      <c r="C526" s="127" t="s">
        <v>657</v>
      </c>
      <c r="D526" s="128" t="s">
        <v>651</v>
      </c>
      <c r="E526" s="147" t="s">
        <v>38</v>
      </c>
      <c r="F526" s="138" t="s">
        <v>57</v>
      </c>
      <c r="G526" s="147" t="s">
        <v>1731</v>
      </c>
      <c r="H526" s="189">
        <f t="shared" si="8"/>
        <v>16.05</v>
      </c>
      <c r="I526" s="213"/>
      <c r="J526" s="149"/>
      <c r="K526" s="147">
        <v>12</v>
      </c>
      <c r="L526" s="147">
        <v>1</v>
      </c>
      <c r="M526" s="147">
        <v>13</v>
      </c>
      <c r="N526" s="275"/>
      <c r="O526" s="194"/>
      <c r="P526" s="179"/>
      <c r="Q526" s="173">
        <v>16</v>
      </c>
      <c r="R526" s="271">
        <v>0.05</v>
      </c>
      <c r="S526" s="167"/>
      <c r="T526" s="129" t="s">
        <v>55</v>
      </c>
      <c r="U526" s="147" t="s">
        <v>37</v>
      </c>
      <c r="V526" s="129"/>
      <c r="W526" s="162" t="s">
        <v>54</v>
      </c>
      <c r="X526" s="205"/>
      <c r="Y526" s="251"/>
      <c r="Z526" s="155"/>
      <c r="AA526" s="230"/>
    </row>
    <row r="527" spans="1:27" s="181" customFormat="1" ht="24" hidden="1" x14ac:dyDescent="0.25">
      <c r="A527" s="131">
        <v>1</v>
      </c>
      <c r="B527" s="136">
        <v>1203007</v>
      </c>
      <c r="C527" s="127" t="s">
        <v>657</v>
      </c>
      <c r="D527" s="128" t="s">
        <v>652</v>
      </c>
      <c r="E527" s="147" t="s">
        <v>38</v>
      </c>
      <c r="F527" s="138" t="s">
        <v>57</v>
      </c>
      <c r="G527" s="147" t="s">
        <v>1731</v>
      </c>
      <c r="H527" s="189">
        <f t="shared" si="8"/>
        <v>16.05</v>
      </c>
      <c r="I527" s="213"/>
      <c r="J527" s="149"/>
      <c r="K527" s="147">
        <v>12</v>
      </c>
      <c r="L527" s="147">
        <v>1</v>
      </c>
      <c r="M527" s="147">
        <v>13</v>
      </c>
      <c r="N527" s="275"/>
      <c r="O527" s="194"/>
      <c r="P527" s="179"/>
      <c r="Q527" s="173">
        <v>16</v>
      </c>
      <c r="R527" s="271">
        <v>0.05</v>
      </c>
      <c r="S527" s="167"/>
      <c r="T527" s="129" t="s">
        <v>55</v>
      </c>
      <c r="U527" s="147" t="s">
        <v>37</v>
      </c>
      <c r="V527" s="129"/>
      <c r="W527" s="162" t="s">
        <v>54</v>
      </c>
      <c r="X527" s="205"/>
      <c r="Y527" s="251"/>
      <c r="Z527" s="155"/>
      <c r="AA527" s="230"/>
    </row>
    <row r="528" spans="1:27" s="181" customFormat="1" ht="24" hidden="1" x14ac:dyDescent="0.25">
      <c r="A528" s="131">
        <v>1</v>
      </c>
      <c r="B528" s="136">
        <v>1203008</v>
      </c>
      <c r="C528" s="127" t="s">
        <v>657</v>
      </c>
      <c r="D528" s="128" t="s">
        <v>653</v>
      </c>
      <c r="E528" s="147" t="s">
        <v>38</v>
      </c>
      <c r="F528" s="138" t="s">
        <v>57</v>
      </c>
      <c r="G528" s="147" t="s">
        <v>1731</v>
      </c>
      <c r="H528" s="189">
        <f t="shared" si="8"/>
        <v>16.05</v>
      </c>
      <c r="I528" s="213"/>
      <c r="J528" s="149"/>
      <c r="K528" s="147">
        <v>12</v>
      </c>
      <c r="L528" s="147">
        <v>1</v>
      </c>
      <c r="M528" s="147">
        <v>13</v>
      </c>
      <c r="N528" s="275"/>
      <c r="O528" s="194"/>
      <c r="P528" s="179"/>
      <c r="Q528" s="173">
        <v>16</v>
      </c>
      <c r="R528" s="271">
        <v>0.05</v>
      </c>
      <c r="S528" s="167"/>
      <c r="T528" s="129" t="s">
        <v>55</v>
      </c>
      <c r="U528" s="147" t="s">
        <v>37</v>
      </c>
      <c r="V528" s="129"/>
      <c r="W528" s="162" t="s">
        <v>54</v>
      </c>
      <c r="X528" s="205"/>
      <c r="Y528" s="251"/>
      <c r="Z528" s="155"/>
      <c r="AA528" s="230"/>
    </row>
    <row r="529" spans="1:27" s="181" customFormat="1" ht="24" hidden="1" x14ac:dyDescent="0.25">
      <c r="A529" s="131">
        <v>1</v>
      </c>
      <c r="B529" s="136">
        <v>1203009</v>
      </c>
      <c r="C529" s="127" t="s">
        <v>657</v>
      </c>
      <c r="D529" s="128" t="s">
        <v>654</v>
      </c>
      <c r="E529" s="147" t="s">
        <v>38</v>
      </c>
      <c r="F529" s="138" t="s">
        <v>57</v>
      </c>
      <c r="G529" s="147" t="s">
        <v>34</v>
      </c>
      <c r="H529" s="189">
        <f t="shared" si="8"/>
        <v>16.05</v>
      </c>
      <c r="I529" s="213"/>
      <c r="J529" s="149"/>
      <c r="K529" s="147">
        <v>12</v>
      </c>
      <c r="L529" s="147">
        <v>1</v>
      </c>
      <c r="M529" s="147">
        <v>13</v>
      </c>
      <c r="N529" s="275"/>
      <c r="O529" s="194"/>
      <c r="P529" s="179"/>
      <c r="Q529" s="173">
        <v>16</v>
      </c>
      <c r="R529" s="271">
        <v>0.05</v>
      </c>
      <c r="S529" s="167"/>
      <c r="T529" s="129" t="s">
        <v>55</v>
      </c>
      <c r="U529" s="147" t="s">
        <v>37</v>
      </c>
      <c r="V529" s="129"/>
      <c r="W529" s="162" t="s">
        <v>54</v>
      </c>
      <c r="X529" s="205"/>
      <c r="Y529" s="251"/>
      <c r="Z529" s="155"/>
      <c r="AA529" s="230"/>
    </row>
    <row r="530" spans="1:27" s="181" customFormat="1" ht="24" hidden="1" x14ac:dyDescent="0.25">
      <c r="A530" s="131">
        <v>1</v>
      </c>
      <c r="B530" s="136">
        <v>1203010</v>
      </c>
      <c r="C530" s="127" t="s">
        <v>657</v>
      </c>
      <c r="D530" s="128" t="s">
        <v>655</v>
      </c>
      <c r="E530" s="147" t="s">
        <v>38</v>
      </c>
      <c r="F530" s="138" t="s">
        <v>57</v>
      </c>
      <c r="G530" s="147" t="s">
        <v>34</v>
      </c>
      <c r="H530" s="189">
        <f t="shared" si="8"/>
        <v>16.05</v>
      </c>
      <c r="I530" s="213"/>
      <c r="J530" s="149"/>
      <c r="K530" s="147">
        <v>12</v>
      </c>
      <c r="L530" s="147">
        <v>1</v>
      </c>
      <c r="M530" s="147">
        <v>13</v>
      </c>
      <c r="N530" s="275"/>
      <c r="O530" s="194"/>
      <c r="P530" s="179"/>
      <c r="Q530" s="173">
        <v>16</v>
      </c>
      <c r="R530" s="271">
        <v>0.05</v>
      </c>
      <c r="S530" s="167"/>
      <c r="T530" s="129" t="s">
        <v>55</v>
      </c>
      <c r="U530" s="147" t="s">
        <v>37</v>
      </c>
      <c r="V530" s="129"/>
      <c r="W530" s="162" t="s">
        <v>54</v>
      </c>
      <c r="X530" s="205"/>
      <c r="Y530" s="251"/>
      <c r="Z530" s="155"/>
      <c r="AA530" s="230"/>
    </row>
    <row r="531" spans="1:27" hidden="1" x14ac:dyDescent="0.25">
      <c r="A531" s="131">
        <v>1</v>
      </c>
      <c r="B531" s="136">
        <v>1203011</v>
      </c>
      <c r="C531" s="127" t="s">
        <v>657</v>
      </c>
      <c r="D531" s="128" t="s">
        <v>656</v>
      </c>
      <c r="E531" s="147" t="s">
        <v>38</v>
      </c>
      <c r="F531" s="138" t="s">
        <v>57</v>
      </c>
      <c r="G531" s="147" t="s">
        <v>34</v>
      </c>
      <c r="H531" s="189">
        <f t="shared" si="8"/>
        <v>16.05</v>
      </c>
      <c r="I531" s="213"/>
      <c r="J531" s="149"/>
      <c r="K531" s="147">
        <v>12</v>
      </c>
      <c r="L531" s="147">
        <v>1</v>
      </c>
      <c r="M531" s="147">
        <v>13</v>
      </c>
      <c r="N531" s="275"/>
      <c r="O531" s="194"/>
      <c r="P531" s="179"/>
      <c r="Q531" s="173">
        <v>16</v>
      </c>
      <c r="R531" s="271">
        <v>0.05</v>
      </c>
      <c r="S531" s="167"/>
      <c r="T531" s="138" t="s">
        <v>57</v>
      </c>
      <c r="U531" s="147" t="s">
        <v>37</v>
      </c>
      <c r="V531" s="129"/>
      <c r="W531" s="162" t="s">
        <v>54</v>
      </c>
      <c r="X531" s="205"/>
      <c r="Y531" s="251"/>
      <c r="Z531" s="155"/>
      <c r="AA531" s="230"/>
    </row>
    <row r="532" spans="1:27" s="181" customFormat="1" ht="24" hidden="1" x14ac:dyDescent="0.25">
      <c r="A532" s="131">
        <v>1</v>
      </c>
      <c r="B532" s="136">
        <v>1203012</v>
      </c>
      <c r="C532" s="127" t="s">
        <v>657</v>
      </c>
      <c r="D532" s="128" t="s">
        <v>658</v>
      </c>
      <c r="E532" s="147" t="s">
        <v>38</v>
      </c>
      <c r="F532" s="129" t="s">
        <v>55</v>
      </c>
      <c r="G532" s="147" t="s">
        <v>34</v>
      </c>
      <c r="H532" s="189">
        <f t="shared" si="8"/>
        <v>16.05</v>
      </c>
      <c r="I532" s="213"/>
      <c r="J532" s="148">
        <v>30</v>
      </c>
      <c r="K532" s="147"/>
      <c r="L532" s="147"/>
      <c r="M532" s="147">
        <v>1</v>
      </c>
      <c r="N532" s="275"/>
      <c r="O532" s="194"/>
      <c r="P532" s="179"/>
      <c r="Q532" s="173">
        <v>16</v>
      </c>
      <c r="R532" s="271">
        <v>0.05</v>
      </c>
      <c r="S532" s="167"/>
      <c r="T532" s="129" t="s">
        <v>55</v>
      </c>
      <c r="U532" s="147" t="s">
        <v>37</v>
      </c>
      <c r="V532" s="129"/>
      <c r="W532" s="176" t="s">
        <v>2519</v>
      </c>
      <c r="X532" s="205"/>
      <c r="Y532" s="251"/>
      <c r="Z532" s="155"/>
      <c r="AA532" s="230"/>
    </row>
    <row r="533" spans="1:27" s="181" customFormat="1" ht="24" hidden="1" x14ac:dyDescent="0.25">
      <c r="A533" s="131">
        <v>1</v>
      </c>
      <c r="B533" s="136">
        <v>1203013</v>
      </c>
      <c r="C533" s="127" t="s">
        <v>657</v>
      </c>
      <c r="D533" s="128" t="s">
        <v>659</v>
      </c>
      <c r="E533" s="147" t="s">
        <v>38</v>
      </c>
      <c r="F533" s="138" t="s">
        <v>57</v>
      </c>
      <c r="G533" s="147" t="s">
        <v>34</v>
      </c>
      <c r="H533" s="189">
        <f t="shared" si="8"/>
        <v>16.05</v>
      </c>
      <c r="I533" s="213"/>
      <c r="J533" s="149"/>
      <c r="K533" s="147">
        <v>12</v>
      </c>
      <c r="L533" s="147">
        <v>1</v>
      </c>
      <c r="M533" s="147">
        <v>13</v>
      </c>
      <c r="N533" s="275"/>
      <c r="O533" s="194"/>
      <c r="P533" s="179"/>
      <c r="Q533" s="173">
        <v>16</v>
      </c>
      <c r="R533" s="271">
        <v>0.05</v>
      </c>
      <c r="S533" s="167"/>
      <c r="T533" s="129" t="s">
        <v>55</v>
      </c>
      <c r="U533" s="147" t="s">
        <v>37</v>
      </c>
      <c r="V533" s="129"/>
      <c r="W533" s="162" t="s">
        <v>54</v>
      </c>
      <c r="X533" s="205"/>
      <c r="Y533" s="251"/>
      <c r="Z533" s="155"/>
      <c r="AA533" s="230"/>
    </row>
    <row r="534" spans="1:27" s="181" customFormat="1" ht="24" hidden="1" x14ac:dyDescent="0.25">
      <c r="A534" s="131">
        <v>1</v>
      </c>
      <c r="B534" s="136">
        <v>1203014</v>
      </c>
      <c r="C534" s="127" t="s">
        <v>657</v>
      </c>
      <c r="D534" s="128" t="s">
        <v>660</v>
      </c>
      <c r="E534" s="147" t="s">
        <v>38</v>
      </c>
      <c r="F534" s="138" t="s">
        <v>57</v>
      </c>
      <c r="G534" s="147" t="s">
        <v>34</v>
      </c>
      <c r="H534" s="189">
        <f t="shared" si="8"/>
        <v>16.05</v>
      </c>
      <c r="I534" s="213"/>
      <c r="J534" s="149"/>
      <c r="K534" s="147">
        <v>12</v>
      </c>
      <c r="L534" s="147">
        <v>1</v>
      </c>
      <c r="M534" s="147">
        <v>13</v>
      </c>
      <c r="N534" s="275"/>
      <c r="O534" s="194"/>
      <c r="P534" s="179"/>
      <c r="Q534" s="173">
        <v>16</v>
      </c>
      <c r="R534" s="271">
        <v>0.05</v>
      </c>
      <c r="S534" s="167"/>
      <c r="T534" s="129" t="s">
        <v>55</v>
      </c>
      <c r="U534" s="147" t="s">
        <v>37</v>
      </c>
      <c r="V534" s="129"/>
      <c r="W534" s="162" t="s">
        <v>54</v>
      </c>
      <c r="X534" s="205"/>
      <c r="Y534" s="251"/>
      <c r="Z534" s="155"/>
      <c r="AA534" s="230"/>
    </row>
    <row r="535" spans="1:27" s="181" customFormat="1" ht="24" hidden="1" x14ac:dyDescent="0.25">
      <c r="A535" s="131">
        <v>1</v>
      </c>
      <c r="B535" s="136">
        <v>1203015</v>
      </c>
      <c r="C535" s="127" t="s">
        <v>657</v>
      </c>
      <c r="D535" s="128" t="s">
        <v>661</v>
      </c>
      <c r="E535" s="147" t="s">
        <v>38</v>
      </c>
      <c r="F535" s="138" t="s">
        <v>57</v>
      </c>
      <c r="G535" s="147" t="s">
        <v>34</v>
      </c>
      <c r="H535" s="189">
        <f t="shared" si="8"/>
        <v>16.05</v>
      </c>
      <c r="I535" s="213"/>
      <c r="J535" s="149"/>
      <c r="K535" s="147">
        <v>12</v>
      </c>
      <c r="L535" s="147">
        <v>1</v>
      </c>
      <c r="M535" s="147">
        <v>13</v>
      </c>
      <c r="N535" s="275"/>
      <c r="O535" s="194"/>
      <c r="P535" s="179"/>
      <c r="Q535" s="173">
        <v>16</v>
      </c>
      <c r="R535" s="271">
        <v>0.05</v>
      </c>
      <c r="S535" s="167"/>
      <c r="T535" s="129" t="s">
        <v>55</v>
      </c>
      <c r="U535" s="147" t="s">
        <v>37</v>
      </c>
      <c r="V535" s="129"/>
      <c r="W535" s="162" t="s">
        <v>54</v>
      </c>
      <c r="X535" s="205"/>
      <c r="Y535" s="251"/>
      <c r="Z535" s="155"/>
      <c r="AA535" s="230"/>
    </row>
    <row r="536" spans="1:27" s="181" customFormat="1" ht="24" hidden="1" x14ac:dyDescent="0.25">
      <c r="A536" s="131">
        <v>1</v>
      </c>
      <c r="B536" s="136">
        <v>1203016</v>
      </c>
      <c r="C536" s="127" t="s">
        <v>657</v>
      </c>
      <c r="D536" s="128" t="s">
        <v>662</v>
      </c>
      <c r="E536" s="147" t="s">
        <v>38</v>
      </c>
      <c r="F536" s="138" t="s">
        <v>57</v>
      </c>
      <c r="G536" s="147" t="s">
        <v>34</v>
      </c>
      <c r="H536" s="189">
        <f t="shared" si="8"/>
        <v>16.05</v>
      </c>
      <c r="I536" s="213"/>
      <c r="J536" s="149"/>
      <c r="K536" s="147">
        <v>12</v>
      </c>
      <c r="L536" s="147">
        <v>1</v>
      </c>
      <c r="M536" s="147">
        <v>13</v>
      </c>
      <c r="N536" s="275"/>
      <c r="O536" s="194"/>
      <c r="P536" s="179"/>
      <c r="Q536" s="173">
        <v>16</v>
      </c>
      <c r="R536" s="271">
        <v>0.05</v>
      </c>
      <c r="S536" s="167"/>
      <c r="T536" s="138" t="s">
        <v>57</v>
      </c>
      <c r="U536" s="147" t="s">
        <v>37</v>
      </c>
      <c r="V536" s="129"/>
      <c r="W536" s="162" t="s">
        <v>54</v>
      </c>
      <c r="X536" s="205"/>
      <c r="Y536" s="251"/>
      <c r="Z536" s="155"/>
      <c r="AA536" s="230"/>
    </row>
    <row r="537" spans="1:27" s="181" customFormat="1" ht="24" hidden="1" x14ac:dyDescent="0.25">
      <c r="A537" s="131">
        <v>1</v>
      </c>
      <c r="B537" s="136">
        <v>1203017</v>
      </c>
      <c r="C537" s="127" t="s">
        <v>657</v>
      </c>
      <c r="D537" s="128" t="s">
        <v>663</v>
      </c>
      <c r="E537" s="147" t="s">
        <v>38</v>
      </c>
      <c r="F537" s="138" t="s">
        <v>57</v>
      </c>
      <c r="G537" s="147" t="s">
        <v>1731</v>
      </c>
      <c r="H537" s="189">
        <f t="shared" si="8"/>
        <v>16.05</v>
      </c>
      <c r="I537" s="213"/>
      <c r="J537" s="149"/>
      <c r="K537" s="147">
        <v>12</v>
      </c>
      <c r="L537" s="147">
        <v>1</v>
      </c>
      <c r="M537" s="147">
        <v>13</v>
      </c>
      <c r="N537" s="275"/>
      <c r="O537" s="194"/>
      <c r="P537" s="179"/>
      <c r="Q537" s="173">
        <v>16</v>
      </c>
      <c r="R537" s="271">
        <v>0.05</v>
      </c>
      <c r="S537" s="167"/>
      <c r="T537" s="129" t="s">
        <v>55</v>
      </c>
      <c r="U537" s="147" t="s">
        <v>37</v>
      </c>
      <c r="V537" s="129"/>
      <c r="W537" s="162" t="s">
        <v>54</v>
      </c>
      <c r="X537" s="205"/>
      <c r="Y537" s="251"/>
      <c r="Z537" s="155"/>
      <c r="AA537" s="230"/>
    </row>
    <row r="538" spans="1:27" ht="24" hidden="1" x14ac:dyDescent="0.25">
      <c r="A538" s="131">
        <v>1</v>
      </c>
      <c r="B538" s="136">
        <v>1203018</v>
      </c>
      <c r="C538" s="127" t="s">
        <v>657</v>
      </c>
      <c r="D538" s="128" t="s">
        <v>664</v>
      </c>
      <c r="E538" s="147" t="s">
        <v>38</v>
      </c>
      <c r="F538" s="138" t="s">
        <v>57</v>
      </c>
      <c r="G538" s="147" t="s">
        <v>34</v>
      </c>
      <c r="H538" s="189">
        <f t="shared" si="8"/>
        <v>16.05</v>
      </c>
      <c r="I538" s="213"/>
      <c r="J538" s="149"/>
      <c r="K538" s="147">
        <v>12</v>
      </c>
      <c r="L538" s="147">
        <v>1</v>
      </c>
      <c r="M538" s="147">
        <v>13</v>
      </c>
      <c r="N538" s="275"/>
      <c r="O538" s="194"/>
      <c r="P538" s="179"/>
      <c r="Q538" s="173">
        <v>16</v>
      </c>
      <c r="R538" s="271">
        <v>0.05</v>
      </c>
      <c r="S538" s="167"/>
      <c r="T538" s="129" t="s">
        <v>55</v>
      </c>
      <c r="U538" s="147" t="s">
        <v>37</v>
      </c>
      <c r="V538" s="129"/>
      <c r="W538" s="162" t="s">
        <v>54</v>
      </c>
      <c r="X538" s="205"/>
      <c r="Y538" s="251"/>
      <c r="Z538" s="155"/>
      <c r="AA538" s="230"/>
    </row>
    <row r="539" spans="1:27" s="181" customFormat="1" ht="24" hidden="1" x14ac:dyDescent="0.25">
      <c r="A539" s="131">
        <v>1</v>
      </c>
      <c r="B539" s="136">
        <v>1203020</v>
      </c>
      <c r="C539" s="127" t="s">
        <v>657</v>
      </c>
      <c r="D539" s="128" t="s">
        <v>665</v>
      </c>
      <c r="E539" s="147" t="s">
        <v>38</v>
      </c>
      <c r="F539" s="138" t="s">
        <v>57</v>
      </c>
      <c r="G539" s="147" t="s">
        <v>34</v>
      </c>
      <c r="H539" s="189">
        <f t="shared" si="8"/>
        <v>16.05</v>
      </c>
      <c r="I539" s="213"/>
      <c r="J539" s="149"/>
      <c r="K539" s="147">
        <v>12</v>
      </c>
      <c r="L539" s="147">
        <v>1</v>
      </c>
      <c r="M539" s="147">
        <v>13</v>
      </c>
      <c r="N539" s="275"/>
      <c r="O539" s="194"/>
      <c r="P539" s="179"/>
      <c r="Q539" s="173">
        <v>16</v>
      </c>
      <c r="R539" s="271">
        <v>0.05</v>
      </c>
      <c r="S539" s="167"/>
      <c r="T539" s="129" t="s">
        <v>55</v>
      </c>
      <c r="U539" s="147" t="s">
        <v>37</v>
      </c>
      <c r="V539" s="129"/>
      <c r="W539" s="162" t="s">
        <v>54</v>
      </c>
      <c r="X539" s="205"/>
      <c r="Y539" s="251"/>
      <c r="Z539" s="155"/>
      <c r="AA539" s="230"/>
    </row>
    <row r="540" spans="1:27" s="181" customFormat="1" hidden="1" x14ac:dyDescent="0.25">
      <c r="A540" s="131">
        <v>1</v>
      </c>
      <c r="B540" s="136">
        <v>1203021</v>
      </c>
      <c r="C540" s="127" t="s">
        <v>657</v>
      </c>
      <c r="D540" s="128" t="s">
        <v>666</v>
      </c>
      <c r="E540" s="147" t="s">
        <v>38</v>
      </c>
      <c r="F540" s="138" t="s">
        <v>57</v>
      </c>
      <c r="G540" s="147" t="s">
        <v>34</v>
      </c>
      <c r="H540" s="189">
        <f t="shared" si="8"/>
        <v>16.05</v>
      </c>
      <c r="I540" s="213"/>
      <c r="J540" s="149"/>
      <c r="K540" s="147">
        <v>12</v>
      </c>
      <c r="L540" s="147">
        <v>1</v>
      </c>
      <c r="M540" s="147">
        <v>13</v>
      </c>
      <c r="N540" s="275"/>
      <c r="O540" s="194"/>
      <c r="P540" s="179"/>
      <c r="Q540" s="173">
        <v>16</v>
      </c>
      <c r="R540" s="271">
        <v>0.05</v>
      </c>
      <c r="S540" s="167"/>
      <c r="T540" s="138" t="s">
        <v>57</v>
      </c>
      <c r="U540" s="147" t="s">
        <v>37</v>
      </c>
      <c r="V540" s="129"/>
      <c r="W540" s="162" t="s">
        <v>54</v>
      </c>
      <c r="X540" s="205"/>
      <c r="Y540" s="251"/>
      <c r="Z540" s="155"/>
      <c r="AA540" s="230"/>
    </row>
    <row r="541" spans="1:27" s="181" customFormat="1" hidden="1" x14ac:dyDescent="0.25">
      <c r="A541" s="131">
        <v>1</v>
      </c>
      <c r="B541" s="136">
        <v>1203022</v>
      </c>
      <c r="C541" s="127" t="s">
        <v>657</v>
      </c>
      <c r="D541" s="128" t="s">
        <v>667</v>
      </c>
      <c r="E541" s="147" t="s">
        <v>38</v>
      </c>
      <c r="F541" s="138" t="s">
        <v>57</v>
      </c>
      <c r="G541" s="147" t="s">
        <v>1731</v>
      </c>
      <c r="H541" s="189">
        <f t="shared" si="8"/>
        <v>16.05</v>
      </c>
      <c r="I541" s="213"/>
      <c r="J541" s="149"/>
      <c r="K541" s="147">
        <v>12</v>
      </c>
      <c r="L541" s="147">
        <v>1</v>
      </c>
      <c r="M541" s="147">
        <v>13</v>
      </c>
      <c r="N541" s="275"/>
      <c r="O541" s="194"/>
      <c r="P541" s="179"/>
      <c r="Q541" s="173">
        <v>16</v>
      </c>
      <c r="R541" s="271">
        <v>0.05</v>
      </c>
      <c r="S541" s="167"/>
      <c r="T541" s="129" t="s">
        <v>55</v>
      </c>
      <c r="U541" s="147" t="s">
        <v>37</v>
      </c>
      <c r="V541" s="129"/>
      <c r="W541" s="162" t="s">
        <v>54</v>
      </c>
      <c r="X541" s="205"/>
      <c r="Y541" s="251"/>
      <c r="Z541" s="155"/>
      <c r="AA541" s="230"/>
    </row>
    <row r="542" spans="1:27" s="181" customFormat="1" hidden="1" x14ac:dyDescent="0.25">
      <c r="A542" s="131">
        <v>1</v>
      </c>
      <c r="B542" s="136">
        <v>1203023</v>
      </c>
      <c r="C542" s="127" t="s">
        <v>657</v>
      </c>
      <c r="D542" s="128" t="s">
        <v>668</v>
      </c>
      <c r="E542" s="147" t="s">
        <v>38</v>
      </c>
      <c r="F542" s="129" t="s">
        <v>55</v>
      </c>
      <c r="G542" s="147" t="s">
        <v>34</v>
      </c>
      <c r="H542" s="189">
        <f t="shared" si="8"/>
        <v>16.05</v>
      </c>
      <c r="I542" s="213"/>
      <c r="J542" s="148">
        <v>30</v>
      </c>
      <c r="K542" s="147"/>
      <c r="L542" s="147"/>
      <c r="M542" s="147">
        <v>1</v>
      </c>
      <c r="N542" s="275"/>
      <c r="O542" s="194"/>
      <c r="P542" s="179"/>
      <c r="Q542" s="173">
        <v>16</v>
      </c>
      <c r="R542" s="271">
        <v>0.05</v>
      </c>
      <c r="S542" s="167"/>
      <c r="T542" s="129" t="s">
        <v>55</v>
      </c>
      <c r="U542" s="147" t="s">
        <v>37</v>
      </c>
      <c r="V542" s="129"/>
      <c r="W542" s="176" t="s">
        <v>2519</v>
      </c>
      <c r="X542" s="205"/>
      <c r="Y542" s="251"/>
      <c r="Z542" s="155"/>
      <c r="AA542" s="230"/>
    </row>
    <row r="543" spans="1:27" s="181" customFormat="1" hidden="1" x14ac:dyDescent="0.25">
      <c r="A543" s="131">
        <v>1</v>
      </c>
      <c r="B543" s="136">
        <v>1203024</v>
      </c>
      <c r="C543" s="127" t="s">
        <v>657</v>
      </c>
      <c r="D543" s="128" t="s">
        <v>669</v>
      </c>
      <c r="E543" s="147" t="s">
        <v>38</v>
      </c>
      <c r="F543" s="138" t="s">
        <v>57</v>
      </c>
      <c r="G543" s="147" t="s">
        <v>34</v>
      </c>
      <c r="H543" s="189">
        <f t="shared" si="8"/>
        <v>16.05</v>
      </c>
      <c r="I543" s="213"/>
      <c r="J543" s="149"/>
      <c r="K543" s="147">
        <v>12</v>
      </c>
      <c r="L543" s="147">
        <v>1</v>
      </c>
      <c r="M543" s="147">
        <v>13</v>
      </c>
      <c r="N543" s="275"/>
      <c r="O543" s="194"/>
      <c r="P543" s="179"/>
      <c r="Q543" s="173">
        <v>16</v>
      </c>
      <c r="R543" s="271">
        <v>0.05</v>
      </c>
      <c r="S543" s="167"/>
      <c r="T543" s="138" t="s">
        <v>57</v>
      </c>
      <c r="U543" s="147" t="s">
        <v>37</v>
      </c>
      <c r="V543" s="129"/>
      <c r="W543" s="162" t="s">
        <v>54</v>
      </c>
      <c r="X543" s="205"/>
      <c r="Y543" s="251"/>
      <c r="Z543" s="155"/>
      <c r="AA543" s="230"/>
    </row>
    <row r="544" spans="1:27" s="181" customFormat="1" hidden="1" x14ac:dyDescent="0.25">
      <c r="A544" s="131">
        <v>1</v>
      </c>
      <c r="B544" s="136">
        <v>1203027</v>
      </c>
      <c r="C544" s="128" t="s">
        <v>589</v>
      </c>
      <c r="D544" s="128" t="s">
        <v>670</v>
      </c>
      <c r="E544" s="147" t="s">
        <v>38</v>
      </c>
      <c r="F544" s="138" t="s">
        <v>57</v>
      </c>
      <c r="G544" s="147" t="s">
        <v>34</v>
      </c>
      <c r="H544" s="189">
        <f t="shared" si="8"/>
        <v>0</v>
      </c>
      <c r="I544" s="213"/>
      <c r="J544" s="149"/>
      <c r="K544" s="147">
        <v>12</v>
      </c>
      <c r="L544" s="147">
        <v>1</v>
      </c>
      <c r="M544" s="147">
        <v>13</v>
      </c>
      <c r="N544" s="275"/>
      <c r="O544" s="194"/>
      <c r="P544" s="179"/>
      <c r="Q544" s="173"/>
      <c r="R544" s="260">
        <v>0</v>
      </c>
      <c r="S544" s="167"/>
      <c r="T544" s="138" t="s">
        <v>57</v>
      </c>
      <c r="U544" s="147" t="s">
        <v>37</v>
      </c>
      <c r="V544" s="129"/>
      <c r="W544" s="162" t="s">
        <v>54</v>
      </c>
      <c r="X544" s="205"/>
      <c r="Y544" s="251"/>
      <c r="Z544" s="155"/>
      <c r="AA544" s="230"/>
    </row>
    <row r="545" spans="1:27" s="181" customFormat="1" hidden="1" x14ac:dyDescent="0.25">
      <c r="A545" s="131">
        <v>1</v>
      </c>
      <c r="B545" s="136">
        <v>1203028</v>
      </c>
      <c r="C545" s="128" t="s">
        <v>589</v>
      </c>
      <c r="D545" s="128" t="s">
        <v>671</v>
      </c>
      <c r="E545" s="147" t="s">
        <v>38</v>
      </c>
      <c r="F545" s="138" t="s">
        <v>57</v>
      </c>
      <c r="G545" s="147" t="s">
        <v>34</v>
      </c>
      <c r="H545" s="189">
        <f t="shared" si="8"/>
        <v>0</v>
      </c>
      <c r="I545" s="213"/>
      <c r="J545" s="149"/>
      <c r="K545" s="147">
        <v>12</v>
      </c>
      <c r="L545" s="147">
        <v>1</v>
      </c>
      <c r="M545" s="147">
        <v>13</v>
      </c>
      <c r="N545" s="275"/>
      <c r="O545" s="194"/>
      <c r="P545" s="179"/>
      <c r="Q545" s="173"/>
      <c r="R545" s="260">
        <v>0</v>
      </c>
      <c r="S545" s="167"/>
      <c r="T545" s="138" t="s">
        <v>57</v>
      </c>
      <c r="U545" s="147" t="s">
        <v>37</v>
      </c>
      <c r="V545" s="136"/>
      <c r="W545" s="162" t="s">
        <v>54</v>
      </c>
      <c r="X545" s="205"/>
      <c r="Y545" s="251"/>
      <c r="Z545" s="155"/>
      <c r="AA545" s="230"/>
    </row>
    <row r="546" spans="1:27" s="181" customFormat="1" hidden="1" x14ac:dyDescent="0.25">
      <c r="A546" s="131">
        <v>1</v>
      </c>
      <c r="B546" s="136">
        <v>1203029</v>
      </c>
      <c r="C546" s="128" t="s">
        <v>589</v>
      </c>
      <c r="D546" s="128" t="s">
        <v>672</v>
      </c>
      <c r="E546" s="147" t="s">
        <v>38</v>
      </c>
      <c r="F546" s="138" t="s">
        <v>57</v>
      </c>
      <c r="G546" s="147" t="s">
        <v>34</v>
      </c>
      <c r="H546" s="189">
        <f t="shared" si="8"/>
        <v>0</v>
      </c>
      <c r="I546" s="213"/>
      <c r="J546" s="149"/>
      <c r="K546" s="147">
        <v>12</v>
      </c>
      <c r="L546" s="147">
        <v>1</v>
      </c>
      <c r="M546" s="147">
        <v>13</v>
      </c>
      <c r="N546" s="275"/>
      <c r="O546" s="194"/>
      <c r="P546" s="179"/>
      <c r="Q546" s="173"/>
      <c r="R546" s="260">
        <v>0</v>
      </c>
      <c r="S546" s="167"/>
      <c r="T546" s="138" t="s">
        <v>57</v>
      </c>
      <c r="U546" s="147" t="s">
        <v>37</v>
      </c>
      <c r="V546" s="129"/>
      <c r="W546" s="162" t="s">
        <v>54</v>
      </c>
      <c r="X546" s="205"/>
      <c r="Y546" s="251"/>
      <c r="Z546" s="155"/>
      <c r="AA546" s="230"/>
    </row>
    <row r="547" spans="1:27" s="181" customFormat="1" hidden="1" x14ac:dyDescent="0.25">
      <c r="A547" s="131">
        <v>1</v>
      </c>
      <c r="B547" s="136">
        <v>1203030</v>
      </c>
      <c r="C547" s="128" t="s">
        <v>589</v>
      </c>
      <c r="D547" s="128" t="s">
        <v>673</v>
      </c>
      <c r="E547" s="147" t="s">
        <v>38</v>
      </c>
      <c r="F547" s="129" t="s">
        <v>674</v>
      </c>
      <c r="G547" s="147" t="s">
        <v>675</v>
      </c>
      <c r="H547" s="189">
        <f t="shared" si="8"/>
        <v>0</v>
      </c>
      <c r="I547" s="134"/>
      <c r="J547" s="149"/>
      <c r="K547" s="147"/>
      <c r="L547" s="147"/>
      <c r="M547" s="147">
        <v>1</v>
      </c>
      <c r="N547" s="275">
        <v>5</v>
      </c>
      <c r="O547" s="194"/>
      <c r="P547" s="179"/>
      <c r="Q547" s="173"/>
      <c r="R547" s="260">
        <v>0</v>
      </c>
      <c r="S547" s="167"/>
      <c r="T547" s="129" t="s">
        <v>676</v>
      </c>
      <c r="U547" s="147" t="s">
        <v>37</v>
      </c>
      <c r="V547" s="129"/>
      <c r="W547" s="162" t="s">
        <v>54</v>
      </c>
      <c r="X547" s="205"/>
      <c r="Y547" s="251"/>
      <c r="Z547" s="155"/>
      <c r="AA547" s="230"/>
    </row>
    <row r="548" spans="1:27" s="181" customFormat="1" hidden="1" x14ac:dyDescent="0.25">
      <c r="A548" s="131">
        <v>1</v>
      </c>
      <c r="B548" s="136">
        <v>1203031</v>
      </c>
      <c r="C548" s="128" t="s">
        <v>589</v>
      </c>
      <c r="D548" s="128" t="s">
        <v>677</v>
      </c>
      <c r="E548" s="147" t="s">
        <v>38</v>
      </c>
      <c r="F548" s="129" t="s">
        <v>674</v>
      </c>
      <c r="G548" s="147" t="s">
        <v>678</v>
      </c>
      <c r="H548" s="189">
        <f t="shared" si="8"/>
        <v>0</v>
      </c>
      <c r="I548" s="213"/>
      <c r="J548" s="149"/>
      <c r="K548" s="147"/>
      <c r="L548" s="147"/>
      <c r="M548" s="147">
        <v>1</v>
      </c>
      <c r="N548" s="275">
        <v>5</v>
      </c>
      <c r="O548" s="194"/>
      <c r="P548" s="179"/>
      <c r="Q548" s="173"/>
      <c r="R548" s="260">
        <v>0</v>
      </c>
      <c r="S548" s="167"/>
      <c r="T548" s="129" t="s">
        <v>676</v>
      </c>
      <c r="U548" s="147" t="s">
        <v>37</v>
      </c>
      <c r="V548" s="129"/>
      <c r="W548" s="162" t="s">
        <v>54</v>
      </c>
      <c r="X548" s="205"/>
      <c r="Y548" s="251"/>
      <c r="Z548" s="155"/>
      <c r="AA548" s="230"/>
    </row>
    <row r="549" spans="1:27" s="181" customFormat="1" hidden="1" x14ac:dyDescent="0.25">
      <c r="A549" s="131">
        <v>1</v>
      </c>
      <c r="B549" s="136">
        <v>1203032</v>
      </c>
      <c r="C549" s="127" t="s">
        <v>567</v>
      </c>
      <c r="D549" s="128" t="s">
        <v>679</v>
      </c>
      <c r="E549" s="147" t="s">
        <v>38</v>
      </c>
      <c r="F549" s="138" t="s">
        <v>57</v>
      </c>
      <c r="G549" s="147" t="s">
        <v>34</v>
      </c>
      <c r="H549" s="189">
        <f t="shared" si="8"/>
        <v>0</v>
      </c>
      <c r="I549" s="213"/>
      <c r="J549" s="149"/>
      <c r="K549" s="147">
        <v>12</v>
      </c>
      <c r="L549" s="147">
        <v>1</v>
      </c>
      <c r="M549" s="147">
        <v>13</v>
      </c>
      <c r="N549" s="275"/>
      <c r="O549" s="194"/>
      <c r="P549" s="179"/>
      <c r="Q549" s="173"/>
      <c r="R549" s="260">
        <v>0</v>
      </c>
      <c r="S549" s="167"/>
      <c r="T549" s="129" t="s">
        <v>55</v>
      </c>
      <c r="U549" s="147" t="s">
        <v>37</v>
      </c>
      <c r="V549" s="129"/>
      <c r="W549" s="162" t="s">
        <v>54</v>
      </c>
      <c r="X549" s="205"/>
      <c r="Y549" s="251"/>
      <c r="Z549" s="155"/>
      <c r="AA549" s="230"/>
    </row>
    <row r="550" spans="1:27" s="181" customFormat="1" hidden="1" x14ac:dyDescent="0.25">
      <c r="A550" s="131">
        <v>1</v>
      </c>
      <c r="B550" s="136">
        <v>1203033</v>
      </c>
      <c r="C550" s="128" t="s">
        <v>589</v>
      </c>
      <c r="D550" s="128" t="s">
        <v>680</v>
      </c>
      <c r="E550" s="147" t="s">
        <v>38</v>
      </c>
      <c r="F550" s="129" t="s">
        <v>617</v>
      </c>
      <c r="G550" s="147" t="s">
        <v>618</v>
      </c>
      <c r="H550" s="189">
        <f t="shared" si="8"/>
        <v>49.376321353065542</v>
      </c>
      <c r="I550" s="134"/>
      <c r="J550" s="150"/>
      <c r="K550" s="147"/>
      <c r="L550" s="147"/>
      <c r="M550" s="147">
        <v>2</v>
      </c>
      <c r="N550" s="275">
        <v>0.94599999999999995</v>
      </c>
      <c r="O550" s="194"/>
      <c r="P550" s="179"/>
      <c r="Q550" s="173">
        <v>49.376321353065542</v>
      </c>
      <c r="R550" s="271">
        <v>0</v>
      </c>
      <c r="S550" s="167"/>
      <c r="T550" s="129" t="s">
        <v>468</v>
      </c>
      <c r="U550" s="147" t="s">
        <v>37</v>
      </c>
      <c r="V550" s="129"/>
      <c r="W550" s="147" t="s">
        <v>2209</v>
      </c>
      <c r="X550" s="205"/>
      <c r="Y550" s="251"/>
      <c r="Z550" s="155"/>
      <c r="AA550" s="230"/>
    </row>
    <row r="551" spans="1:27" s="181" customFormat="1" hidden="1" x14ac:dyDescent="0.25">
      <c r="A551" s="131">
        <v>1</v>
      </c>
      <c r="B551" s="136">
        <v>1204001</v>
      </c>
      <c r="C551" s="127" t="s">
        <v>567</v>
      </c>
      <c r="D551" s="128" t="s">
        <v>681</v>
      </c>
      <c r="E551" s="147" t="s">
        <v>38</v>
      </c>
      <c r="F551" s="138" t="s">
        <v>57</v>
      </c>
      <c r="G551" s="147" t="s">
        <v>34</v>
      </c>
      <c r="H551" s="189">
        <f t="shared" si="8"/>
        <v>0</v>
      </c>
      <c r="I551" s="213"/>
      <c r="J551" s="149"/>
      <c r="K551" s="147">
        <v>12</v>
      </c>
      <c r="L551" s="147">
        <v>1</v>
      </c>
      <c r="M551" s="147">
        <v>13</v>
      </c>
      <c r="N551" s="275"/>
      <c r="O551" s="194"/>
      <c r="P551" s="179"/>
      <c r="Q551" s="173"/>
      <c r="R551" s="260">
        <v>0</v>
      </c>
      <c r="S551" s="167"/>
      <c r="T551" s="129" t="s">
        <v>55</v>
      </c>
      <c r="U551" s="147" t="s">
        <v>37</v>
      </c>
      <c r="V551" s="129"/>
      <c r="W551" s="162" t="s">
        <v>54</v>
      </c>
      <c r="X551" s="205"/>
      <c r="Y551" s="251"/>
      <c r="Z551" s="155"/>
      <c r="AA551" s="230"/>
    </row>
    <row r="552" spans="1:27" s="181" customFormat="1" hidden="1" x14ac:dyDescent="0.25">
      <c r="A552" s="131">
        <v>1</v>
      </c>
      <c r="B552" s="136">
        <v>1204002</v>
      </c>
      <c r="C552" s="127" t="s">
        <v>567</v>
      </c>
      <c r="D552" s="128" t="s">
        <v>682</v>
      </c>
      <c r="E552" s="147" t="s">
        <v>38</v>
      </c>
      <c r="F552" s="138" t="s">
        <v>57</v>
      </c>
      <c r="G552" s="147" t="s">
        <v>34</v>
      </c>
      <c r="H552" s="189">
        <f t="shared" si="8"/>
        <v>0</v>
      </c>
      <c r="I552" s="213"/>
      <c r="J552" s="149"/>
      <c r="K552" s="147">
        <v>12</v>
      </c>
      <c r="L552" s="147">
        <v>1</v>
      </c>
      <c r="M552" s="147">
        <v>13</v>
      </c>
      <c r="N552" s="275"/>
      <c r="O552" s="194"/>
      <c r="P552" s="179"/>
      <c r="Q552" s="173"/>
      <c r="R552" s="260">
        <v>0</v>
      </c>
      <c r="S552" s="167"/>
      <c r="T552" s="138" t="s">
        <v>57</v>
      </c>
      <c r="U552" s="147" t="s">
        <v>37</v>
      </c>
      <c r="V552" s="129"/>
      <c r="W552" s="162" t="s">
        <v>54</v>
      </c>
      <c r="X552" s="205"/>
      <c r="Y552" s="251"/>
      <c r="Z552" s="155"/>
      <c r="AA552" s="230"/>
    </row>
    <row r="553" spans="1:27" s="181" customFormat="1" ht="24" x14ac:dyDescent="0.25">
      <c r="A553" s="131">
        <v>1</v>
      </c>
      <c r="B553" s="136">
        <v>1204003</v>
      </c>
      <c r="C553" s="127" t="s">
        <v>567</v>
      </c>
      <c r="D553" s="128" t="s">
        <v>683</v>
      </c>
      <c r="E553" s="147" t="s">
        <v>38</v>
      </c>
      <c r="F553" s="129" t="s">
        <v>684</v>
      </c>
      <c r="G553" s="147" t="s">
        <v>1968</v>
      </c>
      <c r="H553" s="189">
        <f t="shared" si="8"/>
        <v>550.04999999999995</v>
      </c>
      <c r="I553" s="210" t="s">
        <v>2082</v>
      </c>
      <c r="J553" s="146">
        <v>0</v>
      </c>
      <c r="K553" s="147">
        <v>9</v>
      </c>
      <c r="L553" s="147">
        <v>1</v>
      </c>
      <c r="M553" s="147">
        <v>10</v>
      </c>
      <c r="N553" s="275">
        <v>1</v>
      </c>
      <c r="O553" s="173">
        <v>533.52</v>
      </c>
      <c r="P553" s="179">
        <v>44348</v>
      </c>
      <c r="Q553" s="173">
        <v>550</v>
      </c>
      <c r="R553" s="271">
        <v>0.05</v>
      </c>
      <c r="S553" s="164"/>
      <c r="T553" s="129" t="s">
        <v>36</v>
      </c>
      <c r="U553" s="147" t="s">
        <v>37</v>
      </c>
      <c r="V553" s="129"/>
      <c r="W553" s="147" t="s">
        <v>2208</v>
      </c>
      <c r="X553" s="205" t="s">
        <v>1919</v>
      </c>
      <c r="Y553" s="251"/>
      <c r="Z553" s="290"/>
      <c r="AA553" s="286"/>
    </row>
    <row r="554" spans="1:27" s="181" customFormat="1" ht="24" x14ac:dyDescent="0.25">
      <c r="A554" s="131">
        <v>1</v>
      </c>
      <c r="B554" s="136">
        <v>1204004</v>
      </c>
      <c r="C554" s="127" t="s">
        <v>567</v>
      </c>
      <c r="D554" s="128" t="s">
        <v>688</v>
      </c>
      <c r="E554" s="147" t="s">
        <v>38</v>
      </c>
      <c r="F554" s="129" t="s">
        <v>684</v>
      </c>
      <c r="G554" s="147" t="s">
        <v>607</v>
      </c>
      <c r="H554" s="189">
        <f t="shared" si="8"/>
        <v>533.56999999999994</v>
      </c>
      <c r="I554" s="210" t="s">
        <v>2082</v>
      </c>
      <c r="J554" s="146">
        <v>0</v>
      </c>
      <c r="K554" s="147">
        <v>9</v>
      </c>
      <c r="L554" s="147">
        <v>1</v>
      </c>
      <c r="M554" s="147">
        <v>10</v>
      </c>
      <c r="N554" s="275">
        <v>1</v>
      </c>
      <c r="O554" s="193"/>
      <c r="P554" s="179">
        <v>44348</v>
      </c>
      <c r="Q554" s="173">
        <v>533.52</v>
      </c>
      <c r="R554" s="271">
        <v>0.05</v>
      </c>
      <c r="S554" s="164"/>
      <c r="T554" s="129" t="s">
        <v>36</v>
      </c>
      <c r="U554" s="147" t="s">
        <v>37</v>
      </c>
      <c r="V554" s="129"/>
      <c r="W554" s="147" t="s">
        <v>2208</v>
      </c>
      <c r="X554" s="205" t="s">
        <v>1919</v>
      </c>
      <c r="Y554" s="251"/>
      <c r="Z554" s="290"/>
      <c r="AA554" s="286"/>
    </row>
    <row r="555" spans="1:27" s="181" customFormat="1" hidden="1" x14ac:dyDescent="0.25">
      <c r="A555" s="131">
        <v>1</v>
      </c>
      <c r="B555" s="136">
        <v>1204005</v>
      </c>
      <c r="C555" s="128" t="s">
        <v>567</v>
      </c>
      <c r="D555" s="128" t="s">
        <v>689</v>
      </c>
      <c r="E555" s="147" t="s">
        <v>38</v>
      </c>
      <c r="F555" s="138" t="s">
        <v>57</v>
      </c>
      <c r="G555" s="147" t="s">
        <v>34</v>
      </c>
      <c r="H555" s="189">
        <f t="shared" si="8"/>
        <v>0</v>
      </c>
      <c r="I555" s="213"/>
      <c r="J555" s="149"/>
      <c r="K555" s="147">
        <v>12</v>
      </c>
      <c r="L555" s="147">
        <v>1</v>
      </c>
      <c r="M555" s="147">
        <v>13</v>
      </c>
      <c r="N555" s="275"/>
      <c r="O555" s="194"/>
      <c r="P555" s="179"/>
      <c r="Q555" s="173"/>
      <c r="R555" s="260">
        <v>0</v>
      </c>
      <c r="S555" s="167"/>
      <c r="T555" s="138" t="s">
        <v>57</v>
      </c>
      <c r="U555" s="147" t="s">
        <v>37</v>
      </c>
      <c r="V555" s="129"/>
      <c r="W555" s="162" t="s">
        <v>54</v>
      </c>
      <c r="X555" s="205"/>
      <c r="Y555" s="251"/>
      <c r="Z555" s="155"/>
      <c r="AA555" s="230"/>
    </row>
    <row r="556" spans="1:27" s="181" customFormat="1" hidden="1" x14ac:dyDescent="0.25">
      <c r="A556" s="131">
        <v>1</v>
      </c>
      <c r="B556" s="136">
        <v>1204006</v>
      </c>
      <c r="C556" s="128" t="s">
        <v>567</v>
      </c>
      <c r="D556" s="128" t="s">
        <v>690</v>
      </c>
      <c r="E556" s="147" t="s">
        <v>38</v>
      </c>
      <c r="F556" s="138" t="s">
        <v>57</v>
      </c>
      <c r="G556" s="147" t="s">
        <v>34</v>
      </c>
      <c r="H556" s="189">
        <f t="shared" si="8"/>
        <v>0</v>
      </c>
      <c r="I556" s="213"/>
      <c r="J556" s="149"/>
      <c r="K556" s="147">
        <v>12</v>
      </c>
      <c r="L556" s="147">
        <v>1</v>
      </c>
      <c r="M556" s="147">
        <v>13</v>
      </c>
      <c r="N556" s="275"/>
      <c r="O556" s="194"/>
      <c r="P556" s="179"/>
      <c r="Q556" s="173"/>
      <c r="R556" s="260">
        <v>0</v>
      </c>
      <c r="S556" s="167"/>
      <c r="T556" s="138" t="s">
        <v>57</v>
      </c>
      <c r="U556" s="147" t="s">
        <v>37</v>
      </c>
      <c r="V556" s="129"/>
      <c r="W556" s="162" t="s">
        <v>54</v>
      </c>
      <c r="X556" s="205"/>
      <c r="Y556" s="251"/>
      <c r="Z556" s="155"/>
      <c r="AA556" s="230"/>
    </row>
    <row r="557" spans="1:27" s="181" customFormat="1" hidden="1" x14ac:dyDescent="0.25">
      <c r="A557" s="131">
        <v>1</v>
      </c>
      <c r="B557" s="136">
        <v>1204007</v>
      </c>
      <c r="C557" s="128" t="s">
        <v>567</v>
      </c>
      <c r="D557" s="128" t="s">
        <v>691</v>
      </c>
      <c r="E557" s="147" t="s">
        <v>38</v>
      </c>
      <c r="F557" s="138" t="s">
        <v>57</v>
      </c>
      <c r="G557" s="147" t="s">
        <v>34</v>
      </c>
      <c r="H557" s="189">
        <f t="shared" si="8"/>
        <v>0</v>
      </c>
      <c r="I557" s="213"/>
      <c r="J557" s="149"/>
      <c r="K557" s="147">
        <v>12</v>
      </c>
      <c r="L557" s="147">
        <v>1</v>
      </c>
      <c r="M557" s="147">
        <v>13</v>
      </c>
      <c r="N557" s="275"/>
      <c r="O557" s="194"/>
      <c r="P557" s="179"/>
      <c r="Q557" s="173"/>
      <c r="R557" s="260">
        <v>0</v>
      </c>
      <c r="S557" s="167"/>
      <c r="T557" s="129" t="s">
        <v>2204</v>
      </c>
      <c r="U557" s="147" t="s">
        <v>37</v>
      </c>
      <c r="V557" s="129"/>
      <c r="W557" s="162" t="s">
        <v>54</v>
      </c>
      <c r="X557" s="205"/>
      <c r="Y557" s="251"/>
      <c r="Z557" s="155"/>
      <c r="AA557" s="230"/>
    </row>
    <row r="558" spans="1:27" s="181" customFormat="1" hidden="1" x14ac:dyDescent="0.25">
      <c r="A558" s="131">
        <v>1</v>
      </c>
      <c r="B558" s="136">
        <v>1204008</v>
      </c>
      <c r="C558" s="128" t="s">
        <v>567</v>
      </c>
      <c r="D558" s="128" t="s">
        <v>693</v>
      </c>
      <c r="E558" s="147" t="s">
        <v>38</v>
      </c>
      <c r="F558" s="138" t="s">
        <v>57</v>
      </c>
      <c r="G558" s="147" t="s">
        <v>34</v>
      </c>
      <c r="H558" s="189">
        <f t="shared" si="8"/>
        <v>0</v>
      </c>
      <c r="I558" s="213"/>
      <c r="J558" s="149"/>
      <c r="K558" s="147">
        <v>12</v>
      </c>
      <c r="L558" s="147">
        <v>1</v>
      </c>
      <c r="M558" s="147">
        <v>13</v>
      </c>
      <c r="N558" s="275"/>
      <c r="O558" s="194"/>
      <c r="P558" s="179"/>
      <c r="Q558" s="173"/>
      <c r="R558" s="260">
        <v>0</v>
      </c>
      <c r="S558" s="167"/>
      <c r="T558" s="129" t="s">
        <v>55</v>
      </c>
      <c r="U558" s="147" t="s">
        <v>37</v>
      </c>
      <c r="V558" s="129"/>
      <c r="W558" s="162" t="s">
        <v>54</v>
      </c>
      <c r="X558" s="205"/>
      <c r="Y558" s="251"/>
      <c r="Z558" s="155"/>
      <c r="AA558" s="230"/>
    </row>
    <row r="559" spans="1:27" s="181" customFormat="1" x14ac:dyDescent="0.25">
      <c r="A559" s="131">
        <v>1</v>
      </c>
      <c r="B559" s="136">
        <v>1204009</v>
      </c>
      <c r="C559" s="128" t="s">
        <v>567</v>
      </c>
      <c r="D559" s="128" t="s">
        <v>694</v>
      </c>
      <c r="E559" s="147" t="s">
        <v>38</v>
      </c>
      <c r="F559" s="129" t="s">
        <v>684</v>
      </c>
      <c r="G559" s="147" t="s">
        <v>607</v>
      </c>
      <c r="H559" s="189">
        <f t="shared" si="8"/>
        <v>1302.05</v>
      </c>
      <c r="I559" s="210" t="s">
        <v>2082</v>
      </c>
      <c r="J559" s="146">
        <v>0</v>
      </c>
      <c r="K559" s="147">
        <v>9</v>
      </c>
      <c r="L559" s="147">
        <v>1</v>
      </c>
      <c r="M559" s="147">
        <v>10</v>
      </c>
      <c r="N559" s="275">
        <v>1</v>
      </c>
      <c r="O559" s="173">
        <v>1263.5999999999999</v>
      </c>
      <c r="P559" s="179">
        <v>45089</v>
      </c>
      <c r="Q559" s="173">
        <v>1302</v>
      </c>
      <c r="R559" s="271">
        <v>0.05</v>
      </c>
      <c r="S559" s="164"/>
      <c r="T559" s="129" t="s">
        <v>36</v>
      </c>
      <c r="U559" s="147" t="s">
        <v>37</v>
      </c>
      <c r="V559" s="129"/>
      <c r="W559" s="147" t="s">
        <v>2208</v>
      </c>
      <c r="X559" s="205" t="s">
        <v>1919</v>
      </c>
      <c r="Y559" s="251"/>
      <c r="Z559" s="290"/>
      <c r="AA559" s="286"/>
    </row>
    <row r="560" spans="1:27" s="181" customFormat="1" hidden="1" x14ac:dyDescent="0.25">
      <c r="A560" s="131">
        <v>1</v>
      </c>
      <c r="B560" s="136">
        <v>1204010</v>
      </c>
      <c r="C560" s="128" t="s">
        <v>567</v>
      </c>
      <c r="D560" s="128" t="s">
        <v>695</v>
      </c>
      <c r="E560" s="147" t="s">
        <v>38</v>
      </c>
      <c r="F560" s="138" t="s">
        <v>57</v>
      </c>
      <c r="G560" s="147" t="s">
        <v>34</v>
      </c>
      <c r="H560" s="189">
        <f t="shared" si="8"/>
        <v>0</v>
      </c>
      <c r="I560" s="213"/>
      <c r="J560" s="149"/>
      <c r="K560" s="147">
        <v>12</v>
      </c>
      <c r="L560" s="147">
        <v>1</v>
      </c>
      <c r="M560" s="147">
        <v>13</v>
      </c>
      <c r="N560" s="275"/>
      <c r="O560" s="194"/>
      <c r="P560" s="179"/>
      <c r="Q560" s="173"/>
      <c r="R560" s="260">
        <v>0</v>
      </c>
      <c r="S560" s="167"/>
      <c r="T560" s="138" t="s">
        <v>57</v>
      </c>
      <c r="U560" s="147" t="s">
        <v>37</v>
      </c>
      <c r="V560" s="129"/>
      <c r="W560" s="162" t="s">
        <v>54</v>
      </c>
      <c r="X560" s="205"/>
      <c r="Y560" s="251"/>
      <c r="Z560" s="155"/>
      <c r="AA560" s="230"/>
    </row>
    <row r="561" spans="1:27" s="181" customFormat="1" hidden="1" x14ac:dyDescent="0.25">
      <c r="A561" s="131">
        <v>1</v>
      </c>
      <c r="B561" s="136">
        <v>1204011</v>
      </c>
      <c r="C561" s="128" t="s">
        <v>567</v>
      </c>
      <c r="D561" s="128" t="s">
        <v>696</v>
      </c>
      <c r="E561" s="147" t="s">
        <v>38</v>
      </c>
      <c r="F561" s="138" t="s">
        <v>57</v>
      </c>
      <c r="G561" s="147" t="s">
        <v>34</v>
      </c>
      <c r="H561" s="189">
        <f t="shared" si="8"/>
        <v>0</v>
      </c>
      <c r="I561" s="213"/>
      <c r="J561" s="149"/>
      <c r="K561" s="147">
        <v>12</v>
      </c>
      <c r="L561" s="147">
        <v>1</v>
      </c>
      <c r="M561" s="147">
        <v>13</v>
      </c>
      <c r="N561" s="275"/>
      <c r="O561" s="194"/>
      <c r="P561" s="179"/>
      <c r="Q561" s="173"/>
      <c r="R561" s="260">
        <v>0</v>
      </c>
      <c r="S561" s="167"/>
      <c r="T561" s="129" t="s">
        <v>55</v>
      </c>
      <c r="U561" s="147" t="s">
        <v>37</v>
      </c>
      <c r="V561" s="129"/>
      <c r="W561" s="162" t="s">
        <v>54</v>
      </c>
      <c r="X561" s="205"/>
      <c r="Y561" s="251"/>
      <c r="Z561" s="155"/>
      <c r="AA561" s="230"/>
    </row>
    <row r="562" spans="1:27" s="181" customFormat="1" hidden="1" x14ac:dyDescent="0.25">
      <c r="A562" s="131">
        <v>1</v>
      </c>
      <c r="B562" s="136">
        <v>1204012</v>
      </c>
      <c r="C562" s="128" t="s">
        <v>567</v>
      </c>
      <c r="D562" s="128" t="s">
        <v>697</v>
      </c>
      <c r="E562" s="147" t="s">
        <v>38</v>
      </c>
      <c r="F562" s="138" t="s">
        <v>57</v>
      </c>
      <c r="G562" s="147" t="s">
        <v>34</v>
      </c>
      <c r="H562" s="189">
        <f t="shared" si="8"/>
        <v>0</v>
      </c>
      <c r="I562" s="213"/>
      <c r="J562" s="149"/>
      <c r="K562" s="147">
        <v>12</v>
      </c>
      <c r="L562" s="147">
        <v>1</v>
      </c>
      <c r="M562" s="147">
        <v>13</v>
      </c>
      <c r="N562" s="275"/>
      <c r="O562" s="194"/>
      <c r="P562" s="179"/>
      <c r="Q562" s="173"/>
      <c r="R562" s="260">
        <v>0</v>
      </c>
      <c r="S562" s="167"/>
      <c r="T562" s="129" t="s">
        <v>2204</v>
      </c>
      <c r="U562" s="147" t="s">
        <v>37</v>
      </c>
      <c r="V562" s="129"/>
      <c r="W562" s="162" t="s">
        <v>54</v>
      </c>
      <c r="X562" s="205"/>
      <c r="Y562" s="251"/>
      <c r="Z562" s="155"/>
      <c r="AA562" s="230"/>
    </row>
    <row r="563" spans="1:27" s="181" customFormat="1" hidden="1" x14ac:dyDescent="0.25">
      <c r="A563" s="131">
        <v>1</v>
      </c>
      <c r="B563" s="136">
        <v>1204014</v>
      </c>
      <c r="C563" s="128" t="s">
        <v>567</v>
      </c>
      <c r="D563" s="128" t="s">
        <v>698</v>
      </c>
      <c r="E563" s="147" t="s">
        <v>38</v>
      </c>
      <c r="F563" s="138" t="s">
        <v>57</v>
      </c>
      <c r="G563" s="147" t="s">
        <v>34</v>
      </c>
      <c r="H563" s="189">
        <f t="shared" si="8"/>
        <v>0</v>
      </c>
      <c r="I563" s="213"/>
      <c r="J563" s="149"/>
      <c r="K563" s="147">
        <v>12</v>
      </c>
      <c r="L563" s="147">
        <v>1</v>
      </c>
      <c r="M563" s="147">
        <v>13</v>
      </c>
      <c r="N563" s="275"/>
      <c r="O563" s="194"/>
      <c r="P563" s="179"/>
      <c r="Q563" s="173"/>
      <c r="R563" s="260">
        <v>0</v>
      </c>
      <c r="S563" s="167"/>
      <c r="T563" s="129" t="s">
        <v>55</v>
      </c>
      <c r="U563" s="147" t="s">
        <v>37</v>
      </c>
      <c r="V563" s="129"/>
      <c r="W563" s="162" t="s">
        <v>54</v>
      </c>
      <c r="X563" s="205"/>
      <c r="Y563" s="251"/>
      <c r="Z563" s="155"/>
      <c r="AA563" s="230"/>
    </row>
    <row r="564" spans="1:27" s="181" customFormat="1" hidden="1" x14ac:dyDescent="0.25">
      <c r="A564" s="131">
        <v>1</v>
      </c>
      <c r="B564" s="136">
        <v>1204015</v>
      </c>
      <c r="C564" s="128" t="s">
        <v>567</v>
      </c>
      <c r="D564" s="128" t="s">
        <v>699</v>
      </c>
      <c r="E564" s="147" t="s">
        <v>38</v>
      </c>
      <c r="F564" s="138" t="s">
        <v>57</v>
      </c>
      <c r="G564" s="147" t="s">
        <v>34</v>
      </c>
      <c r="H564" s="189">
        <f t="shared" si="8"/>
        <v>0</v>
      </c>
      <c r="I564" s="213"/>
      <c r="J564" s="149"/>
      <c r="K564" s="147">
        <v>12</v>
      </c>
      <c r="L564" s="147">
        <v>1</v>
      </c>
      <c r="M564" s="147">
        <v>13</v>
      </c>
      <c r="N564" s="275"/>
      <c r="O564" s="194"/>
      <c r="P564" s="179"/>
      <c r="Q564" s="173"/>
      <c r="R564" s="260">
        <v>0</v>
      </c>
      <c r="S564" s="167"/>
      <c r="T564" s="129" t="s">
        <v>55</v>
      </c>
      <c r="U564" s="147" t="s">
        <v>37</v>
      </c>
      <c r="V564" s="129"/>
      <c r="W564" s="162" t="s">
        <v>54</v>
      </c>
      <c r="X564" s="205"/>
      <c r="Y564" s="251"/>
      <c r="Z564" s="155"/>
      <c r="AA564" s="230"/>
    </row>
    <row r="565" spans="1:27" s="181" customFormat="1" hidden="1" x14ac:dyDescent="0.25">
      <c r="A565" s="131">
        <v>1</v>
      </c>
      <c r="B565" s="136">
        <v>1204016</v>
      </c>
      <c r="C565" s="128" t="s">
        <v>567</v>
      </c>
      <c r="D565" s="128" t="s">
        <v>700</v>
      </c>
      <c r="E565" s="147" t="s">
        <v>38</v>
      </c>
      <c r="F565" s="138" t="s">
        <v>57</v>
      </c>
      <c r="G565" s="147" t="s">
        <v>34</v>
      </c>
      <c r="H565" s="189">
        <f t="shared" si="8"/>
        <v>0</v>
      </c>
      <c r="I565" s="213"/>
      <c r="J565" s="149"/>
      <c r="K565" s="147">
        <v>12</v>
      </c>
      <c r="L565" s="147">
        <v>1</v>
      </c>
      <c r="M565" s="147">
        <v>13</v>
      </c>
      <c r="N565" s="275"/>
      <c r="O565" s="194"/>
      <c r="P565" s="179"/>
      <c r="Q565" s="173"/>
      <c r="R565" s="260">
        <v>0</v>
      </c>
      <c r="S565" s="167"/>
      <c r="T565" s="129" t="s">
        <v>55</v>
      </c>
      <c r="U565" s="147" t="s">
        <v>37</v>
      </c>
      <c r="V565" s="129"/>
      <c r="W565" s="162" t="s">
        <v>54</v>
      </c>
      <c r="X565" s="205"/>
      <c r="Y565" s="251"/>
      <c r="Z565" s="155"/>
      <c r="AA565" s="230"/>
    </row>
    <row r="566" spans="1:27" s="181" customFormat="1" ht="24" hidden="1" x14ac:dyDescent="0.25">
      <c r="A566" s="131">
        <v>1</v>
      </c>
      <c r="B566" s="136">
        <v>1204017</v>
      </c>
      <c r="C566" s="128" t="s">
        <v>567</v>
      </c>
      <c r="D566" s="128" t="s">
        <v>701</v>
      </c>
      <c r="E566" s="147" t="s">
        <v>38</v>
      </c>
      <c r="F566" s="129" t="s">
        <v>684</v>
      </c>
      <c r="G566" s="147" t="s">
        <v>34</v>
      </c>
      <c r="H566" s="189">
        <f t="shared" si="8"/>
        <v>247.25</v>
      </c>
      <c r="I566" s="134" t="s">
        <v>2082</v>
      </c>
      <c r="J566" s="146">
        <v>0</v>
      </c>
      <c r="K566" s="147">
        <v>9</v>
      </c>
      <c r="L566" s="147">
        <v>1</v>
      </c>
      <c r="M566" s="147">
        <v>10</v>
      </c>
      <c r="N566" s="275">
        <v>1</v>
      </c>
      <c r="O566" s="194"/>
      <c r="P566" s="179"/>
      <c r="Q566" s="173">
        <v>242</v>
      </c>
      <c r="R566" s="271">
        <v>5.25</v>
      </c>
      <c r="S566" s="167"/>
      <c r="T566" s="129" t="s">
        <v>44</v>
      </c>
      <c r="U566" s="147" t="s">
        <v>37</v>
      </c>
      <c r="V566" s="129"/>
      <c r="W566" s="176" t="s">
        <v>54</v>
      </c>
      <c r="X566" s="205"/>
      <c r="Y566" s="251"/>
      <c r="Z566" s="290"/>
      <c r="AA566" s="286"/>
    </row>
    <row r="567" spans="1:27" s="181" customFormat="1" hidden="1" x14ac:dyDescent="0.25">
      <c r="A567" s="131">
        <v>1</v>
      </c>
      <c r="B567" s="136">
        <v>1205001</v>
      </c>
      <c r="C567" s="128" t="s">
        <v>567</v>
      </c>
      <c r="D567" s="128" t="s">
        <v>702</v>
      </c>
      <c r="E567" s="147" t="s">
        <v>38</v>
      </c>
      <c r="F567" s="138" t="s">
        <v>57</v>
      </c>
      <c r="G567" s="147" t="s">
        <v>34</v>
      </c>
      <c r="H567" s="189">
        <f t="shared" si="8"/>
        <v>0</v>
      </c>
      <c r="I567" s="213"/>
      <c r="J567" s="149"/>
      <c r="K567" s="147">
        <v>12</v>
      </c>
      <c r="L567" s="147">
        <v>1</v>
      </c>
      <c r="M567" s="147">
        <v>13</v>
      </c>
      <c r="N567" s="275"/>
      <c r="O567" s="194"/>
      <c r="P567" s="179"/>
      <c r="Q567" s="173"/>
      <c r="R567" s="260">
        <v>0</v>
      </c>
      <c r="S567" s="167"/>
      <c r="T567" s="138" t="s">
        <v>57</v>
      </c>
      <c r="U567" s="147" t="s">
        <v>37</v>
      </c>
      <c r="V567" s="129"/>
      <c r="W567" s="162" t="s">
        <v>54</v>
      </c>
      <c r="X567" s="205"/>
      <c r="Y567" s="251"/>
      <c r="Z567" s="155"/>
      <c r="AA567" s="230"/>
    </row>
    <row r="568" spans="1:27" s="181" customFormat="1" hidden="1" x14ac:dyDescent="0.25">
      <c r="A568" s="131">
        <v>1</v>
      </c>
      <c r="B568" s="136">
        <v>1205002</v>
      </c>
      <c r="C568" s="128" t="s">
        <v>567</v>
      </c>
      <c r="D568" s="128" t="s">
        <v>703</v>
      </c>
      <c r="E568" s="147" t="s">
        <v>38</v>
      </c>
      <c r="F568" s="138" t="s">
        <v>57</v>
      </c>
      <c r="G568" s="147" t="s">
        <v>34</v>
      </c>
      <c r="H568" s="189">
        <f t="shared" si="8"/>
        <v>0</v>
      </c>
      <c r="I568" s="213"/>
      <c r="J568" s="149"/>
      <c r="K568" s="147">
        <v>12</v>
      </c>
      <c r="L568" s="147">
        <v>1</v>
      </c>
      <c r="M568" s="147">
        <v>13</v>
      </c>
      <c r="N568" s="275"/>
      <c r="O568" s="194"/>
      <c r="P568" s="179"/>
      <c r="Q568" s="173"/>
      <c r="R568" s="260">
        <v>0</v>
      </c>
      <c r="S568" s="167"/>
      <c r="T568" s="138" t="s">
        <v>57</v>
      </c>
      <c r="U568" s="147" t="s">
        <v>37</v>
      </c>
      <c r="V568" s="129"/>
      <c r="W568" s="162" t="s">
        <v>54</v>
      </c>
      <c r="X568" s="205"/>
      <c r="Y568" s="251"/>
      <c r="Z568" s="155"/>
      <c r="AA568" s="230"/>
    </row>
    <row r="569" spans="1:27" s="181" customFormat="1" hidden="1" x14ac:dyDescent="0.25">
      <c r="A569" s="131">
        <v>1</v>
      </c>
      <c r="B569" s="136">
        <v>1205003</v>
      </c>
      <c r="C569" s="128" t="s">
        <v>567</v>
      </c>
      <c r="D569" s="128" t="s">
        <v>704</v>
      </c>
      <c r="E569" s="147" t="s">
        <v>38</v>
      </c>
      <c r="F569" s="138" t="s">
        <v>57</v>
      </c>
      <c r="G569" s="147" t="s">
        <v>34</v>
      </c>
      <c r="H569" s="189">
        <f t="shared" si="8"/>
        <v>0</v>
      </c>
      <c r="I569" s="213"/>
      <c r="J569" s="149"/>
      <c r="K569" s="147">
        <v>12</v>
      </c>
      <c r="L569" s="147">
        <v>1</v>
      </c>
      <c r="M569" s="147">
        <v>13</v>
      </c>
      <c r="N569" s="275"/>
      <c r="O569" s="194"/>
      <c r="P569" s="179"/>
      <c r="Q569" s="173"/>
      <c r="R569" s="260">
        <v>0</v>
      </c>
      <c r="S569" s="167"/>
      <c r="T569" s="129" t="s">
        <v>55</v>
      </c>
      <c r="U569" s="147" t="s">
        <v>37</v>
      </c>
      <c r="V569" s="129"/>
      <c r="W569" s="162" t="s">
        <v>54</v>
      </c>
      <c r="X569" s="205"/>
      <c r="Y569" s="251"/>
      <c r="Z569" s="155"/>
      <c r="AA569" s="230"/>
    </row>
    <row r="570" spans="1:27" s="181" customFormat="1" hidden="1" x14ac:dyDescent="0.25">
      <c r="A570" s="131">
        <v>1</v>
      </c>
      <c r="B570" s="136">
        <v>1205004</v>
      </c>
      <c r="C570" s="128" t="s">
        <v>567</v>
      </c>
      <c r="D570" s="128" t="s">
        <v>705</v>
      </c>
      <c r="E570" s="147" t="s">
        <v>38</v>
      </c>
      <c r="F570" s="138" t="s">
        <v>57</v>
      </c>
      <c r="G570" s="147" t="s">
        <v>34</v>
      </c>
      <c r="H570" s="189">
        <f t="shared" si="8"/>
        <v>0</v>
      </c>
      <c r="I570" s="213"/>
      <c r="J570" s="149"/>
      <c r="K570" s="147">
        <v>12</v>
      </c>
      <c r="L570" s="147">
        <v>1</v>
      </c>
      <c r="M570" s="147">
        <v>13</v>
      </c>
      <c r="N570" s="275"/>
      <c r="O570" s="194"/>
      <c r="P570" s="179"/>
      <c r="Q570" s="173"/>
      <c r="R570" s="260">
        <v>0</v>
      </c>
      <c r="S570" s="167"/>
      <c r="T570" s="138" t="s">
        <v>57</v>
      </c>
      <c r="U570" s="147" t="s">
        <v>37</v>
      </c>
      <c r="V570" s="129"/>
      <c r="W570" s="162" t="s">
        <v>54</v>
      </c>
      <c r="X570" s="205"/>
      <c r="Y570" s="251"/>
      <c r="Z570" s="155"/>
      <c r="AA570" s="230"/>
    </row>
    <row r="571" spans="1:27" s="181" customFormat="1" hidden="1" x14ac:dyDescent="0.25">
      <c r="A571" s="131">
        <v>1</v>
      </c>
      <c r="B571" s="136">
        <v>1205005</v>
      </c>
      <c r="C571" s="128" t="s">
        <v>567</v>
      </c>
      <c r="D571" s="128" t="s">
        <v>706</v>
      </c>
      <c r="E571" s="147" t="s">
        <v>38</v>
      </c>
      <c r="F571" s="138" t="s">
        <v>57</v>
      </c>
      <c r="G571" s="147" t="s">
        <v>34</v>
      </c>
      <c r="H571" s="189">
        <f t="shared" si="8"/>
        <v>0</v>
      </c>
      <c r="I571" s="213"/>
      <c r="J571" s="149"/>
      <c r="K571" s="147">
        <v>12</v>
      </c>
      <c r="L571" s="147">
        <v>1</v>
      </c>
      <c r="M571" s="147">
        <v>13</v>
      </c>
      <c r="N571" s="275"/>
      <c r="O571" s="194"/>
      <c r="P571" s="179"/>
      <c r="Q571" s="173"/>
      <c r="R571" s="260">
        <v>0</v>
      </c>
      <c r="S571" s="167"/>
      <c r="T571" s="138" t="s">
        <v>57</v>
      </c>
      <c r="U571" s="147" t="s">
        <v>37</v>
      </c>
      <c r="V571" s="129"/>
      <c r="W571" s="162" t="s">
        <v>54</v>
      </c>
      <c r="X571" s="205"/>
      <c r="Y571" s="251"/>
      <c r="Z571" s="155"/>
      <c r="AA571" s="230"/>
    </row>
    <row r="572" spans="1:27" s="181" customFormat="1" hidden="1" x14ac:dyDescent="0.25">
      <c r="A572" s="131">
        <v>1</v>
      </c>
      <c r="B572" s="136">
        <v>1205006</v>
      </c>
      <c r="C572" s="128" t="s">
        <v>567</v>
      </c>
      <c r="D572" s="128" t="s">
        <v>707</v>
      </c>
      <c r="E572" s="147" t="s">
        <v>38</v>
      </c>
      <c r="F572" s="138" t="s">
        <v>57</v>
      </c>
      <c r="G572" s="147" t="s">
        <v>34</v>
      </c>
      <c r="H572" s="189">
        <f t="shared" si="8"/>
        <v>0</v>
      </c>
      <c r="I572" s="213"/>
      <c r="J572" s="149"/>
      <c r="K572" s="147">
        <v>12</v>
      </c>
      <c r="L572" s="147">
        <v>1</v>
      </c>
      <c r="M572" s="147">
        <v>13</v>
      </c>
      <c r="N572" s="275"/>
      <c r="O572" s="194"/>
      <c r="P572" s="179"/>
      <c r="Q572" s="173"/>
      <c r="R572" s="260">
        <v>0</v>
      </c>
      <c r="S572" s="167"/>
      <c r="T572" s="138" t="s">
        <v>57</v>
      </c>
      <c r="U572" s="147" t="s">
        <v>37</v>
      </c>
      <c r="V572" s="129"/>
      <c r="W572" s="162" t="s">
        <v>54</v>
      </c>
      <c r="X572" s="205"/>
      <c r="Y572" s="251"/>
      <c r="Z572" s="155"/>
      <c r="AA572" s="230"/>
    </row>
    <row r="573" spans="1:27" hidden="1" x14ac:dyDescent="0.25">
      <c r="A573" s="131">
        <v>1</v>
      </c>
      <c r="B573" s="136">
        <v>1205007</v>
      </c>
      <c r="C573" s="128" t="s">
        <v>567</v>
      </c>
      <c r="D573" s="128" t="s">
        <v>708</v>
      </c>
      <c r="E573" s="147" t="s">
        <v>38</v>
      </c>
      <c r="F573" s="138" t="s">
        <v>57</v>
      </c>
      <c r="G573" s="147" t="s">
        <v>34</v>
      </c>
      <c r="H573" s="189">
        <f t="shared" si="8"/>
        <v>0</v>
      </c>
      <c r="I573" s="213"/>
      <c r="J573" s="149"/>
      <c r="K573" s="147">
        <v>12</v>
      </c>
      <c r="L573" s="147">
        <v>1</v>
      </c>
      <c r="M573" s="147">
        <v>13</v>
      </c>
      <c r="N573" s="275"/>
      <c r="O573" s="194"/>
      <c r="P573" s="179"/>
      <c r="Q573" s="173"/>
      <c r="R573" s="260">
        <v>0</v>
      </c>
      <c r="S573" s="167"/>
      <c r="T573" s="138" t="s">
        <v>57</v>
      </c>
      <c r="U573" s="147" t="s">
        <v>37</v>
      </c>
      <c r="V573" s="129"/>
      <c r="W573" s="162" t="s">
        <v>54</v>
      </c>
      <c r="X573" s="205"/>
      <c r="Y573" s="251"/>
      <c r="Z573" s="155"/>
      <c r="AA573" s="230"/>
    </row>
    <row r="574" spans="1:27" hidden="1" x14ac:dyDescent="0.25">
      <c r="A574" s="131">
        <v>1</v>
      </c>
      <c r="B574" s="136">
        <v>1205008</v>
      </c>
      <c r="C574" s="128" t="s">
        <v>567</v>
      </c>
      <c r="D574" s="128" t="s">
        <v>709</v>
      </c>
      <c r="E574" s="147" t="s">
        <v>38</v>
      </c>
      <c r="F574" s="138" t="s">
        <v>57</v>
      </c>
      <c r="G574" s="147" t="s">
        <v>34</v>
      </c>
      <c r="H574" s="189">
        <f t="shared" si="8"/>
        <v>0</v>
      </c>
      <c r="I574" s="213"/>
      <c r="J574" s="149"/>
      <c r="K574" s="147">
        <v>12</v>
      </c>
      <c r="L574" s="147">
        <v>1</v>
      </c>
      <c r="M574" s="147">
        <v>13</v>
      </c>
      <c r="N574" s="275"/>
      <c r="O574" s="194"/>
      <c r="P574" s="179"/>
      <c r="Q574" s="173"/>
      <c r="R574" s="260">
        <v>0</v>
      </c>
      <c r="S574" s="167"/>
      <c r="T574" s="138" t="s">
        <v>57</v>
      </c>
      <c r="U574" s="147" t="s">
        <v>37</v>
      </c>
      <c r="V574" s="129"/>
      <c r="W574" s="162" t="s">
        <v>54</v>
      </c>
      <c r="X574" s="205"/>
      <c r="Y574" s="251"/>
      <c r="Z574" s="155"/>
      <c r="AA574" s="230"/>
    </row>
    <row r="575" spans="1:27" hidden="1" x14ac:dyDescent="0.25">
      <c r="A575" s="131">
        <v>1</v>
      </c>
      <c r="B575" s="136">
        <v>1205009</v>
      </c>
      <c r="C575" s="128" t="s">
        <v>567</v>
      </c>
      <c r="D575" s="128" t="s">
        <v>710</v>
      </c>
      <c r="E575" s="147" t="s">
        <v>38</v>
      </c>
      <c r="F575" s="138" t="s">
        <v>57</v>
      </c>
      <c r="G575" s="147" t="s">
        <v>34</v>
      </c>
      <c r="H575" s="189">
        <f t="shared" si="8"/>
        <v>0</v>
      </c>
      <c r="I575" s="213"/>
      <c r="J575" s="149"/>
      <c r="K575" s="147">
        <v>12</v>
      </c>
      <c r="L575" s="147">
        <v>1</v>
      </c>
      <c r="M575" s="147">
        <v>13</v>
      </c>
      <c r="N575" s="275"/>
      <c r="O575" s="194"/>
      <c r="P575" s="179"/>
      <c r="Q575" s="173"/>
      <c r="R575" s="260">
        <v>0</v>
      </c>
      <c r="S575" s="167"/>
      <c r="T575" s="138" t="s">
        <v>57</v>
      </c>
      <c r="U575" s="147" t="s">
        <v>37</v>
      </c>
      <c r="V575" s="129"/>
      <c r="W575" s="162" t="s">
        <v>54</v>
      </c>
      <c r="X575" s="205"/>
      <c r="Y575" s="251"/>
      <c r="Z575" s="155"/>
      <c r="AA575" s="230"/>
    </row>
    <row r="576" spans="1:27" s="181" customFormat="1" hidden="1" x14ac:dyDescent="0.25">
      <c r="A576" s="131">
        <v>1</v>
      </c>
      <c r="B576" s="136">
        <v>1205010</v>
      </c>
      <c r="C576" s="128" t="s">
        <v>567</v>
      </c>
      <c r="D576" s="128" t="s">
        <v>711</v>
      </c>
      <c r="E576" s="147" t="s">
        <v>38</v>
      </c>
      <c r="F576" s="138" t="s">
        <v>57</v>
      </c>
      <c r="G576" s="147" t="s">
        <v>34</v>
      </c>
      <c r="H576" s="189">
        <f t="shared" si="8"/>
        <v>0</v>
      </c>
      <c r="I576" s="213"/>
      <c r="J576" s="149"/>
      <c r="K576" s="147">
        <v>12</v>
      </c>
      <c r="L576" s="147">
        <v>1</v>
      </c>
      <c r="M576" s="147">
        <v>13</v>
      </c>
      <c r="N576" s="275"/>
      <c r="O576" s="194"/>
      <c r="P576" s="179"/>
      <c r="Q576" s="173"/>
      <c r="R576" s="260">
        <v>0</v>
      </c>
      <c r="S576" s="167"/>
      <c r="T576" s="138" t="s">
        <v>57</v>
      </c>
      <c r="U576" s="147" t="s">
        <v>37</v>
      </c>
      <c r="V576" s="129"/>
      <c r="W576" s="162" t="s">
        <v>54</v>
      </c>
      <c r="X576" s="205"/>
      <c r="Y576" s="251"/>
      <c r="Z576" s="155"/>
      <c r="AA576" s="230"/>
    </row>
    <row r="577" spans="1:27" s="181" customFormat="1" hidden="1" x14ac:dyDescent="0.25">
      <c r="A577" s="131">
        <v>1</v>
      </c>
      <c r="B577" s="136">
        <v>1205011</v>
      </c>
      <c r="C577" s="128" t="s">
        <v>567</v>
      </c>
      <c r="D577" s="128" t="s">
        <v>712</v>
      </c>
      <c r="E577" s="147" t="s">
        <v>38</v>
      </c>
      <c r="F577" s="138" t="s">
        <v>57</v>
      </c>
      <c r="G577" s="147" t="s">
        <v>34</v>
      </c>
      <c r="H577" s="189">
        <f t="shared" si="8"/>
        <v>0</v>
      </c>
      <c r="I577" s="213"/>
      <c r="J577" s="149"/>
      <c r="K577" s="147">
        <v>12</v>
      </c>
      <c r="L577" s="147">
        <v>1</v>
      </c>
      <c r="M577" s="147">
        <v>13</v>
      </c>
      <c r="N577" s="275"/>
      <c r="O577" s="194"/>
      <c r="P577" s="179"/>
      <c r="Q577" s="173"/>
      <c r="R577" s="260">
        <v>0</v>
      </c>
      <c r="S577" s="167"/>
      <c r="T577" s="138" t="s">
        <v>57</v>
      </c>
      <c r="U577" s="147" t="s">
        <v>37</v>
      </c>
      <c r="V577" s="129"/>
      <c r="W577" s="162" t="s">
        <v>54</v>
      </c>
      <c r="X577" s="205"/>
      <c r="Y577" s="251"/>
      <c r="Z577" s="155"/>
      <c r="AA577" s="230"/>
    </row>
    <row r="578" spans="1:27" s="181" customFormat="1" hidden="1" x14ac:dyDescent="0.25">
      <c r="A578" s="131">
        <v>1</v>
      </c>
      <c r="B578" s="136">
        <v>1205012</v>
      </c>
      <c r="C578" s="128" t="s">
        <v>567</v>
      </c>
      <c r="D578" s="128" t="s">
        <v>713</v>
      </c>
      <c r="E578" s="147" t="s">
        <v>38</v>
      </c>
      <c r="F578" s="138" t="s">
        <v>57</v>
      </c>
      <c r="G578" s="147" t="s">
        <v>34</v>
      </c>
      <c r="H578" s="189">
        <f t="shared" si="8"/>
        <v>0</v>
      </c>
      <c r="I578" s="213"/>
      <c r="J578" s="149"/>
      <c r="K578" s="147">
        <v>12</v>
      </c>
      <c r="L578" s="147">
        <v>1</v>
      </c>
      <c r="M578" s="147">
        <v>13</v>
      </c>
      <c r="N578" s="275"/>
      <c r="O578" s="194"/>
      <c r="P578" s="179"/>
      <c r="Q578" s="173"/>
      <c r="R578" s="260">
        <v>0</v>
      </c>
      <c r="S578" s="167"/>
      <c r="T578" s="138" t="s">
        <v>57</v>
      </c>
      <c r="U578" s="147" t="s">
        <v>37</v>
      </c>
      <c r="V578" s="129"/>
      <c r="W578" s="162" t="s">
        <v>54</v>
      </c>
      <c r="X578" s="205"/>
      <c r="Y578" s="251"/>
      <c r="Z578" s="155"/>
      <c r="AA578" s="230"/>
    </row>
    <row r="579" spans="1:27" s="181" customFormat="1" hidden="1" x14ac:dyDescent="0.25">
      <c r="A579" s="131">
        <v>1</v>
      </c>
      <c r="B579" s="136">
        <v>1205013</v>
      </c>
      <c r="C579" s="128" t="s">
        <v>567</v>
      </c>
      <c r="D579" s="128" t="s">
        <v>714</v>
      </c>
      <c r="E579" s="147" t="s">
        <v>38</v>
      </c>
      <c r="F579" s="138" t="s">
        <v>57</v>
      </c>
      <c r="G579" s="147" t="s">
        <v>34</v>
      </c>
      <c r="H579" s="189">
        <f t="shared" ref="H579:H642" si="9">Q579+R579</f>
        <v>0</v>
      </c>
      <c r="I579" s="213"/>
      <c r="J579" s="149"/>
      <c r="K579" s="147">
        <v>12</v>
      </c>
      <c r="L579" s="147">
        <v>1</v>
      </c>
      <c r="M579" s="147">
        <v>13</v>
      </c>
      <c r="N579" s="275"/>
      <c r="O579" s="194"/>
      <c r="P579" s="179"/>
      <c r="Q579" s="173"/>
      <c r="R579" s="260">
        <v>0</v>
      </c>
      <c r="S579" s="167"/>
      <c r="T579" s="138" t="s">
        <v>57</v>
      </c>
      <c r="U579" s="147" t="s">
        <v>37</v>
      </c>
      <c r="V579" s="129"/>
      <c r="W579" s="162" t="s">
        <v>54</v>
      </c>
      <c r="X579" s="205"/>
      <c r="Y579" s="251"/>
      <c r="Z579" s="155"/>
      <c r="AA579" s="230"/>
    </row>
    <row r="580" spans="1:27" s="181" customFormat="1" hidden="1" x14ac:dyDescent="0.25">
      <c r="A580" s="131">
        <v>1</v>
      </c>
      <c r="B580" s="136">
        <v>1205014</v>
      </c>
      <c r="C580" s="128" t="s">
        <v>567</v>
      </c>
      <c r="D580" s="128" t="s">
        <v>715</v>
      </c>
      <c r="E580" s="147" t="s">
        <v>38</v>
      </c>
      <c r="F580" s="138" t="s">
        <v>57</v>
      </c>
      <c r="G580" s="147" t="s">
        <v>34</v>
      </c>
      <c r="H580" s="189">
        <f t="shared" si="9"/>
        <v>0</v>
      </c>
      <c r="I580" s="213"/>
      <c r="J580" s="149"/>
      <c r="K580" s="147">
        <v>12</v>
      </c>
      <c r="L580" s="147">
        <v>1</v>
      </c>
      <c r="M580" s="147">
        <v>13</v>
      </c>
      <c r="N580" s="275"/>
      <c r="O580" s="194"/>
      <c r="P580" s="179"/>
      <c r="Q580" s="173"/>
      <c r="R580" s="260">
        <v>0</v>
      </c>
      <c r="S580" s="167"/>
      <c r="T580" s="138" t="s">
        <v>57</v>
      </c>
      <c r="U580" s="147" t="s">
        <v>37</v>
      </c>
      <c r="V580" s="129"/>
      <c r="W580" s="162" t="s">
        <v>54</v>
      </c>
      <c r="X580" s="205"/>
      <c r="Y580" s="251"/>
      <c r="Z580" s="155"/>
      <c r="AA580" s="230"/>
    </row>
    <row r="581" spans="1:27" hidden="1" x14ac:dyDescent="0.25">
      <c r="A581" s="131">
        <v>1</v>
      </c>
      <c r="B581" s="136">
        <v>1205015</v>
      </c>
      <c r="C581" s="128" t="s">
        <v>567</v>
      </c>
      <c r="D581" s="128" t="s">
        <v>716</v>
      </c>
      <c r="E581" s="147" t="s">
        <v>38</v>
      </c>
      <c r="F581" s="138" t="s">
        <v>57</v>
      </c>
      <c r="G581" s="147" t="s">
        <v>34</v>
      </c>
      <c r="H581" s="189">
        <f t="shared" si="9"/>
        <v>0</v>
      </c>
      <c r="I581" s="213"/>
      <c r="J581" s="149"/>
      <c r="K581" s="147">
        <v>12</v>
      </c>
      <c r="L581" s="147">
        <v>1</v>
      </c>
      <c r="M581" s="147">
        <v>13</v>
      </c>
      <c r="N581" s="275"/>
      <c r="O581" s="194"/>
      <c r="P581" s="179"/>
      <c r="Q581" s="173"/>
      <c r="R581" s="260">
        <v>0</v>
      </c>
      <c r="S581" s="167"/>
      <c r="T581" s="138" t="s">
        <v>57</v>
      </c>
      <c r="U581" s="147" t="s">
        <v>37</v>
      </c>
      <c r="V581" s="129"/>
      <c r="W581" s="162" t="s">
        <v>54</v>
      </c>
      <c r="X581" s="205"/>
      <c r="Y581" s="251"/>
      <c r="Z581" s="155"/>
      <c r="AA581" s="230"/>
    </row>
    <row r="582" spans="1:27" s="181" customFormat="1" hidden="1" x14ac:dyDescent="0.25">
      <c r="A582" s="131">
        <v>1</v>
      </c>
      <c r="B582" s="136">
        <v>1205016</v>
      </c>
      <c r="C582" s="128" t="s">
        <v>567</v>
      </c>
      <c r="D582" s="128" t="s">
        <v>717</v>
      </c>
      <c r="E582" s="147" t="s">
        <v>38</v>
      </c>
      <c r="F582" s="138" t="s">
        <v>57</v>
      </c>
      <c r="G582" s="147" t="s">
        <v>34</v>
      </c>
      <c r="H582" s="189">
        <f t="shared" si="9"/>
        <v>0</v>
      </c>
      <c r="I582" s="213"/>
      <c r="J582" s="149"/>
      <c r="K582" s="147">
        <v>12</v>
      </c>
      <c r="L582" s="147">
        <v>1</v>
      </c>
      <c r="M582" s="147">
        <v>13</v>
      </c>
      <c r="N582" s="275"/>
      <c r="O582" s="194"/>
      <c r="P582" s="179"/>
      <c r="Q582" s="173"/>
      <c r="R582" s="260">
        <v>0</v>
      </c>
      <c r="S582" s="167"/>
      <c r="T582" s="138" t="s">
        <v>57</v>
      </c>
      <c r="U582" s="147" t="s">
        <v>37</v>
      </c>
      <c r="V582" s="129"/>
      <c r="W582" s="162" t="s">
        <v>54</v>
      </c>
      <c r="X582" s="205"/>
      <c r="Y582" s="251"/>
      <c r="Z582" s="155"/>
      <c r="AA582" s="230"/>
    </row>
    <row r="583" spans="1:27" s="181" customFormat="1" hidden="1" x14ac:dyDescent="0.25">
      <c r="A583" s="131">
        <v>1</v>
      </c>
      <c r="B583" s="136">
        <v>1205017</v>
      </c>
      <c r="C583" s="128" t="s">
        <v>567</v>
      </c>
      <c r="D583" s="128" t="s">
        <v>718</v>
      </c>
      <c r="E583" s="147" t="s">
        <v>38</v>
      </c>
      <c r="F583" s="138" t="s">
        <v>57</v>
      </c>
      <c r="G583" s="147" t="s">
        <v>34</v>
      </c>
      <c r="H583" s="189">
        <f t="shared" si="9"/>
        <v>0</v>
      </c>
      <c r="I583" s="213"/>
      <c r="J583" s="149"/>
      <c r="K583" s="147">
        <v>12</v>
      </c>
      <c r="L583" s="147">
        <v>1</v>
      </c>
      <c r="M583" s="147">
        <v>13</v>
      </c>
      <c r="N583" s="275"/>
      <c r="O583" s="194"/>
      <c r="P583" s="179"/>
      <c r="Q583" s="173"/>
      <c r="R583" s="260">
        <v>0</v>
      </c>
      <c r="S583" s="167"/>
      <c r="T583" s="138" t="s">
        <v>57</v>
      </c>
      <c r="U583" s="147" t="s">
        <v>37</v>
      </c>
      <c r="V583" s="129"/>
      <c r="W583" s="162" t="s">
        <v>54</v>
      </c>
      <c r="X583" s="205"/>
      <c r="Y583" s="251"/>
      <c r="Z583" s="155"/>
      <c r="AA583" s="230"/>
    </row>
    <row r="584" spans="1:27" s="181" customFormat="1" hidden="1" x14ac:dyDescent="0.25">
      <c r="A584" s="131">
        <v>1</v>
      </c>
      <c r="B584" s="136">
        <v>1205018</v>
      </c>
      <c r="C584" s="128" t="s">
        <v>567</v>
      </c>
      <c r="D584" s="128" t="s">
        <v>719</v>
      </c>
      <c r="E584" s="147" t="s">
        <v>38</v>
      </c>
      <c r="F584" s="138" t="s">
        <v>57</v>
      </c>
      <c r="G584" s="147" t="s">
        <v>34</v>
      </c>
      <c r="H584" s="189">
        <f t="shared" si="9"/>
        <v>0</v>
      </c>
      <c r="I584" s="213"/>
      <c r="J584" s="149"/>
      <c r="K584" s="147">
        <v>12</v>
      </c>
      <c r="L584" s="147">
        <v>1</v>
      </c>
      <c r="M584" s="147">
        <v>13</v>
      </c>
      <c r="N584" s="275"/>
      <c r="O584" s="194"/>
      <c r="P584" s="179"/>
      <c r="Q584" s="173"/>
      <c r="R584" s="260">
        <v>0</v>
      </c>
      <c r="S584" s="167"/>
      <c r="T584" s="138" t="s">
        <v>57</v>
      </c>
      <c r="U584" s="147" t="s">
        <v>37</v>
      </c>
      <c r="V584" s="129"/>
      <c r="W584" s="162" t="s">
        <v>54</v>
      </c>
      <c r="X584" s="205"/>
      <c r="Y584" s="251"/>
      <c r="Z584" s="155"/>
      <c r="AA584" s="230"/>
    </row>
    <row r="585" spans="1:27" s="181" customFormat="1" hidden="1" x14ac:dyDescent="0.25">
      <c r="A585" s="131">
        <v>1</v>
      </c>
      <c r="B585" s="136">
        <v>1205019</v>
      </c>
      <c r="C585" s="128" t="s">
        <v>567</v>
      </c>
      <c r="D585" s="128" t="s">
        <v>720</v>
      </c>
      <c r="E585" s="147" t="s">
        <v>38</v>
      </c>
      <c r="F585" s="138" t="s">
        <v>57</v>
      </c>
      <c r="G585" s="147" t="s">
        <v>34</v>
      </c>
      <c r="H585" s="189">
        <f t="shared" si="9"/>
        <v>0</v>
      </c>
      <c r="I585" s="213"/>
      <c r="J585" s="149"/>
      <c r="K585" s="147">
        <v>12</v>
      </c>
      <c r="L585" s="147">
        <v>1</v>
      </c>
      <c r="M585" s="147">
        <v>13</v>
      </c>
      <c r="N585" s="275"/>
      <c r="O585" s="194"/>
      <c r="P585" s="179"/>
      <c r="Q585" s="173"/>
      <c r="R585" s="260">
        <v>0</v>
      </c>
      <c r="S585" s="167"/>
      <c r="T585" s="138" t="s">
        <v>57</v>
      </c>
      <c r="U585" s="147" t="s">
        <v>37</v>
      </c>
      <c r="V585" s="129"/>
      <c r="W585" s="162" t="s">
        <v>54</v>
      </c>
      <c r="X585" s="205"/>
      <c r="Y585" s="251"/>
      <c r="Z585" s="155"/>
      <c r="AA585" s="230"/>
    </row>
    <row r="586" spans="1:27" s="181" customFormat="1" hidden="1" x14ac:dyDescent="0.25">
      <c r="A586" s="131">
        <v>1</v>
      </c>
      <c r="B586" s="136">
        <v>1205020</v>
      </c>
      <c r="C586" s="128" t="s">
        <v>567</v>
      </c>
      <c r="D586" s="128" t="s">
        <v>721</v>
      </c>
      <c r="E586" s="147" t="s">
        <v>38</v>
      </c>
      <c r="F586" s="138" t="s">
        <v>57</v>
      </c>
      <c r="G586" s="147" t="s">
        <v>34</v>
      </c>
      <c r="H586" s="189">
        <f t="shared" si="9"/>
        <v>0</v>
      </c>
      <c r="I586" s="213"/>
      <c r="J586" s="149"/>
      <c r="K586" s="147">
        <v>12</v>
      </c>
      <c r="L586" s="147">
        <v>1</v>
      </c>
      <c r="M586" s="147">
        <v>13</v>
      </c>
      <c r="N586" s="275"/>
      <c r="O586" s="194"/>
      <c r="P586" s="179"/>
      <c r="Q586" s="173"/>
      <c r="R586" s="260">
        <v>0</v>
      </c>
      <c r="S586" s="167"/>
      <c r="T586" s="129" t="s">
        <v>55</v>
      </c>
      <c r="U586" s="147" t="s">
        <v>37</v>
      </c>
      <c r="V586" s="129"/>
      <c r="W586" s="162" t="s">
        <v>54</v>
      </c>
      <c r="X586" s="205"/>
      <c r="Y586" s="251"/>
      <c r="Z586" s="155"/>
      <c r="AA586" s="230"/>
    </row>
    <row r="587" spans="1:27" s="181" customFormat="1" hidden="1" x14ac:dyDescent="0.25">
      <c r="A587" s="131">
        <v>1</v>
      </c>
      <c r="B587" s="136">
        <v>1205021</v>
      </c>
      <c r="C587" s="128" t="s">
        <v>567</v>
      </c>
      <c r="D587" s="128" t="s">
        <v>722</v>
      </c>
      <c r="E587" s="147" t="s">
        <v>38</v>
      </c>
      <c r="F587" s="138" t="s">
        <v>57</v>
      </c>
      <c r="G587" s="147" t="s">
        <v>34</v>
      </c>
      <c r="H587" s="189">
        <f t="shared" si="9"/>
        <v>0</v>
      </c>
      <c r="I587" s="213"/>
      <c r="J587" s="149"/>
      <c r="K587" s="147">
        <v>12</v>
      </c>
      <c r="L587" s="147">
        <v>1</v>
      </c>
      <c r="M587" s="147">
        <v>13</v>
      </c>
      <c r="N587" s="275"/>
      <c r="O587" s="194"/>
      <c r="P587" s="179"/>
      <c r="Q587" s="173"/>
      <c r="R587" s="260">
        <v>0</v>
      </c>
      <c r="S587" s="167"/>
      <c r="T587" s="129" t="s">
        <v>55</v>
      </c>
      <c r="U587" s="147" t="s">
        <v>37</v>
      </c>
      <c r="V587" s="129"/>
      <c r="W587" s="162" t="s">
        <v>54</v>
      </c>
      <c r="X587" s="205"/>
      <c r="Y587" s="251"/>
      <c r="Z587" s="155"/>
      <c r="AA587" s="230"/>
    </row>
    <row r="588" spans="1:27" s="181" customFormat="1" hidden="1" x14ac:dyDescent="0.25">
      <c r="A588" s="131">
        <v>1</v>
      </c>
      <c r="B588" s="136">
        <v>1205022</v>
      </c>
      <c r="C588" s="128" t="s">
        <v>567</v>
      </c>
      <c r="D588" s="128" t="s">
        <v>723</v>
      </c>
      <c r="E588" s="147" t="s">
        <v>38</v>
      </c>
      <c r="F588" s="138" t="s">
        <v>57</v>
      </c>
      <c r="G588" s="147" t="s">
        <v>34</v>
      </c>
      <c r="H588" s="189">
        <f t="shared" si="9"/>
        <v>0</v>
      </c>
      <c r="I588" s="213"/>
      <c r="J588" s="149"/>
      <c r="K588" s="147">
        <v>12</v>
      </c>
      <c r="L588" s="147">
        <v>1</v>
      </c>
      <c r="M588" s="147">
        <v>13</v>
      </c>
      <c r="N588" s="275"/>
      <c r="O588" s="194"/>
      <c r="P588" s="179"/>
      <c r="Q588" s="173"/>
      <c r="R588" s="260">
        <v>0</v>
      </c>
      <c r="S588" s="167"/>
      <c r="T588" s="138" t="s">
        <v>57</v>
      </c>
      <c r="U588" s="147" t="s">
        <v>37</v>
      </c>
      <c r="V588" s="129"/>
      <c r="W588" s="162" t="s">
        <v>54</v>
      </c>
      <c r="X588" s="205"/>
      <c r="Y588" s="251"/>
      <c r="Z588" s="155"/>
      <c r="AA588" s="230"/>
    </row>
    <row r="589" spans="1:27" hidden="1" x14ac:dyDescent="0.25">
      <c r="A589" s="131">
        <v>1</v>
      </c>
      <c r="B589" s="136">
        <v>1205026</v>
      </c>
      <c r="C589" s="128" t="s">
        <v>567</v>
      </c>
      <c r="D589" s="128" t="s">
        <v>724</v>
      </c>
      <c r="E589" s="147" t="s">
        <v>38</v>
      </c>
      <c r="F589" s="138" t="s">
        <v>57</v>
      </c>
      <c r="G589" s="147" t="s">
        <v>34</v>
      </c>
      <c r="H589" s="189">
        <f t="shared" si="9"/>
        <v>0</v>
      </c>
      <c r="I589" s="213"/>
      <c r="J589" s="149"/>
      <c r="K589" s="147">
        <v>12</v>
      </c>
      <c r="L589" s="147">
        <v>1</v>
      </c>
      <c r="M589" s="147">
        <v>13</v>
      </c>
      <c r="N589" s="275"/>
      <c r="O589" s="194"/>
      <c r="P589" s="179"/>
      <c r="Q589" s="173"/>
      <c r="R589" s="260">
        <v>0</v>
      </c>
      <c r="S589" s="167"/>
      <c r="T589" s="129" t="s">
        <v>55</v>
      </c>
      <c r="U589" s="147" t="s">
        <v>37</v>
      </c>
      <c r="V589" s="129"/>
      <c r="W589" s="162" t="s">
        <v>54</v>
      </c>
      <c r="X589" s="205"/>
      <c r="Y589" s="251"/>
      <c r="Z589" s="155"/>
      <c r="AA589" s="230"/>
    </row>
    <row r="590" spans="1:27" hidden="1" x14ac:dyDescent="0.25">
      <c r="A590" s="131">
        <v>1</v>
      </c>
      <c r="B590" s="136">
        <v>1205027</v>
      </c>
      <c r="C590" s="128" t="s">
        <v>567</v>
      </c>
      <c r="D590" s="128" t="s">
        <v>725</v>
      </c>
      <c r="E590" s="147" t="s">
        <v>38</v>
      </c>
      <c r="F590" s="138" t="s">
        <v>57</v>
      </c>
      <c r="G590" s="147" t="s">
        <v>34</v>
      </c>
      <c r="H590" s="189">
        <f t="shared" si="9"/>
        <v>0</v>
      </c>
      <c r="I590" s="213"/>
      <c r="J590" s="149"/>
      <c r="K590" s="147">
        <v>12</v>
      </c>
      <c r="L590" s="147">
        <v>1</v>
      </c>
      <c r="M590" s="147">
        <v>13</v>
      </c>
      <c r="N590" s="275"/>
      <c r="O590" s="194"/>
      <c r="P590" s="179"/>
      <c r="Q590" s="173"/>
      <c r="R590" s="260">
        <v>0</v>
      </c>
      <c r="S590" s="167"/>
      <c r="T590" s="129" t="s">
        <v>55</v>
      </c>
      <c r="U590" s="147" t="s">
        <v>37</v>
      </c>
      <c r="V590" s="129"/>
      <c r="W590" s="162" t="s">
        <v>54</v>
      </c>
      <c r="X590" s="205"/>
      <c r="Y590" s="251"/>
      <c r="Z590" s="155"/>
      <c r="AA590" s="230"/>
    </row>
    <row r="591" spans="1:27" hidden="1" x14ac:dyDescent="0.25">
      <c r="A591" s="131">
        <v>1</v>
      </c>
      <c r="B591" s="136">
        <v>1205028</v>
      </c>
      <c r="C591" s="128" t="s">
        <v>567</v>
      </c>
      <c r="D591" s="128" t="s">
        <v>726</v>
      </c>
      <c r="E591" s="147" t="s">
        <v>38</v>
      </c>
      <c r="F591" s="138" t="s">
        <v>57</v>
      </c>
      <c r="G591" s="147" t="s">
        <v>34</v>
      </c>
      <c r="H591" s="189">
        <f t="shared" si="9"/>
        <v>0</v>
      </c>
      <c r="I591" s="213"/>
      <c r="J591" s="149"/>
      <c r="K591" s="147">
        <v>12</v>
      </c>
      <c r="L591" s="147">
        <v>1</v>
      </c>
      <c r="M591" s="147">
        <v>13</v>
      </c>
      <c r="N591" s="275"/>
      <c r="O591" s="194"/>
      <c r="P591" s="179"/>
      <c r="Q591" s="173"/>
      <c r="R591" s="260">
        <v>0</v>
      </c>
      <c r="S591" s="167"/>
      <c r="T591" s="129" t="s">
        <v>55</v>
      </c>
      <c r="U591" s="147" t="s">
        <v>37</v>
      </c>
      <c r="V591" s="129"/>
      <c r="W591" s="162" t="s">
        <v>54</v>
      </c>
      <c r="X591" s="205"/>
      <c r="Y591" s="251"/>
      <c r="Z591" s="155"/>
      <c r="AA591" s="230"/>
    </row>
    <row r="592" spans="1:27" hidden="1" x14ac:dyDescent="0.25">
      <c r="A592" s="131">
        <v>1</v>
      </c>
      <c r="B592" s="136">
        <v>1205031</v>
      </c>
      <c r="C592" s="128" t="s">
        <v>567</v>
      </c>
      <c r="D592" s="128" t="s">
        <v>727</v>
      </c>
      <c r="E592" s="147" t="s">
        <v>38</v>
      </c>
      <c r="F592" s="138" t="s">
        <v>57</v>
      </c>
      <c r="G592" s="147" t="s">
        <v>34</v>
      </c>
      <c r="H592" s="189">
        <f t="shared" si="9"/>
        <v>0</v>
      </c>
      <c r="I592" s="213"/>
      <c r="J592" s="149"/>
      <c r="K592" s="147">
        <v>12</v>
      </c>
      <c r="L592" s="147">
        <v>1</v>
      </c>
      <c r="M592" s="147">
        <v>13</v>
      </c>
      <c r="N592" s="275"/>
      <c r="O592" s="194"/>
      <c r="P592" s="179"/>
      <c r="Q592" s="173"/>
      <c r="R592" s="260">
        <v>0</v>
      </c>
      <c r="S592" s="167"/>
      <c r="T592" s="129" t="s">
        <v>55</v>
      </c>
      <c r="U592" s="147" t="s">
        <v>37</v>
      </c>
      <c r="V592" s="129"/>
      <c r="W592" s="162" t="s">
        <v>54</v>
      </c>
      <c r="X592" s="205"/>
      <c r="Y592" s="251"/>
      <c r="Z592" s="155"/>
      <c r="AA592" s="230"/>
    </row>
    <row r="593" spans="1:27" hidden="1" x14ac:dyDescent="0.25">
      <c r="A593" s="131">
        <v>1</v>
      </c>
      <c r="B593" s="136">
        <v>1205032</v>
      </c>
      <c r="C593" s="128" t="s">
        <v>567</v>
      </c>
      <c r="D593" s="128" t="s">
        <v>728</v>
      </c>
      <c r="E593" s="147" t="s">
        <v>38</v>
      </c>
      <c r="F593" s="138" t="s">
        <v>57</v>
      </c>
      <c r="G593" s="147" t="s">
        <v>34</v>
      </c>
      <c r="H593" s="189">
        <f t="shared" si="9"/>
        <v>0</v>
      </c>
      <c r="I593" s="213"/>
      <c r="J593" s="149"/>
      <c r="K593" s="147">
        <v>12</v>
      </c>
      <c r="L593" s="147">
        <v>1</v>
      </c>
      <c r="M593" s="147">
        <v>13</v>
      </c>
      <c r="N593" s="275"/>
      <c r="O593" s="194"/>
      <c r="P593" s="179"/>
      <c r="Q593" s="173"/>
      <c r="R593" s="260">
        <v>0</v>
      </c>
      <c r="S593" s="167"/>
      <c r="T593" s="138" t="s">
        <v>57</v>
      </c>
      <c r="U593" s="147" t="s">
        <v>37</v>
      </c>
      <c r="V593" s="129"/>
      <c r="W593" s="162" t="s">
        <v>54</v>
      </c>
      <c r="X593" s="205"/>
      <c r="Y593" s="251"/>
      <c r="Z593" s="155"/>
      <c r="AA593" s="230"/>
    </row>
    <row r="594" spans="1:27" hidden="1" x14ac:dyDescent="0.25">
      <c r="A594" s="131">
        <v>1</v>
      </c>
      <c r="B594" s="136">
        <v>1205036</v>
      </c>
      <c r="C594" s="128" t="s">
        <v>567</v>
      </c>
      <c r="D594" s="128" t="s">
        <v>729</v>
      </c>
      <c r="E594" s="147" t="s">
        <v>38</v>
      </c>
      <c r="F594" s="138" t="s">
        <v>57</v>
      </c>
      <c r="G594" s="147" t="s">
        <v>34</v>
      </c>
      <c r="H594" s="189">
        <f t="shared" si="9"/>
        <v>0</v>
      </c>
      <c r="I594" s="213"/>
      <c r="J594" s="149"/>
      <c r="K594" s="147">
        <v>12</v>
      </c>
      <c r="L594" s="147">
        <v>1</v>
      </c>
      <c r="M594" s="147">
        <v>13</v>
      </c>
      <c r="N594" s="275"/>
      <c r="O594" s="194"/>
      <c r="P594" s="179"/>
      <c r="Q594" s="173"/>
      <c r="R594" s="260">
        <v>0</v>
      </c>
      <c r="S594" s="167"/>
      <c r="T594" s="129" t="s">
        <v>55</v>
      </c>
      <c r="U594" s="147" t="s">
        <v>37</v>
      </c>
      <c r="V594" s="129"/>
      <c r="W594" s="162" t="s">
        <v>54</v>
      </c>
      <c r="X594" s="205"/>
      <c r="Y594" s="251"/>
      <c r="Z594" s="155"/>
      <c r="AA594" s="230"/>
    </row>
    <row r="595" spans="1:27" s="181" customFormat="1" hidden="1" x14ac:dyDescent="0.25">
      <c r="A595" s="131">
        <v>1</v>
      </c>
      <c r="B595" s="136">
        <v>1205037</v>
      </c>
      <c r="C595" s="128" t="s">
        <v>567</v>
      </c>
      <c r="D595" s="128" t="s">
        <v>730</v>
      </c>
      <c r="E595" s="147" t="s">
        <v>38</v>
      </c>
      <c r="F595" s="138" t="s">
        <v>57</v>
      </c>
      <c r="G595" s="147" t="s">
        <v>34</v>
      </c>
      <c r="H595" s="189">
        <f t="shared" si="9"/>
        <v>0</v>
      </c>
      <c r="I595" s="213"/>
      <c r="J595" s="149"/>
      <c r="K595" s="147">
        <v>12</v>
      </c>
      <c r="L595" s="147">
        <v>1</v>
      </c>
      <c r="M595" s="147">
        <v>13</v>
      </c>
      <c r="N595" s="275"/>
      <c r="O595" s="194"/>
      <c r="P595" s="179"/>
      <c r="Q595" s="173"/>
      <c r="R595" s="260">
        <v>0</v>
      </c>
      <c r="S595" s="167"/>
      <c r="T595" s="129" t="s">
        <v>55</v>
      </c>
      <c r="U595" s="147" t="s">
        <v>37</v>
      </c>
      <c r="V595" s="129"/>
      <c r="W595" s="162" t="s">
        <v>54</v>
      </c>
      <c r="X595" s="205"/>
      <c r="Y595" s="251"/>
      <c r="Z595" s="155"/>
      <c r="AA595" s="230"/>
    </row>
    <row r="596" spans="1:27" hidden="1" x14ac:dyDescent="0.25">
      <c r="A596" s="131">
        <v>1</v>
      </c>
      <c r="B596" s="136">
        <v>1205038</v>
      </c>
      <c r="C596" s="128" t="s">
        <v>567</v>
      </c>
      <c r="D596" s="128" t="s">
        <v>731</v>
      </c>
      <c r="E596" s="147" t="s">
        <v>38</v>
      </c>
      <c r="F596" s="129" t="s">
        <v>55</v>
      </c>
      <c r="G596" s="147" t="s">
        <v>34</v>
      </c>
      <c r="H596" s="189">
        <f t="shared" si="9"/>
        <v>0</v>
      </c>
      <c r="I596" s="213"/>
      <c r="J596" s="148">
        <v>30</v>
      </c>
      <c r="K596" s="147"/>
      <c r="L596" s="147"/>
      <c r="M596" s="147">
        <v>1</v>
      </c>
      <c r="N596" s="275"/>
      <c r="O596" s="194"/>
      <c r="P596" s="179"/>
      <c r="Q596" s="173"/>
      <c r="R596" s="260">
        <v>0</v>
      </c>
      <c r="S596" s="167"/>
      <c r="T596" s="129" t="s">
        <v>55</v>
      </c>
      <c r="U596" s="147" t="s">
        <v>37</v>
      </c>
      <c r="V596" s="129"/>
      <c r="W596" s="176" t="s">
        <v>2519</v>
      </c>
      <c r="X596" s="205"/>
      <c r="Y596" s="251"/>
      <c r="Z596" s="155"/>
      <c r="AA596" s="230"/>
    </row>
    <row r="597" spans="1:27" hidden="1" x14ac:dyDescent="0.25">
      <c r="A597" s="131">
        <v>1</v>
      </c>
      <c r="B597" s="136">
        <v>1205039</v>
      </c>
      <c r="C597" s="128" t="s">
        <v>567</v>
      </c>
      <c r="D597" s="128" t="s">
        <v>732</v>
      </c>
      <c r="E597" s="147" t="s">
        <v>38</v>
      </c>
      <c r="F597" s="138" t="s">
        <v>57</v>
      </c>
      <c r="G597" s="147" t="s">
        <v>34</v>
      </c>
      <c r="H597" s="189">
        <f t="shared" si="9"/>
        <v>0</v>
      </c>
      <c r="I597" s="213"/>
      <c r="J597" s="149"/>
      <c r="K597" s="147">
        <v>12</v>
      </c>
      <c r="L597" s="147">
        <v>1</v>
      </c>
      <c r="M597" s="147">
        <v>13</v>
      </c>
      <c r="N597" s="275"/>
      <c r="O597" s="194"/>
      <c r="P597" s="179"/>
      <c r="Q597" s="173"/>
      <c r="R597" s="260">
        <v>0</v>
      </c>
      <c r="S597" s="167"/>
      <c r="T597" s="138" t="s">
        <v>57</v>
      </c>
      <c r="U597" s="147" t="s">
        <v>37</v>
      </c>
      <c r="V597" s="129"/>
      <c r="W597" s="162" t="s">
        <v>54</v>
      </c>
      <c r="X597" s="205"/>
      <c r="Y597" s="251"/>
      <c r="Z597" s="155"/>
      <c r="AA597" s="230"/>
    </row>
    <row r="598" spans="1:27" hidden="1" x14ac:dyDescent="0.25">
      <c r="A598" s="131">
        <v>1</v>
      </c>
      <c r="B598" s="136">
        <v>1205040</v>
      </c>
      <c r="C598" s="128" t="s">
        <v>567</v>
      </c>
      <c r="D598" s="128" t="s">
        <v>733</v>
      </c>
      <c r="E598" s="147" t="s">
        <v>38</v>
      </c>
      <c r="F598" s="138" t="s">
        <v>57</v>
      </c>
      <c r="G598" s="147" t="s">
        <v>34</v>
      </c>
      <c r="H598" s="189">
        <f t="shared" si="9"/>
        <v>0</v>
      </c>
      <c r="I598" s="213"/>
      <c r="J598" s="149"/>
      <c r="K598" s="147">
        <v>12</v>
      </c>
      <c r="L598" s="147">
        <v>1</v>
      </c>
      <c r="M598" s="147">
        <v>13</v>
      </c>
      <c r="N598" s="275"/>
      <c r="O598" s="194"/>
      <c r="P598" s="179"/>
      <c r="Q598" s="173"/>
      <c r="R598" s="260">
        <v>0</v>
      </c>
      <c r="S598" s="167"/>
      <c r="T598" s="129" t="s">
        <v>55</v>
      </c>
      <c r="U598" s="147" t="s">
        <v>37</v>
      </c>
      <c r="V598" s="129"/>
      <c r="W598" s="162" t="s">
        <v>54</v>
      </c>
      <c r="X598" s="205"/>
      <c r="Y598" s="251"/>
      <c r="Z598" s="155"/>
      <c r="AA598" s="230"/>
    </row>
    <row r="599" spans="1:27" hidden="1" x14ac:dyDescent="0.25">
      <c r="A599" s="131">
        <v>1</v>
      </c>
      <c r="B599" s="136">
        <v>1205042</v>
      </c>
      <c r="C599" s="128" t="s">
        <v>567</v>
      </c>
      <c r="D599" s="128" t="s">
        <v>734</v>
      </c>
      <c r="E599" s="147" t="s">
        <v>38</v>
      </c>
      <c r="F599" s="138" t="s">
        <v>57</v>
      </c>
      <c r="G599" s="147" t="s">
        <v>34</v>
      </c>
      <c r="H599" s="189">
        <f t="shared" si="9"/>
        <v>0</v>
      </c>
      <c r="I599" s="213"/>
      <c r="J599" s="149"/>
      <c r="K599" s="147">
        <v>12</v>
      </c>
      <c r="L599" s="147">
        <v>1</v>
      </c>
      <c r="M599" s="147">
        <v>13</v>
      </c>
      <c r="N599" s="275"/>
      <c r="O599" s="194"/>
      <c r="P599" s="179"/>
      <c r="Q599" s="173"/>
      <c r="R599" s="260">
        <v>0</v>
      </c>
      <c r="S599" s="167"/>
      <c r="T599" s="129" t="s">
        <v>55</v>
      </c>
      <c r="U599" s="147" t="s">
        <v>37</v>
      </c>
      <c r="V599" s="129"/>
      <c r="W599" s="162" t="s">
        <v>54</v>
      </c>
      <c r="X599" s="205"/>
      <c r="Y599" s="251"/>
      <c r="Z599" s="155"/>
      <c r="AA599" s="230"/>
    </row>
    <row r="600" spans="1:27" hidden="1" x14ac:dyDescent="0.25">
      <c r="A600" s="131">
        <v>1</v>
      </c>
      <c r="B600" s="136">
        <v>1205048</v>
      </c>
      <c r="C600" s="128" t="s">
        <v>567</v>
      </c>
      <c r="D600" s="128" t="s">
        <v>735</v>
      </c>
      <c r="E600" s="147" t="s">
        <v>38</v>
      </c>
      <c r="F600" s="138" t="s">
        <v>57</v>
      </c>
      <c r="G600" s="147" t="s">
        <v>34</v>
      </c>
      <c r="H600" s="189">
        <f t="shared" si="9"/>
        <v>0</v>
      </c>
      <c r="I600" s="213"/>
      <c r="J600" s="149"/>
      <c r="K600" s="147">
        <v>12</v>
      </c>
      <c r="L600" s="147">
        <v>1</v>
      </c>
      <c r="M600" s="147">
        <v>13</v>
      </c>
      <c r="N600" s="275"/>
      <c r="O600" s="194"/>
      <c r="P600" s="179"/>
      <c r="Q600" s="173"/>
      <c r="R600" s="260">
        <v>0</v>
      </c>
      <c r="S600" s="167"/>
      <c r="T600" s="129" t="s">
        <v>55</v>
      </c>
      <c r="U600" s="147" t="s">
        <v>37</v>
      </c>
      <c r="V600" s="129"/>
      <c r="W600" s="162" t="s">
        <v>54</v>
      </c>
      <c r="X600" s="205"/>
      <c r="Y600" s="251"/>
      <c r="Z600" s="155"/>
      <c r="AA600" s="230"/>
    </row>
    <row r="601" spans="1:27" s="181" customFormat="1" hidden="1" x14ac:dyDescent="0.25">
      <c r="A601" s="131">
        <v>1</v>
      </c>
      <c r="B601" s="136">
        <v>1206001</v>
      </c>
      <c r="C601" s="128" t="s">
        <v>567</v>
      </c>
      <c r="D601" s="128" t="s">
        <v>736</v>
      </c>
      <c r="E601" s="147" t="s">
        <v>38</v>
      </c>
      <c r="F601" s="129" t="s">
        <v>684</v>
      </c>
      <c r="G601" s="147" t="s">
        <v>34</v>
      </c>
      <c r="H601" s="189">
        <f t="shared" si="9"/>
        <v>0</v>
      </c>
      <c r="I601" s="134" t="s">
        <v>2082</v>
      </c>
      <c r="J601" s="146">
        <v>0</v>
      </c>
      <c r="K601" s="147">
        <v>9</v>
      </c>
      <c r="L601" s="147">
        <v>1</v>
      </c>
      <c r="M601" s="147">
        <v>10</v>
      </c>
      <c r="N601" s="275"/>
      <c r="O601" s="194"/>
      <c r="P601" s="179"/>
      <c r="Q601" s="173"/>
      <c r="R601" s="260">
        <v>0</v>
      </c>
      <c r="S601" s="167"/>
      <c r="T601" s="129" t="s">
        <v>64</v>
      </c>
      <c r="U601" s="147" t="s">
        <v>37</v>
      </c>
      <c r="V601" s="129"/>
      <c r="W601" s="162" t="s">
        <v>54</v>
      </c>
      <c r="X601" s="205"/>
      <c r="Y601" s="251"/>
      <c r="Z601" s="290"/>
      <c r="AA601" s="286"/>
    </row>
    <row r="602" spans="1:27" ht="24" hidden="1" x14ac:dyDescent="0.25">
      <c r="A602" s="131">
        <v>1</v>
      </c>
      <c r="B602" s="136">
        <v>1206002</v>
      </c>
      <c r="C602" s="128" t="s">
        <v>567</v>
      </c>
      <c r="D602" s="128" t="s">
        <v>737</v>
      </c>
      <c r="E602" s="147" t="s">
        <v>38</v>
      </c>
      <c r="F602" s="129" t="s">
        <v>684</v>
      </c>
      <c r="G602" s="147" t="s">
        <v>738</v>
      </c>
      <c r="H602" s="189">
        <f t="shared" si="9"/>
        <v>0</v>
      </c>
      <c r="I602" s="134" t="s">
        <v>2082</v>
      </c>
      <c r="J602" s="146">
        <v>0</v>
      </c>
      <c r="K602" s="147">
        <v>9</v>
      </c>
      <c r="L602" s="147">
        <v>1</v>
      </c>
      <c r="M602" s="147">
        <v>10</v>
      </c>
      <c r="N602" s="275"/>
      <c r="O602" s="194"/>
      <c r="P602" s="179"/>
      <c r="Q602" s="173"/>
      <c r="R602" s="260">
        <v>0</v>
      </c>
      <c r="S602" s="167"/>
      <c r="T602" s="129" t="s">
        <v>36</v>
      </c>
      <c r="U602" s="147" t="s">
        <v>37</v>
      </c>
      <c r="V602" s="129"/>
      <c r="W602" s="162" t="s">
        <v>54</v>
      </c>
      <c r="X602" s="205"/>
      <c r="Y602" s="251"/>
      <c r="Z602" s="290"/>
      <c r="AA602" s="286"/>
    </row>
    <row r="603" spans="1:27" ht="24" x14ac:dyDescent="0.25">
      <c r="A603" s="131">
        <v>1</v>
      </c>
      <c r="B603" s="136">
        <v>1206003</v>
      </c>
      <c r="C603" s="128" t="s">
        <v>567</v>
      </c>
      <c r="D603" s="128" t="s">
        <v>739</v>
      </c>
      <c r="E603" s="147" t="s">
        <v>38</v>
      </c>
      <c r="F603" s="129" t="s">
        <v>684</v>
      </c>
      <c r="G603" s="147" t="s">
        <v>607</v>
      </c>
      <c r="H603" s="189">
        <f t="shared" si="9"/>
        <v>1302.05</v>
      </c>
      <c r="I603" s="210" t="s">
        <v>2082</v>
      </c>
      <c r="J603" s="146">
        <v>0</v>
      </c>
      <c r="K603" s="147">
        <v>9</v>
      </c>
      <c r="L603" s="147">
        <v>1</v>
      </c>
      <c r="M603" s="147">
        <v>10</v>
      </c>
      <c r="N603" s="275">
        <v>1</v>
      </c>
      <c r="O603" s="193"/>
      <c r="P603" s="179">
        <v>45315</v>
      </c>
      <c r="Q603" s="173">
        <v>1302</v>
      </c>
      <c r="R603" s="271">
        <v>0.05</v>
      </c>
      <c r="S603" s="164"/>
      <c r="T603" s="129" t="s">
        <v>36</v>
      </c>
      <c r="U603" s="147" t="s">
        <v>37</v>
      </c>
      <c r="V603" s="129"/>
      <c r="W603" s="147" t="s">
        <v>2208</v>
      </c>
      <c r="X603" s="205" t="s">
        <v>1919</v>
      </c>
      <c r="Y603" s="251"/>
      <c r="Z603" s="290"/>
      <c r="AA603" s="286"/>
    </row>
    <row r="604" spans="1:27" ht="24" hidden="1" x14ac:dyDescent="0.25">
      <c r="A604" s="131">
        <v>1</v>
      </c>
      <c r="B604" s="136">
        <v>1206004</v>
      </c>
      <c r="C604" s="128" t="s">
        <v>567</v>
      </c>
      <c r="D604" s="128" t="s">
        <v>740</v>
      </c>
      <c r="E604" s="147" t="s">
        <v>38</v>
      </c>
      <c r="F604" s="129" t="s">
        <v>584</v>
      </c>
      <c r="G604" s="147" t="s">
        <v>34</v>
      </c>
      <c r="H604" s="189">
        <f t="shared" si="9"/>
        <v>0</v>
      </c>
      <c r="I604" s="213"/>
      <c r="J604" s="149"/>
      <c r="K604" s="147">
        <v>11</v>
      </c>
      <c r="L604" s="147">
        <v>1</v>
      </c>
      <c r="M604" s="147">
        <v>12</v>
      </c>
      <c r="N604" s="275"/>
      <c r="O604" s="194"/>
      <c r="P604" s="179"/>
      <c r="Q604" s="173"/>
      <c r="R604" s="260">
        <v>0</v>
      </c>
      <c r="S604" s="167"/>
      <c r="T604" s="129" t="s">
        <v>64</v>
      </c>
      <c r="U604" s="147" t="s">
        <v>37</v>
      </c>
      <c r="V604" s="129"/>
      <c r="W604" s="162" t="s">
        <v>54</v>
      </c>
      <c r="X604" s="205"/>
      <c r="Y604" s="251"/>
      <c r="Z604" s="155"/>
      <c r="AA604" s="230"/>
    </row>
    <row r="605" spans="1:27" ht="24" hidden="1" x14ac:dyDescent="0.25">
      <c r="A605" s="131">
        <v>1</v>
      </c>
      <c r="B605" s="136">
        <v>1206005</v>
      </c>
      <c r="C605" s="127" t="s">
        <v>589</v>
      </c>
      <c r="D605" s="128" t="s">
        <v>743</v>
      </c>
      <c r="E605" s="147" t="s">
        <v>38</v>
      </c>
      <c r="F605" s="129" t="s">
        <v>584</v>
      </c>
      <c r="G605" s="147" t="s">
        <v>34</v>
      </c>
      <c r="H605" s="189">
        <f t="shared" si="9"/>
        <v>0</v>
      </c>
      <c r="I605" s="213"/>
      <c r="J605" s="149"/>
      <c r="K605" s="147">
        <v>11</v>
      </c>
      <c r="L605" s="147">
        <v>1</v>
      </c>
      <c r="M605" s="147">
        <v>12</v>
      </c>
      <c r="N605" s="275"/>
      <c r="O605" s="194"/>
      <c r="P605" s="179"/>
      <c r="Q605" s="173"/>
      <c r="R605" s="260">
        <v>0</v>
      </c>
      <c r="S605" s="167"/>
      <c r="T605" s="129" t="s">
        <v>64</v>
      </c>
      <c r="U605" s="147" t="s">
        <v>37</v>
      </c>
      <c r="V605" s="129"/>
      <c r="W605" s="162" t="s">
        <v>54</v>
      </c>
      <c r="X605" s="205"/>
      <c r="Y605" s="251"/>
      <c r="Z605" s="155"/>
      <c r="AA605" s="230"/>
    </row>
    <row r="606" spans="1:27" ht="24" hidden="1" x14ac:dyDescent="0.25">
      <c r="A606" s="131">
        <v>1</v>
      </c>
      <c r="B606" s="136">
        <v>1206006</v>
      </c>
      <c r="C606" s="128" t="s">
        <v>567</v>
      </c>
      <c r="D606" s="128" t="s">
        <v>741</v>
      </c>
      <c r="E606" s="147" t="s">
        <v>38</v>
      </c>
      <c r="F606" s="129" t="s">
        <v>742</v>
      </c>
      <c r="G606" s="147"/>
      <c r="H606" s="189">
        <f t="shared" si="9"/>
        <v>0</v>
      </c>
      <c r="I606" s="134"/>
      <c r="J606" s="150"/>
      <c r="K606" s="147">
        <v>11</v>
      </c>
      <c r="L606" s="147">
        <v>1</v>
      </c>
      <c r="M606" s="147">
        <v>12</v>
      </c>
      <c r="N606" s="275"/>
      <c r="O606" s="194"/>
      <c r="P606" s="179"/>
      <c r="Q606" s="173"/>
      <c r="R606" s="271"/>
      <c r="S606" s="167"/>
      <c r="T606" s="129"/>
      <c r="U606" s="147" t="s">
        <v>37</v>
      </c>
      <c r="V606" s="129"/>
      <c r="W606" s="147" t="s">
        <v>2209</v>
      </c>
      <c r="X606" s="205"/>
      <c r="Y606" s="251"/>
      <c r="Z606" s="155"/>
      <c r="AA606" s="230"/>
    </row>
    <row r="607" spans="1:27" s="181" customFormat="1" ht="24" hidden="1" x14ac:dyDescent="0.25">
      <c r="A607" s="131">
        <v>1</v>
      </c>
      <c r="B607" s="136">
        <v>1206007</v>
      </c>
      <c r="C607" s="128" t="s">
        <v>567</v>
      </c>
      <c r="D607" s="128" t="s">
        <v>1555</v>
      </c>
      <c r="E607" s="147" t="s">
        <v>38</v>
      </c>
      <c r="F607" s="129" t="s">
        <v>577</v>
      </c>
      <c r="G607" s="147" t="s">
        <v>623</v>
      </c>
      <c r="H607" s="189">
        <f t="shared" si="9"/>
        <v>199.8</v>
      </c>
      <c r="I607" s="134"/>
      <c r="J607" s="150"/>
      <c r="K607" s="147"/>
      <c r="L607" s="147"/>
      <c r="M607" s="147">
        <v>14</v>
      </c>
      <c r="N607" s="275">
        <v>10</v>
      </c>
      <c r="O607" s="194"/>
      <c r="P607" s="179"/>
      <c r="Q607" s="173">
        <v>199.8</v>
      </c>
      <c r="R607" s="271">
        <v>0</v>
      </c>
      <c r="S607" s="167"/>
      <c r="T607" s="129" t="s">
        <v>284</v>
      </c>
      <c r="U607" s="147" t="s">
        <v>37</v>
      </c>
      <c r="V607" s="129"/>
      <c r="W607" s="176" t="s">
        <v>54</v>
      </c>
      <c r="X607" s="205"/>
      <c r="Y607" s="251"/>
      <c r="Z607" s="155"/>
      <c r="AA607" s="230"/>
    </row>
    <row r="608" spans="1:27" x14ac:dyDescent="0.25">
      <c r="A608" s="131">
        <v>1</v>
      </c>
      <c r="B608" s="136">
        <v>1206008</v>
      </c>
      <c r="C608" s="128" t="s">
        <v>567</v>
      </c>
      <c r="D608" s="128" t="s">
        <v>1614</v>
      </c>
      <c r="E608" s="147" t="s">
        <v>38</v>
      </c>
      <c r="F608" s="129" t="s">
        <v>1612</v>
      </c>
      <c r="G608" s="147" t="s">
        <v>607</v>
      </c>
      <c r="H608" s="189">
        <f t="shared" si="9"/>
        <v>325</v>
      </c>
      <c r="I608" s="134" t="s">
        <v>2082</v>
      </c>
      <c r="J608" s="146">
        <v>0</v>
      </c>
      <c r="K608" s="147">
        <v>1</v>
      </c>
      <c r="L608" s="147">
        <v>1</v>
      </c>
      <c r="M608" s="147">
        <v>2</v>
      </c>
      <c r="N608" s="275">
        <v>3</v>
      </c>
      <c r="O608" s="194"/>
      <c r="P608" s="179">
        <v>46148</v>
      </c>
      <c r="Q608" s="173">
        <v>250</v>
      </c>
      <c r="R608" s="271">
        <f>40+35</f>
        <v>75</v>
      </c>
      <c r="S608" s="167"/>
      <c r="T608" s="129" t="s">
        <v>36</v>
      </c>
      <c r="U608" s="147" t="s">
        <v>37</v>
      </c>
      <c r="V608" s="129"/>
      <c r="W608" s="147" t="s">
        <v>2208</v>
      </c>
      <c r="X608" s="205"/>
      <c r="Y608" s="251"/>
      <c r="Z608" s="155"/>
      <c r="AA608" s="230"/>
    </row>
    <row r="609" spans="1:27" ht="24" x14ac:dyDescent="0.25">
      <c r="A609" s="131">
        <v>1</v>
      </c>
      <c r="B609" s="136">
        <v>1206020</v>
      </c>
      <c r="C609" s="127" t="s">
        <v>567</v>
      </c>
      <c r="D609" s="128" t="s">
        <v>744</v>
      </c>
      <c r="E609" s="147" t="s">
        <v>38</v>
      </c>
      <c r="F609" s="129" t="s">
        <v>684</v>
      </c>
      <c r="G609" s="147" t="s">
        <v>878</v>
      </c>
      <c r="H609" s="189">
        <f t="shared" si="9"/>
        <v>1606.05</v>
      </c>
      <c r="I609" s="210" t="s">
        <v>2082</v>
      </c>
      <c r="J609" s="146">
        <v>0</v>
      </c>
      <c r="K609" s="147">
        <v>9</v>
      </c>
      <c r="L609" s="147">
        <v>1</v>
      </c>
      <c r="M609" s="147">
        <v>10</v>
      </c>
      <c r="N609" s="275">
        <v>1</v>
      </c>
      <c r="O609" s="193"/>
      <c r="P609" s="179"/>
      <c r="Q609" s="173">
        <v>1606</v>
      </c>
      <c r="R609" s="271">
        <v>0.05</v>
      </c>
      <c r="S609" s="164"/>
      <c r="T609" s="129" t="s">
        <v>36</v>
      </c>
      <c r="U609" s="147" t="s">
        <v>37</v>
      </c>
      <c r="V609" s="129"/>
      <c r="W609" s="147" t="s">
        <v>2208</v>
      </c>
      <c r="X609" s="205" t="s">
        <v>1919</v>
      </c>
      <c r="Y609" s="251"/>
      <c r="Z609" s="290"/>
      <c r="AA609" s="286"/>
    </row>
    <row r="610" spans="1:27" ht="24" hidden="1" x14ac:dyDescent="0.25">
      <c r="A610" s="131">
        <v>1</v>
      </c>
      <c r="B610" s="136">
        <v>1206021</v>
      </c>
      <c r="C610" s="127" t="s">
        <v>567</v>
      </c>
      <c r="D610" s="128" t="s">
        <v>745</v>
      </c>
      <c r="E610" s="147" t="s">
        <v>38</v>
      </c>
      <c r="F610" s="138" t="s">
        <v>57</v>
      </c>
      <c r="G610" s="147" t="s">
        <v>607</v>
      </c>
      <c r="H610" s="189">
        <f t="shared" si="9"/>
        <v>0</v>
      </c>
      <c r="I610" s="213"/>
      <c r="J610" s="149"/>
      <c r="K610" s="147">
        <v>12</v>
      </c>
      <c r="L610" s="147">
        <v>1</v>
      </c>
      <c r="M610" s="147">
        <v>13</v>
      </c>
      <c r="N610" s="275"/>
      <c r="O610" s="194"/>
      <c r="P610" s="179"/>
      <c r="Q610" s="173"/>
      <c r="R610" s="260">
        <v>0</v>
      </c>
      <c r="S610" s="167"/>
      <c r="T610" s="138" t="s">
        <v>57</v>
      </c>
      <c r="U610" s="147" t="s">
        <v>37</v>
      </c>
      <c r="V610" s="129"/>
      <c r="W610" s="162" t="s">
        <v>54</v>
      </c>
      <c r="X610" s="205"/>
      <c r="Y610" s="251"/>
      <c r="Z610" s="155"/>
      <c r="AA610" s="230"/>
    </row>
    <row r="611" spans="1:27" hidden="1" x14ac:dyDescent="0.25">
      <c r="A611" s="131">
        <v>1</v>
      </c>
      <c r="B611" s="136">
        <v>1206022</v>
      </c>
      <c r="C611" s="127"/>
      <c r="D611" s="128" t="s">
        <v>747</v>
      </c>
      <c r="E611" s="147" t="s">
        <v>38</v>
      </c>
      <c r="F611" s="129" t="s">
        <v>648</v>
      </c>
      <c r="G611" s="147" t="s">
        <v>618</v>
      </c>
      <c r="H611" s="189">
        <f t="shared" si="9"/>
        <v>0</v>
      </c>
      <c r="I611" s="134"/>
      <c r="J611" s="150"/>
      <c r="K611" s="147"/>
      <c r="L611" s="147"/>
      <c r="M611" s="147">
        <v>2</v>
      </c>
      <c r="N611" s="275"/>
      <c r="O611" s="194"/>
      <c r="P611" s="179"/>
      <c r="Q611" s="173"/>
      <c r="R611" s="271"/>
      <c r="S611" s="167"/>
      <c r="T611" s="129"/>
      <c r="U611" s="147" t="s">
        <v>37</v>
      </c>
      <c r="V611" s="129"/>
      <c r="W611" s="147" t="s">
        <v>2209</v>
      </c>
      <c r="X611" s="205"/>
      <c r="Y611" s="251"/>
      <c r="Z611" s="155"/>
      <c r="AA611" s="230"/>
    </row>
    <row r="612" spans="1:27" s="181" customFormat="1" ht="24" hidden="1" x14ac:dyDescent="0.25">
      <c r="A612" s="131">
        <v>1</v>
      </c>
      <c r="B612" s="136">
        <v>1207001</v>
      </c>
      <c r="C612" s="128" t="s">
        <v>657</v>
      </c>
      <c r="D612" s="128" t="s">
        <v>748</v>
      </c>
      <c r="E612" s="147" t="s">
        <v>38</v>
      </c>
      <c r="F612" s="129" t="s">
        <v>750</v>
      </c>
      <c r="G612" s="147" t="s">
        <v>34</v>
      </c>
      <c r="H612" s="189">
        <f t="shared" si="9"/>
        <v>16.05</v>
      </c>
      <c r="I612" s="213"/>
      <c r="J612" s="149"/>
      <c r="K612" s="147"/>
      <c r="L612" s="147"/>
      <c r="M612" s="147">
        <v>4</v>
      </c>
      <c r="N612" s="275">
        <v>55</v>
      </c>
      <c r="O612" s="194"/>
      <c r="P612" s="179"/>
      <c r="Q612" s="173">
        <v>16</v>
      </c>
      <c r="R612" s="271">
        <v>0.05</v>
      </c>
      <c r="S612" s="167"/>
      <c r="T612" s="129" t="s">
        <v>64</v>
      </c>
      <c r="U612" s="147" t="s">
        <v>37</v>
      </c>
      <c r="V612" s="129"/>
      <c r="W612" s="162" t="s">
        <v>54</v>
      </c>
      <c r="X612" s="205"/>
      <c r="Y612" s="251"/>
      <c r="Z612" s="155"/>
      <c r="AA612" s="230"/>
    </row>
    <row r="613" spans="1:27" s="181" customFormat="1" ht="24" hidden="1" x14ac:dyDescent="0.25">
      <c r="A613" s="131">
        <v>1</v>
      </c>
      <c r="B613" s="136">
        <v>1207002</v>
      </c>
      <c r="C613" s="128" t="s">
        <v>657</v>
      </c>
      <c r="D613" s="128" t="s">
        <v>751</v>
      </c>
      <c r="E613" s="147" t="s">
        <v>38</v>
      </c>
      <c r="F613" s="129" t="s">
        <v>750</v>
      </c>
      <c r="G613" s="147" t="s">
        <v>34</v>
      </c>
      <c r="H613" s="189">
        <f t="shared" si="9"/>
        <v>16.05</v>
      </c>
      <c r="I613" s="213"/>
      <c r="J613" s="149"/>
      <c r="K613" s="147"/>
      <c r="L613" s="147"/>
      <c r="M613" s="147">
        <v>4</v>
      </c>
      <c r="N613" s="275">
        <v>55</v>
      </c>
      <c r="O613" s="194"/>
      <c r="P613" s="179"/>
      <c r="Q613" s="173">
        <v>16</v>
      </c>
      <c r="R613" s="271">
        <v>0.05</v>
      </c>
      <c r="S613" s="167"/>
      <c r="T613" s="129" t="s">
        <v>64</v>
      </c>
      <c r="U613" s="147" t="s">
        <v>37</v>
      </c>
      <c r="V613" s="129"/>
      <c r="W613" s="162" t="s">
        <v>54</v>
      </c>
      <c r="X613" s="205"/>
      <c r="Y613" s="251"/>
      <c r="Z613" s="155"/>
      <c r="AA613" s="230"/>
    </row>
    <row r="614" spans="1:27" s="181" customFormat="1" ht="24" hidden="1" x14ac:dyDescent="0.25">
      <c r="A614" s="131">
        <v>1</v>
      </c>
      <c r="B614" s="136">
        <v>1207003</v>
      </c>
      <c r="C614" s="128" t="s">
        <v>657</v>
      </c>
      <c r="D614" s="128" t="s">
        <v>752</v>
      </c>
      <c r="E614" s="147" t="s">
        <v>38</v>
      </c>
      <c r="F614" s="129" t="s">
        <v>750</v>
      </c>
      <c r="G614" s="147" t="s">
        <v>34</v>
      </c>
      <c r="H614" s="189">
        <f t="shared" si="9"/>
        <v>16.05</v>
      </c>
      <c r="I614" s="213"/>
      <c r="J614" s="149"/>
      <c r="K614" s="147"/>
      <c r="L614" s="147"/>
      <c r="M614" s="147">
        <v>4</v>
      </c>
      <c r="N614" s="275">
        <v>55</v>
      </c>
      <c r="O614" s="194"/>
      <c r="P614" s="179"/>
      <c r="Q614" s="173">
        <v>16</v>
      </c>
      <c r="R614" s="271">
        <v>0.05</v>
      </c>
      <c r="S614" s="167"/>
      <c r="T614" s="129" t="s">
        <v>64</v>
      </c>
      <c r="U614" s="147" t="s">
        <v>37</v>
      </c>
      <c r="V614" s="129"/>
      <c r="W614" s="162" t="s">
        <v>54</v>
      </c>
      <c r="X614" s="205"/>
      <c r="Y614" s="251"/>
      <c r="Z614" s="155"/>
      <c r="AA614" s="230"/>
    </row>
    <row r="615" spans="1:27" s="181" customFormat="1" ht="24" hidden="1" x14ac:dyDescent="0.25">
      <c r="A615" s="131">
        <v>1</v>
      </c>
      <c r="B615" s="136">
        <v>1207004</v>
      </c>
      <c r="C615" s="128" t="s">
        <v>657</v>
      </c>
      <c r="D615" s="128" t="s">
        <v>753</v>
      </c>
      <c r="E615" s="147" t="s">
        <v>38</v>
      </c>
      <c r="F615" s="129" t="s">
        <v>750</v>
      </c>
      <c r="G615" s="147" t="s">
        <v>34</v>
      </c>
      <c r="H615" s="189">
        <f t="shared" si="9"/>
        <v>16.05</v>
      </c>
      <c r="I615" s="213"/>
      <c r="J615" s="149"/>
      <c r="K615" s="147"/>
      <c r="L615" s="147"/>
      <c r="M615" s="147">
        <v>4</v>
      </c>
      <c r="N615" s="275">
        <v>55</v>
      </c>
      <c r="O615" s="194"/>
      <c r="P615" s="179"/>
      <c r="Q615" s="173">
        <v>16</v>
      </c>
      <c r="R615" s="271">
        <v>0.05</v>
      </c>
      <c r="S615" s="167"/>
      <c r="T615" s="129" t="s">
        <v>64</v>
      </c>
      <c r="U615" s="147" t="s">
        <v>37</v>
      </c>
      <c r="V615" s="129"/>
      <c r="W615" s="162" t="s">
        <v>54</v>
      </c>
      <c r="X615" s="205"/>
      <c r="Y615" s="251"/>
      <c r="Z615" s="155"/>
      <c r="AA615" s="230"/>
    </row>
    <row r="616" spans="1:27" ht="24" hidden="1" x14ac:dyDescent="0.25">
      <c r="A616" s="131">
        <v>1</v>
      </c>
      <c r="B616" s="136">
        <v>1207005</v>
      </c>
      <c r="C616" s="128" t="s">
        <v>657</v>
      </c>
      <c r="D616" s="128" t="s">
        <v>754</v>
      </c>
      <c r="E616" s="147" t="s">
        <v>38</v>
      </c>
      <c r="F616" s="129" t="s">
        <v>750</v>
      </c>
      <c r="G616" s="147" t="s">
        <v>34</v>
      </c>
      <c r="H616" s="189">
        <f t="shared" si="9"/>
        <v>16.05</v>
      </c>
      <c r="I616" s="213"/>
      <c r="J616" s="149"/>
      <c r="K616" s="147"/>
      <c r="L616" s="147"/>
      <c r="M616" s="147">
        <v>4</v>
      </c>
      <c r="N616" s="275">
        <v>55</v>
      </c>
      <c r="O616" s="194"/>
      <c r="P616" s="179"/>
      <c r="Q616" s="173">
        <v>16</v>
      </c>
      <c r="R616" s="271">
        <v>0.05</v>
      </c>
      <c r="S616" s="167"/>
      <c r="T616" s="129" t="s">
        <v>64</v>
      </c>
      <c r="U616" s="147" t="s">
        <v>37</v>
      </c>
      <c r="V616" s="129"/>
      <c r="W616" s="162" t="s">
        <v>54</v>
      </c>
      <c r="X616" s="205"/>
      <c r="Y616" s="251"/>
      <c r="Z616" s="155"/>
      <c r="AA616" s="230"/>
    </row>
    <row r="617" spans="1:27" ht="36" hidden="1" x14ac:dyDescent="0.25">
      <c r="A617" s="131">
        <v>1</v>
      </c>
      <c r="B617" s="136">
        <v>1207006</v>
      </c>
      <c r="C617" s="128" t="s">
        <v>657</v>
      </c>
      <c r="D617" s="128" t="s">
        <v>755</v>
      </c>
      <c r="E617" s="147" t="s">
        <v>38</v>
      </c>
      <c r="F617" s="129" t="s">
        <v>1859</v>
      </c>
      <c r="G617" s="147" t="s">
        <v>34</v>
      </c>
      <c r="H617" s="189">
        <f t="shared" si="9"/>
        <v>22</v>
      </c>
      <c r="I617" s="210" t="s">
        <v>2229</v>
      </c>
      <c r="J617" s="148">
        <v>30</v>
      </c>
      <c r="K617" s="147">
        <v>5</v>
      </c>
      <c r="L617" s="147">
        <v>1</v>
      </c>
      <c r="M617" s="147">
        <v>6</v>
      </c>
      <c r="N617" s="275">
        <v>50</v>
      </c>
      <c r="O617" s="194"/>
      <c r="P617" s="179"/>
      <c r="Q617" s="173">
        <v>16</v>
      </c>
      <c r="R617" s="271">
        <f t="shared" ref="R617:R622" si="10">300/N617</f>
        <v>6</v>
      </c>
      <c r="S617" s="167"/>
      <c r="T617" s="129" t="s">
        <v>64</v>
      </c>
      <c r="U617" s="147" t="s">
        <v>37</v>
      </c>
      <c r="V617" s="129"/>
      <c r="W617" s="162" t="s">
        <v>54</v>
      </c>
      <c r="X617" s="205"/>
      <c r="Y617" s="251"/>
      <c r="Z617" s="290"/>
      <c r="AA617" s="286"/>
    </row>
    <row r="618" spans="1:27" ht="36" hidden="1" x14ac:dyDescent="0.25">
      <c r="A618" s="131">
        <v>1</v>
      </c>
      <c r="B618" s="136">
        <v>1207007</v>
      </c>
      <c r="C618" s="128" t="s">
        <v>657</v>
      </c>
      <c r="D618" s="128" t="s">
        <v>761</v>
      </c>
      <c r="E618" s="147" t="s">
        <v>38</v>
      </c>
      <c r="F618" s="129" t="s">
        <v>1859</v>
      </c>
      <c r="G618" s="147" t="s">
        <v>34</v>
      </c>
      <c r="H618" s="189">
        <f t="shared" si="9"/>
        <v>22</v>
      </c>
      <c r="I618" s="210" t="s">
        <v>2229</v>
      </c>
      <c r="J618" s="148">
        <v>30</v>
      </c>
      <c r="K618" s="147">
        <v>5</v>
      </c>
      <c r="L618" s="147">
        <v>1</v>
      </c>
      <c r="M618" s="147">
        <v>6</v>
      </c>
      <c r="N618" s="275">
        <v>50</v>
      </c>
      <c r="O618" s="194"/>
      <c r="P618" s="179"/>
      <c r="Q618" s="173">
        <v>16</v>
      </c>
      <c r="R618" s="271">
        <f t="shared" si="10"/>
        <v>6</v>
      </c>
      <c r="S618" s="167"/>
      <c r="T618" s="129" t="s">
        <v>64</v>
      </c>
      <c r="U618" s="147" t="s">
        <v>37</v>
      </c>
      <c r="V618" s="129"/>
      <c r="W618" s="162" t="s">
        <v>54</v>
      </c>
      <c r="X618" s="205"/>
      <c r="Y618" s="251"/>
      <c r="Z618" s="290"/>
      <c r="AA618" s="286"/>
    </row>
    <row r="619" spans="1:27" ht="36" hidden="1" x14ac:dyDescent="0.25">
      <c r="A619" s="131">
        <v>1</v>
      </c>
      <c r="B619" s="136">
        <v>1207008</v>
      </c>
      <c r="C619" s="128" t="s">
        <v>657</v>
      </c>
      <c r="D619" s="128" t="s">
        <v>762</v>
      </c>
      <c r="E619" s="147" t="s">
        <v>38</v>
      </c>
      <c r="F619" s="129" t="s">
        <v>1859</v>
      </c>
      <c r="G619" s="147" t="s">
        <v>34</v>
      </c>
      <c r="H619" s="189">
        <f t="shared" si="9"/>
        <v>22</v>
      </c>
      <c r="I619" s="210" t="s">
        <v>2229</v>
      </c>
      <c r="J619" s="148">
        <v>30</v>
      </c>
      <c r="K619" s="147">
        <v>5</v>
      </c>
      <c r="L619" s="147">
        <v>1</v>
      </c>
      <c r="M619" s="147">
        <v>6</v>
      </c>
      <c r="N619" s="275">
        <v>50</v>
      </c>
      <c r="O619" s="194"/>
      <c r="P619" s="179"/>
      <c r="Q619" s="173">
        <v>16</v>
      </c>
      <c r="R619" s="271">
        <f t="shared" si="10"/>
        <v>6</v>
      </c>
      <c r="S619" s="167"/>
      <c r="T619" s="129" t="s">
        <v>64</v>
      </c>
      <c r="U619" s="147" t="s">
        <v>37</v>
      </c>
      <c r="V619" s="129"/>
      <c r="W619" s="162" t="s">
        <v>54</v>
      </c>
      <c r="X619" s="205"/>
      <c r="Y619" s="251"/>
      <c r="Z619" s="290"/>
      <c r="AA619" s="286"/>
    </row>
    <row r="620" spans="1:27" ht="36" hidden="1" x14ac:dyDescent="0.25">
      <c r="A620" s="131">
        <v>1</v>
      </c>
      <c r="B620" s="136">
        <v>1207009</v>
      </c>
      <c r="C620" s="128" t="s">
        <v>657</v>
      </c>
      <c r="D620" s="128" t="s">
        <v>763</v>
      </c>
      <c r="E620" s="147" t="s">
        <v>38</v>
      </c>
      <c r="F620" s="129" t="s">
        <v>1859</v>
      </c>
      <c r="G620" s="147" t="s">
        <v>34</v>
      </c>
      <c r="H620" s="189">
        <f t="shared" si="9"/>
        <v>22</v>
      </c>
      <c r="I620" s="210" t="s">
        <v>2229</v>
      </c>
      <c r="J620" s="148">
        <v>30</v>
      </c>
      <c r="K620" s="147">
        <v>5</v>
      </c>
      <c r="L620" s="147">
        <v>1</v>
      </c>
      <c r="M620" s="147">
        <v>6</v>
      </c>
      <c r="N620" s="275">
        <v>50</v>
      </c>
      <c r="O620" s="194"/>
      <c r="P620" s="179"/>
      <c r="Q620" s="173">
        <v>16</v>
      </c>
      <c r="R620" s="271">
        <f t="shared" si="10"/>
        <v>6</v>
      </c>
      <c r="S620" s="167"/>
      <c r="T620" s="129" t="s">
        <v>64</v>
      </c>
      <c r="U620" s="147" t="s">
        <v>37</v>
      </c>
      <c r="V620" s="129"/>
      <c r="W620" s="162" t="s">
        <v>54</v>
      </c>
      <c r="X620" s="205"/>
      <c r="Y620" s="251"/>
      <c r="Z620" s="290"/>
      <c r="AA620" s="286"/>
    </row>
    <row r="621" spans="1:27" ht="36" hidden="1" x14ac:dyDescent="0.25">
      <c r="A621" s="131">
        <v>1</v>
      </c>
      <c r="B621" s="136">
        <v>1207010</v>
      </c>
      <c r="C621" s="128" t="s">
        <v>657</v>
      </c>
      <c r="D621" s="128" t="s">
        <v>764</v>
      </c>
      <c r="E621" s="147" t="s">
        <v>38</v>
      </c>
      <c r="F621" s="129" t="s">
        <v>1859</v>
      </c>
      <c r="G621" s="147" t="s">
        <v>34</v>
      </c>
      <c r="H621" s="189">
        <f t="shared" si="9"/>
        <v>22</v>
      </c>
      <c r="I621" s="210" t="s">
        <v>2229</v>
      </c>
      <c r="J621" s="148">
        <v>30</v>
      </c>
      <c r="K621" s="147">
        <v>5</v>
      </c>
      <c r="L621" s="147">
        <v>1</v>
      </c>
      <c r="M621" s="147">
        <v>6</v>
      </c>
      <c r="N621" s="275">
        <v>50</v>
      </c>
      <c r="O621" s="194"/>
      <c r="P621" s="179"/>
      <c r="Q621" s="173">
        <v>16</v>
      </c>
      <c r="R621" s="271">
        <f t="shared" si="10"/>
        <v>6</v>
      </c>
      <c r="S621" s="167"/>
      <c r="T621" s="129" t="s">
        <v>64</v>
      </c>
      <c r="U621" s="147" t="s">
        <v>37</v>
      </c>
      <c r="V621" s="129"/>
      <c r="W621" s="162" t="s">
        <v>54</v>
      </c>
      <c r="X621" s="205"/>
      <c r="Y621" s="251"/>
      <c r="Z621" s="290"/>
      <c r="AA621" s="286"/>
    </row>
    <row r="622" spans="1:27" ht="36" hidden="1" x14ac:dyDescent="0.25">
      <c r="A622" s="131">
        <v>1</v>
      </c>
      <c r="B622" s="136">
        <v>1207011</v>
      </c>
      <c r="C622" s="128" t="s">
        <v>657</v>
      </c>
      <c r="D622" s="128" t="s">
        <v>765</v>
      </c>
      <c r="E622" s="147" t="s">
        <v>38</v>
      </c>
      <c r="F622" s="129" t="s">
        <v>1859</v>
      </c>
      <c r="G622" s="147" t="s">
        <v>34</v>
      </c>
      <c r="H622" s="189">
        <f t="shared" si="9"/>
        <v>22</v>
      </c>
      <c r="I622" s="210" t="s">
        <v>2229</v>
      </c>
      <c r="J622" s="148">
        <v>30</v>
      </c>
      <c r="K622" s="147">
        <v>5</v>
      </c>
      <c r="L622" s="147">
        <v>1</v>
      </c>
      <c r="M622" s="147">
        <v>6</v>
      </c>
      <c r="N622" s="275">
        <v>50</v>
      </c>
      <c r="O622" s="194"/>
      <c r="P622" s="179"/>
      <c r="Q622" s="173">
        <v>16</v>
      </c>
      <c r="R622" s="271">
        <f t="shared" si="10"/>
        <v>6</v>
      </c>
      <c r="S622" s="167"/>
      <c r="T622" s="129" t="s">
        <v>64</v>
      </c>
      <c r="U622" s="147" t="s">
        <v>37</v>
      </c>
      <c r="V622" s="129"/>
      <c r="W622" s="162" t="s">
        <v>54</v>
      </c>
      <c r="X622" s="205"/>
      <c r="Y622" s="251"/>
      <c r="Z622" s="290"/>
      <c r="AA622" s="286"/>
    </row>
    <row r="623" spans="1:27" ht="24" hidden="1" x14ac:dyDescent="0.25">
      <c r="A623" s="131">
        <v>1</v>
      </c>
      <c r="B623" s="136">
        <v>1207012</v>
      </c>
      <c r="C623" s="128" t="s">
        <v>657</v>
      </c>
      <c r="D623" s="128" t="s">
        <v>766</v>
      </c>
      <c r="E623" s="147" t="s">
        <v>38</v>
      </c>
      <c r="F623" s="136" t="s">
        <v>1979</v>
      </c>
      <c r="G623" s="147" t="s">
        <v>34</v>
      </c>
      <c r="H623" s="189">
        <f t="shared" si="9"/>
        <v>16.05</v>
      </c>
      <c r="I623" s="210" t="s">
        <v>2223</v>
      </c>
      <c r="J623" s="149"/>
      <c r="K623" s="147">
        <v>11</v>
      </c>
      <c r="L623" s="147">
        <v>1</v>
      </c>
      <c r="M623" s="147">
        <v>12</v>
      </c>
      <c r="N623" s="275">
        <v>55</v>
      </c>
      <c r="O623" s="194"/>
      <c r="P623" s="179"/>
      <c r="Q623" s="173">
        <v>16</v>
      </c>
      <c r="R623" s="271">
        <v>0.05</v>
      </c>
      <c r="S623" s="167"/>
      <c r="T623" s="129" t="s">
        <v>292</v>
      </c>
      <c r="U623" s="147" t="s">
        <v>37</v>
      </c>
      <c r="V623" s="129"/>
      <c r="W623" s="162" t="s">
        <v>54</v>
      </c>
      <c r="X623" s="205"/>
      <c r="Y623" s="251"/>
      <c r="Z623" s="290"/>
      <c r="AA623" s="286"/>
    </row>
    <row r="624" spans="1:27" ht="24" hidden="1" x14ac:dyDescent="0.25">
      <c r="A624" s="131">
        <v>1</v>
      </c>
      <c r="B624" s="136">
        <v>1207013</v>
      </c>
      <c r="C624" s="128" t="s">
        <v>657</v>
      </c>
      <c r="D624" s="128" t="s">
        <v>767</v>
      </c>
      <c r="E624" s="147" t="s">
        <v>38</v>
      </c>
      <c r="F624" s="129" t="s">
        <v>1792</v>
      </c>
      <c r="G624" s="147" t="s">
        <v>34</v>
      </c>
      <c r="H624" s="189">
        <f t="shared" si="9"/>
        <v>7.62</v>
      </c>
      <c r="I624" s="210" t="s">
        <v>2223</v>
      </c>
      <c r="J624" s="146">
        <v>30</v>
      </c>
      <c r="K624" s="147">
        <v>7</v>
      </c>
      <c r="L624" s="147">
        <v>1</v>
      </c>
      <c r="M624" s="147">
        <v>8</v>
      </c>
      <c r="N624" s="275">
        <v>55</v>
      </c>
      <c r="O624" s="194"/>
      <c r="P624" s="179"/>
      <c r="Q624" s="173">
        <v>7.62</v>
      </c>
      <c r="R624" s="260">
        <v>0</v>
      </c>
      <c r="S624" s="164"/>
      <c r="T624" s="129" t="s">
        <v>36</v>
      </c>
      <c r="U624" s="147" t="s">
        <v>37</v>
      </c>
      <c r="V624" s="129"/>
      <c r="W624" s="147" t="s">
        <v>2209</v>
      </c>
      <c r="X624" s="205" t="s">
        <v>1904</v>
      </c>
      <c r="Y624" s="251"/>
      <c r="Z624" s="290"/>
      <c r="AA624" s="286"/>
    </row>
    <row r="625" spans="1:27" ht="36" hidden="1" x14ac:dyDescent="0.25">
      <c r="A625" s="131">
        <v>1</v>
      </c>
      <c r="B625" s="136">
        <v>1207014</v>
      </c>
      <c r="C625" s="128" t="s">
        <v>657</v>
      </c>
      <c r="D625" s="128" t="s">
        <v>772</v>
      </c>
      <c r="E625" s="147" t="s">
        <v>38</v>
      </c>
      <c r="F625" s="129" t="s">
        <v>1859</v>
      </c>
      <c r="G625" s="147" t="s">
        <v>34</v>
      </c>
      <c r="H625" s="189">
        <f t="shared" si="9"/>
        <v>22</v>
      </c>
      <c r="I625" s="210" t="s">
        <v>2229</v>
      </c>
      <c r="J625" s="148">
        <v>30</v>
      </c>
      <c r="K625" s="147">
        <v>5</v>
      </c>
      <c r="L625" s="147">
        <v>1</v>
      </c>
      <c r="M625" s="147">
        <v>6</v>
      </c>
      <c r="N625" s="275">
        <v>50</v>
      </c>
      <c r="O625" s="194"/>
      <c r="P625" s="179"/>
      <c r="Q625" s="173">
        <v>16</v>
      </c>
      <c r="R625" s="271">
        <f>300/N625</f>
        <v>6</v>
      </c>
      <c r="S625" s="167"/>
      <c r="T625" s="129" t="s">
        <v>64</v>
      </c>
      <c r="U625" s="147" t="s">
        <v>37</v>
      </c>
      <c r="V625" s="129"/>
      <c r="W625" s="162" t="s">
        <v>54</v>
      </c>
      <c r="X625" s="205"/>
      <c r="Y625" s="251"/>
      <c r="Z625" s="290"/>
      <c r="AA625" s="286"/>
    </row>
    <row r="626" spans="1:27" s="181" customFormat="1" ht="36" hidden="1" x14ac:dyDescent="0.25">
      <c r="A626" s="131">
        <v>1</v>
      </c>
      <c r="B626" s="136">
        <v>1207015</v>
      </c>
      <c r="C626" s="128" t="s">
        <v>657</v>
      </c>
      <c r="D626" s="128" t="s">
        <v>774</v>
      </c>
      <c r="E626" s="147" t="s">
        <v>38</v>
      </c>
      <c r="F626" s="129" t="s">
        <v>1859</v>
      </c>
      <c r="G626" s="147" t="s">
        <v>34</v>
      </c>
      <c r="H626" s="189">
        <f t="shared" si="9"/>
        <v>22</v>
      </c>
      <c r="I626" s="210" t="s">
        <v>2229</v>
      </c>
      <c r="J626" s="148">
        <v>30</v>
      </c>
      <c r="K626" s="147">
        <v>5</v>
      </c>
      <c r="L626" s="147">
        <v>1</v>
      </c>
      <c r="M626" s="147">
        <v>6</v>
      </c>
      <c r="N626" s="275">
        <v>50</v>
      </c>
      <c r="O626" s="194"/>
      <c r="P626" s="179"/>
      <c r="Q626" s="173">
        <v>16</v>
      </c>
      <c r="R626" s="271">
        <f>300/N626</f>
        <v>6</v>
      </c>
      <c r="S626" s="167"/>
      <c r="T626" s="129" t="s">
        <v>64</v>
      </c>
      <c r="U626" s="147" t="s">
        <v>37</v>
      </c>
      <c r="V626" s="129"/>
      <c r="W626" s="162" t="s">
        <v>54</v>
      </c>
      <c r="X626" s="205"/>
      <c r="Y626" s="251"/>
      <c r="Z626" s="290"/>
      <c r="AA626" s="286"/>
    </row>
    <row r="627" spans="1:27" s="181" customFormat="1" ht="36" hidden="1" x14ac:dyDescent="0.25">
      <c r="A627" s="131">
        <v>1</v>
      </c>
      <c r="B627" s="136">
        <v>1207016</v>
      </c>
      <c r="C627" s="128" t="s">
        <v>657</v>
      </c>
      <c r="D627" s="128" t="s">
        <v>775</v>
      </c>
      <c r="E627" s="147" t="s">
        <v>38</v>
      </c>
      <c r="F627" s="129" t="s">
        <v>1859</v>
      </c>
      <c r="G627" s="147" t="s">
        <v>34</v>
      </c>
      <c r="H627" s="189">
        <f t="shared" si="9"/>
        <v>22</v>
      </c>
      <c r="I627" s="210" t="s">
        <v>2229</v>
      </c>
      <c r="J627" s="148">
        <v>30</v>
      </c>
      <c r="K627" s="147">
        <v>5</v>
      </c>
      <c r="L627" s="147">
        <v>1</v>
      </c>
      <c r="M627" s="147">
        <v>6</v>
      </c>
      <c r="N627" s="275">
        <v>50</v>
      </c>
      <c r="O627" s="194"/>
      <c r="P627" s="179"/>
      <c r="Q627" s="173">
        <v>16</v>
      </c>
      <c r="R627" s="271">
        <f>300/N627</f>
        <v>6</v>
      </c>
      <c r="S627" s="167"/>
      <c r="T627" s="129" t="s">
        <v>64</v>
      </c>
      <c r="U627" s="147" t="s">
        <v>37</v>
      </c>
      <c r="V627" s="129"/>
      <c r="W627" s="162" t="s">
        <v>54</v>
      </c>
      <c r="X627" s="205"/>
      <c r="Y627" s="251"/>
      <c r="Z627" s="290"/>
      <c r="AA627" s="286"/>
    </row>
    <row r="628" spans="1:27" ht="36" hidden="1" x14ac:dyDescent="0.25">
      <c r="A628" s="131">
        <v>1</v>
      </c>
      <c r="B628" s="136">
        <v>1207017</v>
      </c>
      <c r="C628" s="128" t="s">
        <v>657</v>
      </c>
      <c r="D628" s="128" t="s">
        <v>777</v>
      </c>
      <c r="E628" s="147" t="s">
        <v>38</v>
      </c>
      <c r="F628" s="129" t="s">
        <v>1859</v>
      </c>
      <c r="G628" s="147" t="s">
        <v>34</v>
      </c>
      <c r="H628" s="189">
        <f t="shared" si="9"/>
        <v>22</v>
      </c>
      <c r="I628" s="210" t="s">
        <v>2229</v>
      </c>
      <c r="J628" s="148">
        <v>30</v>
      </c>
      <c r="K628" s="147">
        <v>5</v>
      </c>
      <c r="L628" s="147">
        <v>1</v>
      </c>
      <c r="M628" s="147">
        <v>6</v>
      </c>
      <c r="N628" s="275">
        <v>50</v>
      </c>
      <c r="O628" s="194"/>
      <c r="P628" s="179"/>
      <c r="Q628" s="173">
        <v>16</v>
      </c>
      <c r="R628" s="271">
        <f>300/N628</f>
        <v>6</v>
      </c>
      <c r="S628" s="167"/>
      <c r="T628" s="129" t="s">
        <v>64</v>
      </c>
      <c r="U628" s="147" t="s">
        <v>37</v>
      </c>
      <c r="V628" s="129"/>
      <c r="W628" s="162" t="s">
        <v>54</v>
      </c>
      <c r="X628" s="205"/>
      <c r="Y628" s="251"/>
      <c r="Z628" s="290"/>
      <c r="AA628" s="286"/>
    </row>
    <row r="629" spans="1:27" ht="24" hidden="1" x14ac:dyDescent="0.25">
      <c r="A629" s="131">
        <v>1</v>
      </c>
      <c r="B629" s="136">
        <v>1207018</v>
      </c>
      <c r="C629" s="128" t="s">
        <v>657</v>
      </c>
      <c r="D629" s="128" t="s">
        <v>778</v>
      </c>
      <c r="E629" s="147" t="s">
        <v>38</v>
      </c>
      <c r="F629" s="136" t="s">
        <v>1979</v>
      </c>
      <c r="G629" s="147" t="s">
        <v>34</v>
      </c>
      <c r="H629" s="189">
        <f t="shared" si="9"/>
        <v>16.05</v>
      </c>
      <c r="I629" s="210" t="s">
        <v>2223</v>
      </c>
      <c r="J629" s="150"/>
      <c r="K629" s="147"/>
      <c r="L629" s="147"/>
      <c r="M629" s="147">
        <v>10</v>
      </c>
      <c r="N629" s="275">
        <v>55</v>
      </c>
      <c r="O629" s="194"/>
      <c r="P629" s="179"/>
      <c r="Q629" s="173">
        <v>16</v>
      </c>
      <c r="R629" s="271">
        <v>0.05</v>
      </c>
      <c r="S629" s="164"/>
      <c r="T629" s="129" t="s">
        <v>36</v>
      </c>
      <c r="U629" s="147" t="s">
        <v>37</v>
      </c>
      <c r="V629" s="129"/>
      <c r="W629" s="147" t="s">
        <v>2209</v>
      </c>
      <c r="X629" s="205"/>
      <c r="Y629" s="251"/>
      <c r="Z629" s="290"/>
      <c r="AA629" s="286"/>
    </row>
    <row r="630" spans="1:27" ht="36" hidden="1" x14ac:dyDescent="0.25">
      <c r="A630" s="131">
        <v>1</v>
      </c>
      <c r="B630" s="136">
        <v>1207019</v>
      </c>
      <c r="C630" s="128" t="s">
        <v>657</v>
      </c>
      <c r="D630" s="128" t="s">
        <v>779</v>
      </c>
      <c r="E630" s="147" t="s">
        <v>38</v>
      </c>
      <c r="F630" s="129" t="s">
        <v>1859</v>
      </c>
      <c r="G630" s="147" t="s">
        <v>34</v>
      </c>
      <c r="H630" s="189">
        <f t="shared" si="9"/>
        <v>22</v>
      </c>
      <c r="I630" s="210" t="s">
        <v>2229</v>
      </c>
      <c r="J630" s="148">
        <v>30</v>
      </c>
      <c r="K630" s="147">
        <v>5</v>
      </c>
      <c r="L630" s="147">
        <v>1</v>
      </c>
      <c r="M630" s="147">
        <v>6</v>
      </c>
      <c r="N630" s="275">
        <v>50</v>
      </c>
      <c r="O630" s="194"/>
      <c r="P630" s="179"/>
      <c r="Q630" s="173">
        <v>16</v>
      </c>
      <c r="R630" s="271">
        <f>300/N630</f>
        <v>6</v>
      </c>
      <c r="S630" s="167"/>
      <c r="T630" s="129"/>
      <c r="U630" s="147" t="s">
        <v>37</v>
      </c>
      <c r="V630" s="129"/>
      <c r="W630" s="162" t="s">
        <v>54</v>
      </c>
      <c r="X630" s="205"/>
      <c r="Y630" s="251"/>
      <c r="Z630" s="290"/>
      <c r="AA630" s="286"/>
    </row>
    <row r="631" spans="1:27" ht="24" hidden="1" x14ac:dyDescent="0.25">
      <c r="A631" s="131">
        <v>1</v>
      </c>
      <c r="B631" s="136">
        <v>1207020</v>
      </c>
      <c r="C631" s="128" t="s">
        <v>657</v>
      </c>
      <c r="D631" s="128" t="s">
        <v>780</v>
      </c>
      <c r="E631" s="147" t="s">
        <v>38</v>
      </c>
      <c r="F631" s="129" t="s">
        <v>1792</v>
      </c>
      <c r="G631" s="147" t="s">
        <v>34</v>
      </c>
      <c r="H631" s="189">
        <f t="shared" si="9"/>
        <v>18.55</v>
      </c>
      <c r="I631" s="210" t="s">
        <v>2223</v>
      </c>
      <c r="J631" s="148">
        <v>30</v>
      </c>
      <c r="K631" s="147">
        <v>7</v>
      </c>
      <c r="L631" s="147">
        <v>1</v>
      </c>
      <c r="M631" s="147">
        <v>8</v>
      </c>
      <c r="N631" s="275"/>
      <c r="O631" s="194"/>
      <c r="P631" s="179"/>
      <c r="Q631" s="173">
        <v>18.5</v>
      </c>
      <c r="R631" s="271">
        <v>0.05</v>
      </c>
      <c r="S631" s="164"/>
      <c r="T631" s="129" t="s">
        <v>64</v>
      </c>
      <c r="U631" s="147" t="s">
        <v>37</v>
      </c>
      <c r="V631" s="129"/>
      <c r="W631" s="162" t="s">
        <v>54</v>
      </c>
      <c r="X631" s="205" t="s">
        <v>1904</v>
      </c>
      <c r="Y631" s="251"/>
      <c r="Z631" s="290"/>
      <c r="AA631" s="286"/>
    </row>
    <row r="632" spans="1:27" s="181" customFormat="1" ht="36" hidden="1" x14ac:dyDescent="0.25">
      <c r="A632" s="131">
        <v>1</v>
      </c>
      <c r="B632" s="136">
        <v>1207021</v>
      </c>
      <c r="C632" s="128" t="s">
        <v>657</v>
      </c>
      <c r="D632" s="128" t="s">
        <v>781</v>
      </c>
      <c r="E632" s="147" t="s">
        <v>38</v>
      </c>
      <c r="F632" s="129" t="s">
        <v>1859</v>
      </c>
      <c r="G632" s="147" t="s">
        <v>34</v>
      </c>
      <c r="H632" s="189">
        <f t="shared" si="9"/>
        <v>22</v>
      </c>
      <c r="I632" s="210" t="s">
        <v>2229</v>
      </c>
      <c r="J632" s="148">
        <v>30</v>
      </c>
      <c r="K632" s="147">
        <v>5</v>
      </c>
      <c r="L632" s="147">
        <v>1</v>
      </c>
      <c r="M632" s="147">
        <v>6</v>
      </c>
      <c r="N632" s="275">
        <v>50</v>
      </c>
      <c r="O632" s="194"/>
      <c r="P632" s="179"/>
      <c r="Q632" s="173">
        <v>16</v>
      </c>
      <c r="R632" s="271">
        <f>300/N632</f>
        <v>6</v>
      </c>
      <c r="S632" s="167"/>
      <c r="T632" s="129" t="s">
        <v>64</v>
      </c>
      <c r="U632" s="147" t="s">
        <v>37</v>
      </c>
      <c r="V632" s="129"/>
      <c r="W632" s="162" t="s">
        <v>54</v>
      </c>
      <c r="X632" s="205"/>
      <c r="Y632" s="251"/>
      <c r="Z632" s="290"/>
      <c r="AA632" s="286"/>
    </row>
    <row r="633" spans="1:27" s="181" customFormat="1" ht="36" hidden="1" x14ac:dyDescent="0.25">
      <c r="A633" s="131">
        <v>1</v>
      </c>
      <c r="B633" s="136">
        <v>1207022</v>
      </c>
      <c r="C633" s="129" t="s">
        <v>657</v>
      </c>
      <c r="D633" s="136" t="s">
        <v>782</v>
      </c>
      <c r="E633" s="147" t="s">
        <v>38</v>
      </c>
      <c r="F633" s="129" t="s">
        <v>1859</v>
      </c>
      <c r="G633" s="147" t="s">
        <v>34</v>
      </c>
      <c r="H633" s="189">
        <f t="shared" si="9"/>
        <v>22</v>
      </c>
      <c r="I633" s="210" t="s">
        <v>2229</v>
      </c>
      <c r="J633" s="148">
        <v>30</v>
      </c>
      <c r="K633" s="147">
        <v>5</v>
      </c>
      <c r="L633" s="147">
        <v>1</v>
      </c>
      <c r="M633" s="147">
        <v>6</v>
      </c>
      <c r="N633" s="275">
        <v>50</v>
      </c>
      <c r="O633" s="194"/>
      <c r="P633" s="179"/>
      <c r="Q633" s="173">
        <v>16</v>
      </c>
      <c r="R633" s="271">
        <f>300/N633</f>
        <v>6</v>
      </c>
      <c r="S633" s="167"/>
      <c r="T633" s="129" t="s">
        <v>206</v>
      </c>
      <c r="U633" s="147" t="s">
        <v>37</v>
      </c>
      <c r="V633" s="129"/>
      <c r="W633" s="162" t="s">
        <v>54</v>
      </c>
      <c r="X633" s="205"/>
      <c r="Y633" s="251"/>
      <c r="Z633" s="290"/>
      <c r="AA633" s="286"/>
    </row>
    <row r="634" spans="1:27" s="181" customFormat="1" ht="24" hidden="1" x14ac:dyDescent="0.25">
      <c r="A634" s="131">
        <v>1</v>
      </c>
      <c r="B634" s="136">
        <v>1207030</v>
      </c>
      <c r="C634" s="128" t="s">
        <v>657</v>
      </c>
      <c r="D634" s="128" t="s">
        <v>783</v>
      </c>
      <c r="E634" s="147" t="s">
        <v>38</v>
      </c>
      <c r="F634" s="129" t="s">
        <v>1792</v>
      </c>
      <c r="G634" s="147" t="s">
        <v>34</v>
      </c>
      <c r="H634" s="189">
        <f t="shared" si="9"/>
        <v>18.55</v>
      </c>
      <c r="I634" s="210" t="s">
        <v>2223</v>
      </c>
      <c r="J634" s="148">
        <v>30</v>
      </c>
      <c r="K634" s="147">
        <v>7</v>
      </c>
      <c r="L634" s="147">
        <v>1</v>
      </c>
      <c r="M634" s="147">
        <v>8</v>
      </c>
      <c r="N634" s="275"/>
      <c r="O634" s="194"/>
      <c r="P634" s="179"/>
      <c r="Q634" s="173">
        <v>18.5</v>
      </c>
      <c r="R634" s="271">
        <v>0.05</v>
      </c>
      <c r="S634" s="164"/>
      <c r="T634" s="129" t="s">
        <v>64</v>
      </c>
      <c r="U634" s="147" t="s">
        <v>37</v>
      </c>
      <c r="V634" s="129"/>
      <c r="W634" s="162" t="s">
        <v>54</v>
      </c>
      <c r="X634" s="205" t="s">
        <v>1904</v>
      </c>
      <c r="Y634" s="251"/>
      <c r="Z634" s="290"/>
      <c r="AA634" s="286"/>
    </row>
    <row r="635" spans="1:27" ht="24" hidden="1" x14ac:dyDescent="0.25">
      <c r="A635" s="131">
        <v>1</v>
      </c>
      <c r="B635" s="136">
        <v>1207031</v>
      </c>
      <c r="C635" s="128" t="s">
        <v>657</v>
      </c>
      <c r="D635" s="128" t="s">
        <v>784</v>
      </c>
      <c r="E635" s="147" t="s">
        <v>38</v>
      </c>
      <c r="F635" s="129" t="s">
        <v>785</v>
      </c>
      <c r="G635" s="147" t="s">
        <v>34</v>
      </c>
      <c r="H635" s="189">
        <f t="shared" si="9"/>
        <v>16.05</v>
      </c>
      <c r="I635" s="213"/>
      <c r="J635" s="149"/>
      <c r="K635" s="147"/>
      <c r="L635" s="147"/>
      <c r="M635" s="147">
        <v>4</v>
      </c>
      <c r="N635" s="275">
        <v>55</v>
      </c>
      <c r="O635" s="194"/>
      <c r="P635" s="179"/>
      <c r="Q635" s="173">
        <v>16</v>
      </c>
      <c r="R635" s="271">
        <v>0.05</v>
      </c>
      <c r="S635" s="167"/>
      <c r="T635" s="129" t="s">
        <v>64</v>
      </c>
      <c r="U635" s="147" t="s">
        <v>37</v>
      </c>
      <c r="V635" s="129"/>
      <c r="W635" s="162" t="s">
        <v>54</v>
      </c>
      <c r="X635" s="205"/>
      <c r="Y635" s="251"/>
      <c r="Z635" s="155"/>
      <c r="AA635" s="230"/>
    </row>
    <row r="636" spans="1:27" s="181" customFormat="1" ht="36" hidden="1" x14ac:dyDescent="0.25">
      <c r="A636" s="131">
        <v>1</v>
      </c>
      <c r="B636" s="136">
        <v>1207032</v>
      </c>
      <c r="C636" s="128" t="s">
        <v>657</v>
      </c>
      <c r="D636" s="128" t="s">
        <v>789</v>
      </c>
      <c r="E636" s="147" t="s">
        <v>38</v>
      </c>
      <c r="F636" s="129" t="s">
        <v>1859</v>
      </c>
      <c r="G636" s="147" t="s">
        <v>34</v>
      </c>
      <c r="H636" s="189">
        <f t="shared" si="9"/>
        <v>22</v>
      </c>
      <c r="I636" s="210" t="s">
        <v>2229</v>
      </c>
      <c r="J636" s="148">
        <v>30</v>
      </c>
      <c r="K636" s="147">
        <v>5</v>
      </c>
      <c r="L636" s="147">
        <v>1</v>
      </c>
      <c r="M636" s="147">
        <v>6</v>
      </c>
      <c r="N636" s="275">
        <v>50</v>
      </c>
      <c r="O636" s="194"/>
      <c r="P636" s="179"/>
      <c r="Q636" s="173">
        <v>16</v>
      </c>
      <c r="R636" s="271">
        <f>300/N636</f>
        <v>6</v>
      </c>
      <c r="S636" s="167"/>
      <c r="T636" s="129" t="s">
        <v>64</v>
      </c>
      <c r="U636" s="147" t="s">
        <v>37</v>
      </c>
      <c r="V636" s="129"/>
      <c r="W636" s="162" t="s">
        <v>54</v>
      </c>
      <c r="X636" s="205"/>
      <c r="Y636" s="251"/>
      <c r="Z636" s="290"/>
      <c r="AA636" s="286"/>
    </row>
    <row r="637" spans="1:27" s="181" customFormat="1" ht="36" hidden="1" x14ac:dyDescent="0.25">
      <c r="A637" s="131">
        <v>1</v>
      </c>
      <c r="B637" s="136">
        <v>1207033</v>
      </c>
      <c r="C637" s="128" t="s">
        <v>657</v>
      </c>
      <c r="D637" s="128" t="s">
        <v>790</v>
      </c>
      <c r="E637" s="147" t="s">
        <v>38</v>
      </c>
      <c r="F637" s="129" t="s">
        <v>1859</v>
      </c>
      <c r="G637" s="147" t="s">
        <v>34</v>
      </c>
      <c r="H637" s="189">
        <f t="shared" si="9"/>
        <v>22</v>
      </c>
      <c r="I637" s="210" t="s">
        <v>2229</v>
      </c>
      <c r="J637" s="148">
        <v>30</v>
      </c>
      <c r="K637" s="147">
        <v>5</v>
      </c>
      <c r="L637" s="147">
        <v>1</v>
      </c>
      <c r="M637" s="147">
        <v>6</v>
      </c>
      <c r="N637" s="275">
        <v>50</v>
      </c>
      <c r="O637" s="194"/>
      <c r="P637" s="179"/>
      <c r="Q637" s="173">
        <v>16</v>
      </c>
      <c r="R637" s="271">
        <f>300/N637</f>
        <v>6</v>
      </c>
      <c r="S637" s="167"/>
      <c r="T637" s="129" t="s">
        <v>64</v>
      </c>
      <c r="U637" s="147" t="s">
        <v>37</v>
      </c>
      <c r="V637" s="129"/>
      <c r="W637" s="162" t="s">
        <v>54</v>
      </c>
      <c r="X637" s="205"/>
      <c r="Y637" s="251"/>
      <c r="Z637" s="290"/>
      <c r="AA637" s="286"/>
    </row>
    <row r="638" spans="1:27" s="181" customFormat="1" ht="36" hidden="1" x14ac:dyDescent="0.25">
      <c r="A638" s="131">
        <v>1</v>
      </c>
      <c r="B638" s="136">
        <v>1207034</v>
      </c>
      <c r="C638" s="128" t="s">
        <v>657</v>
      </c>
      <c r="D638" s="128" t="s">
        <v>791</v>
      </c>
      <c r="E638" s="147" t="s">
        <v>38</v>
      </c>
      <c r="F638" s="129" t="s">
        <v>1859</v>
      </c>
      <c r="G638" s="147" t="s">
        <v>34</v>
      </c>
      <c r="H638" s="189">
        <f t="shared" si="9"/>
        <v>22</v>
      </c>
      <c r="I638" s="210" t="s">
        <v>2229</v>
      </c>
      <c r="J638" s="148">
        <v>30</v>
      </c>
      <c r="K638" s="147">
        <v>5</v>
      </c>
      <c r="L638" s="147">
        <v>1</v>
      </c>
      <c r="M638" s="147">
        <v>6</v>
      </c>
      <c r="N638" s="275">
        <v>50</v>
      </c>
      <c r="O638" s="194"/>
      <c r="P638" s="179"/>
      <c r="Q638" s="173">
        <v>16</v>
      </c>
      <c r="R638" s="271">
        <f>300/N638</f>
        <v>6</v>
      </c>
      <c r="S638" s="167"/>
      <c r="T638" s="129" t="s">
        <v>64</v>
      </c>
      <c r="U638" s="147" t="s">
        <v>37</v>
      </c>
      <c r="V638" s="129"/>
      <c r="W638" s="162" t="s">
        <v>54</v>
      </c>
      <c r="X638" s="205"/>
      <c r="Y638" s="251"/>
      <c r="Z638" s="290"/>
      <c r="AA638" s="286"/>
    </row>
    <row r="639" spans="1:27" s="181" customFormat="1" ht="36" hidden="1" x14ac:dyDescent="0.25">
      <c r="A639" s="131">
        <v>1</v>
      </c>
      <c r="B639" s="136">
        <v>1207035</v>
      </c>
      <c r="C639" s="128" t="s">
        <v>657</v>
      </c>
      <c r="D639" s="128" t="s">
        <v>792</v>
      </c>
      <c r="E639" s="147" t="s">
        <v>38</v>
      </c>
      <c r="F639" s="129" t="s">
        <v>1859</v>
      </c>
      <c r="G639" s="147" t="s">
        <v>34</v>
      </c>
      <c r="H639" s="189">
        <f t="shared" si="9"/>
        <v>22</v>
      </c>
      <c r="I639" s="210" t="s">
        <v>2229</v>
      </c>
      <c r="J639" s="148">
        <v>30</v>
      </c>
      <c r="K639" s="147">
        <v>5</v>
      </c>
      <c r="L639" s="147">
        <v>1</v>
      </c>
      <c r="M639" s="147">
        <v>6</v>
      </c>
      <c r="N639" s="275">
        <v>50</v>
      </c>
      <c r="O639" s="194"/>
      <c r="P639" s="179"/>
      <c r="Q639" s="173">
        <v>16</v>
      </c>
      <c r="R639" s="271">
        <f>300/N639</f>
        <v>6</v>
      </c>
      <c r="S639" s="167"/>
      <c r="T639" s="129" t="s">
        <v>64</v>
      </c>
      <c r="U639" s="147" t="s">
        <v>37</v>
      </c>
      <c r="V639" s="129"/>
      <c r="W639" s="162" t="s">
        <v>54</v>
      </c>
      <c r="X639" s="205"/>
      <c r="Y639" s="251"/>
      <c r="Z639" s="290"/>
      <c r="AA639" s="286"/>
    </row>
    <row r="640" spans="1:27" s="181" customFormat="1" hidden="1" x14ac:dyDescent="0.25">
      <c r="A640" s="131">
        <v>1</v>
      </c>
      <c r="B640" s="136">
        <v>1207036</v>
      </c>
      <c r="C640" s="128" t="s">
        <v>657</v>
      </c>
      <c r="D640" s="128" t="s">
        <v>793</v>
      </c>
      <c r="E640" s="147" t="s">
        <v>38</v>
      </c>
      <c r="F640" s="129" t="s">
        <v>794</v>
      </c>
      <c r="G640" s="147" t="s">
        <v>34</v>
      </c>
      <c r="H640" s="189">
        <f t="shared" si="9"/>
        <v>16.05</v>
      </c>
      <c r="I640" s="213"/>
      <c r="J640" s="149"/>
      <c r="K640" s="147"/>
      <c r="L640" s="147"/>
      <c r="M640" s="147">
        <v>5</v>
      </c>
      <c r="N640" s="275">
        <v>55</v>
      </c>
      <c r="O640" s="194"/>
      <c r="P640" s="179"/>
      <c r="Q640" s="173">
        <v>16</v>
      </c>
      <c r="R640" s="271">
        <v>0.05</v>
      </c>
      <c r="S640" s="167"/>
      <c r="T640" s="129" t="s">
        <v>64</v>
      </c>
      <c r="U640" s="147" t="s">
        <v>37</v>
      </c>
      <c r="V640" s="129"/>
      <c r="W640" s="162" t="s">
        <v>54</v>
      </c>
      <c r="X640" s="205"/>
      <c r="Y640" s="251"/>
      <c r="Z640" s="155"/>
      <c r="AA640" s="230"/>
    </row>
    <row r="641" spans="1:27" s="181" customFormat="1" hidden="1" x14ac:dyDescent="0.25">
      <c r="A641" s="131">
        <v>1</v>
      </c>
      <c r="B641" s="136">
        <v>1207037</v>
      </c>
      <c r="C641" s="128" t="s">
        <v>657</v>
      </c>
      <c r="D641" s="128" t="s">
        <v>795</v>
      </c>
      <c r="E641" s="147" t="s">
        <v>38</v>
      </c>
      <c r="F641" s="129" t="s">
        <v>794</v>
      </c>
      <c r="G641" s="147" t="s">
        <v>34</v>
      </c>
      <c r="H641" s="189">
        <f t="shared" si="9"/>
        <v>16.05</v>
      </c>
      <c r="I641" s="213"/>
      <c r="J641" s="149"/>
      <c r="K641" s="147"/>
      <c r="L641" s="147"/>
      <c r="M641" s="147">
        <v>5</v>
      </c>
      <c r="N641" s="275">
        <v>55</v>
      </c>
      <c r="O641" s="194"/>
      <c r="P641" s="179"/>
      <c r="Q641" s="173">
        <v>16</v>
      </c>
      <c r="R641" s="271">
        <v>0.05</v>
      </c>
      <c r="S641" s="167"/>
      <c r="T641" s="129" t="s">
        <v>64</v>
      </c>
      <c r="U641" s="147" t="s">
        <v>37</v>
      </c>
      <c r="V641" s="129"/>
      <c r="W641" s="162" t="s">
        <v>54</v>
      </c>
      <c r="X641" s="205"/>
      <c r="Y641" s="251"/>
      <c r="Z641" s="155"/>
      <c r="AA641" s="230"/>
    </row>
    <row r="642" spans="1:27" ht="24" hidden="1" x14ac:dyDescent="0.25">
      <c r="A642" s="131">
        <v>1</v>
      </c>
      <c r="B642" s="136">
        <v>1207038</v>
      </c>
      <c r="C642" s="128" t="s">
        <v>657</v>
      </c>
      <c r="D642" s="338" t="s">
        <v>796</v>
      </c>
      <c r="E642" s="147" t="s">
        <v>38</v>
      </c>
      <c r="F642" s="129" t="s">
        <v>797</v>
      </c>
      <c r="G642" s="147" t="s">
        <v>34</v>
      </c>
      <c r="H642" s="189">
        <f t="shared" si="9"/>
        <v>16.05</v>
      </c>
      <c r="I642" s="213"/>
      <c r="J642" s="149"/>
      <c r="K642" s="147"/>
      <c r="L642" s="147"/>
      <c r="M642" s="147">
        <v>4</v>
      </c>
      <c r="N642" s="275">
        <v>55</v>
      </c>
      <c r="O642" s="194"/>
      <c r="P642" s="179"/>
      <c r="Q642" s="173">
        <v>16</v>
      </c>
      <c r="R642" s="271">
        <v>0.05</v>
      </c>
      <c r="S642" s="167"/>
      <c r="T642" s="129"/>
      <c r="U642" s="147" t="s">
        <v>37</v>
      </c>
      <c r="V642" s="129"/>
      <c r="W642" s="162" t="s">
        <v>54</v>
      </c>
      <c r="X642" s="205"/>
      <c r="Y642" s="251"/>
      <c r="Z642" s="155"/>
      <c r="AA642" s="230"/>
    </row>
    <row r="643" spans="1:27" s="181" customFormat="1" ht="24" hidden="1" x14ac:dyDescent="0.25">
      <c r="A643" s="131">
        <v>1</v>
      </c>
      <c r="B643" s="136">
        <v>1207039</v>
      </c>
      <c r="C643" s="128" t="s">
        <v>657</v>
      </c>
      <c r="D643" s="136" t="s">
        <v>798</v>
      </c>
      <c r="E643" s="147" t="s">
        <v>38</v>
      </c>
      <c r="F643" s="129" t="s">
        <v>797</v>
      </c>
      <c r="G643" s="147" t="s">
        <v>34</v>
      </c>
      <c r="H643" s="189">
        <f t="shared" ref="H643:H706" si="11">Q643+R643</f>
        <v>16.05</v>
      </c>
      <c r="I643" s="213"/>
      <c r="J643" s="149"/>
      <c r="K643" s="147"/>
      <c r="L643" s="147"/>
      <c r="M643" s="147">
        <v>4</v>
      </c>
      <c r="N643" s="275">
        <v>55</v>
      </c>
      <c r="O643" s="194"/>
      <c r="P643" s="179"/>
      <c r="Q643" s="173">
        <v>16</v>
      </c>
      <c r="R643" s="271">
        <v>0.05</v>
      </c>
      <c r="S643" s="167"/>
      <c r="T643" s="129"/>
      <c r="U643" s="147" t="s">
        <v>37</v>
      </c>
      <c r="V643" s="129"/>
      <c r="W643" s="162" t="s">
        <v>54</v>
      </c>
      <c r="X643" s="205"/>
      <c r="Y643" s="251"/>
      <c r="Z643" s="155"/>
      <c r="AA643" s="230"/>
    </row>
    <row r="644" spans="1:27" s="181" customFormat="1" ht="24" hidden="1" x14ac:dyDescent="0.25">
      <c r="A644" s="131">
        <v>1</v>
      </c>
      <c r="B644" s="136">
        <v>1207040</v>
      </c>
      <c r="C644" s="128" t="s">
        <v>657</v>
      </c>
      <c r="D644" s="136" t="s">
        <v>799</v>
      </c>
      <c r="E644" s="147" t="s">
        <v>38</v>
      </c>
      <c r="F644" s="129" t="s">
        <v>1792</v>
      </c>
      <c r="G644" s="147" t="s">
        <v>34</v>
      </c>
      <c r="H644" s="189">
        <f t="shared" si="11"/>
        <v>18.55</v>
      </c>
      <c r="I644" s="210" t="s">
        <v>2223</v>
      </c>
      <c r="J644" s="148">
        <v>30</v>
      </c>
      <c r="K644" s="147">
        <v>7</v>
      </c>
      <c r="L644" s="147">
        <v>1</v>
      </c>
      <c r="M644" s="147">
        <v>8</v>
      </c>
      <c r="N644" s="275"/>
      <c r="O644" s="194"/>
      <c r="P644" s="179"/>
      <c r="Q644" s="173">
        <v>18.5</v>
      </c>
      <c r="R644" s="271">
        <v>0.05</v>
      </c>
      <c r="S644" s="164"/>
      <c r="T644" s="129" t="s">
        <v>64</v>
      </c>
      <c r="U644" s="147" t="s">
        <v>37</v>
      </c>
      <c r="V644" s="129"/>
      <c r="W644" s="162" t="s">
        <v>54</v>
      </c>
      <c r="X644" s="205" t="s">
        <v>1904</v>
      </c>
      <c r="Y644" s="251"/>
      <c r="Z644" s="290"/>
      <c r="AA644" s="286"/>
    </row>
    <row r="645" spans="1:27" ht="36" hidden="1" x14ac:dyDescent="0.25">
      <c r="A645" s="131">
        <v>1</v>
      </c>
      <c r="B645" s="136">
        <v>1207041</v>
      </c>
      <c r="C645" s="128" t="s">
        <v>657</v>
      </c>
      <c r="D645" s="136" t="s">
        <v>800</v>
      </c>
      <c r="E645" s="147" t="s">
        <v>38</v>
      </c>
      <c r="F645" s="129" t="s">
        <v>1859</v>
      </c>
      <c r="G645" s="147" t="s">
        <v>34</v>
      </c>
      <c r="H645" s="189">
        <f t="shared" si="11"/>
        <v>22</v>
      </c>
      <c r="I645" s="210" t="s">
        <v>2229</v>
      </c>
      <c r="J645" s="148">
        <v>30</v>
      </c>
      <c r="K645" s="147">
        <v>5</v>
      </c>
      <c r="L645" s="147">
        <v>1</v>
      </c>
      <c r="M645" s="147">
        <v>6</v>
      </c>
      <c r="N645" s="275">
        <v>50</v>
      </c>
      <c r="O645" s="194"/>
      <c r="P645" s="179"/>
      <c r="Q645" s="173">
        <v>16</v>
      </c>
      <c r="R645" s="271">
        <f>300/N645</f>
        <v>6</v>
      </c>
      <c r="S645" s="167"/>
      <c r="T645" s="129" t="s">
        <v>206</v>
      </c>
      <c r="U645" s="147" t="s">
        <v>37</v>
      </c>
      <c r="V645" s="129"/>
      <c r="W645" s="162" t="s">
        <v>54</v>
      </c>
      <c r="X645" s="205"/>
      <c r="Y645" s="251"/>
      <c r="Z645" s="290"/>
      <c r="AA645" s="286"/>
    </row>
    <row r="646" spans="1:27" s="181" customFormat="1" ht="24" hidden="1" x14ac:dyDescent="0.25">
      <c r="A646" s="131">
        <v>1</v>
      </c>
      <c r="B646" s="136">
        <v>1207042</v>
      </c>
      <c r="C646" s="128" t="s">
        <v>657</v>
      </c>
      <c r="D646" s="136" t="s">
        <v>801</v>
      </c>
      <c r="E646" s="147" t="s">
        <v>38</v>
      </c>
      <c r="F646" s="129" t="s">
        <v>1792</v>
      </c>
      <c r="G646" s="147" t="s">
        <v>34</v>
      </c>
      <c r="H646" s="189">
        <f t="shared" si="11"/>
        <v>21.92</v>
      </c>
      <c r="I646" s="210" t="s">
        <v>2223</v>
      </c>
      <c r="J646" s="146">
        <v>30</v>
      </c>
      <c r="K646" s="147">
        <v>7</v>
      </c>
      <c r="L646" s="147">
        <v>1</v>
      </c>
      <c r="M646" s="147">
        <v>8</v>
      </c>
      <c r="N646" s="275">
        <v>50</v>
      </c>
      <c r="O646" s="194"/>
      <c r="P646" s="179"/>
      <c r="Q646" s="173">
        <v>21.92</v>
      </c>
      <c r="R646" s="260">
        <v>0</v>
      </c>
      <c r="S646" s="164"/>
      <c r="T646" s="129" t="s">
        <v>36</v>
      </c>
      <c r="U646" s="147" t="s">
        <v>37</v>
      </c>
      <c r="V646" s="129"/>
      <c r="W646" s="147" t="s">
        <v>2209</v>
      </c>
      <c r="X646" s="205" t="s">
        <v>1904</v>
      </c>
      <c r="Y646" s="251"/>
      <c r="Z646" s="290"/>
      <c r="AA646" s="286"/>
    </row>
    <row r="647" spans="1:27" ht="24" hidden="1" x14ac:dyDescent="0.25">
      <c r="A647" s="131">
        <v>1</v>
      </c>
      <c r="B647" s="136">
        <v>1207043</v>
      </c>
      <c r="C647" s="128" t="s">
        <v>657</v>
      </c>
      <c r="D647" s="136" t="s">
        <v>802</v>
      </c>
      <c r="E647" s="147" t="s">
        <v>38</v>
      </c>
      <c r="F647" s="129" t="s">
        <v>1792</v>
      </c>
      <c r="G647" s="147" t="s">
        <v>34</v>
      </c>
      <c r="H647" s="189">
        <f t="shared" si="11"/>
        <v>21.92</v>
      </c>
      <c r="I647" s="210" t="s">
        <v>2223</v>
      </c>
      <c r="J647" s="146">
        <v>30</v>
      </c>
      <c r="K647" s="147">
        <v>7</v>
      </c>
      <c r="L647" s="147">
        <v>1</v>
      </c>
      <c r="M647" s="147">
        <v>8</v>
      </c>
      <c r="N647" s="275">
        <v>50</v>
      </c>
      <c r="O647" s="194"/>
      <c r="P647" s="179"/>
      <c r="Q647" s="173">
        <v>21.92</v>
      </c>
      <c r="R647" s="260">
        <v>0</v>
      </c>
      <c r="S647" s="164"/>
      <c r="T647" s="129" t="s">
        <v>36</v>
      </c>
      <c r="U647" s="147" t="s">
        <v>37</v>
      </c>
      <c r="V647" s="129"/>
      <c r="W647" s="147" t="s">
        <v>2209</v>
      </c>
      <c r="X647" s="205" t="s">
        <v>1904</v>
      </c>
      <c r="Y647" s="251"/>
      <c r="Z647" s="290"/>
      <c r="AA647" s="286"/>
    </row>
    <row r="648" spans="1:27" ht="24" hidden="1" x14ac:dyDescent="0.25">
      <c r="A648" s="131">
        <v>1</v>
      </c>
      <c r="B648" s="136">
        <v>1207044</v>
      </c>
      <c r="C648" s="128" t="s">
        <v>657</v>
      </c>
      <c r="D648" s="136" t="s">
        <v>803</v>
      </c>
      <c r="E648" s="147" t="s">
        <v>38</v>
      </c>
      <c r="F648" s="129" t="s">
        <v>1792</v>
      </c>
      <c r="G648" s="147" t="s">
        <v>34</v>
      </c>
      <c r="H648" s="189">
        <f t="shared" si="11"/>
        <v>18.55</v>
      </c>
      <c r="I648" s="210" t="s">
        <v>2223</v>
      </c>
      <c r="J648" s="148">
        <v>30</v>
      </c>
      <c r="K648" s="147">
        <v>7</v>
      </c>
      <c r="L648" s="147">
        <v>1</v>
      </c>
      <c r="M648" s="147">
        <v>8</v>
      </c>
      <c r="N648" s="275">
        <v>55</v>
      </c>
      <c r="O648" s="194"/>
      <c r="P648" s="179"/>
      <c r="Q648" s="173">
        <v>18.5</v>
      </c>
      <c r="R648" s="271">
        <v>0.05</v>
      </c>
      <c r="S648" s="164"/>
      <c r="T648" s="129" t="s">
        <v>64</v>
      </c>
      <c r="U648" s="147" t="s">
        <v>37</v>
      </c>
      <c r="V648" s="129"/>
      <c r="W648" s="162" t="s">
        <v>54</v>
      </c>
      <c r="X648" s="205" t="s">
        <v>1904</v>
      </c>
      <c r="Y648" s="251"/>
      <c r="Z648" s="290"/>
      <c r="AA648" s="286"/>
    </row>
    <row r="649" spans="1:27" ht="24" hidden="1" x14ac:dyDescent="0.25">
      <c r="A649" s="131">
        <v>1</v>
      </c>
      <c r="B649" s="136">
        <v>1207045</v>
      </c>
      <c r="C649" s="128" t="s">
        <v>657</v>
      </c>
      <c r="D649" s="136" t="s">
        <v>804</v>
      </c>
      <c r="E649" s="147" t="s">
        <v>38</v>
      </c>
      <c r="F649" s="129" t="s">
        <v>1792</v>
      </c>
      <c r="G649" s="147" t="s">
        <v>34</v>
      </c>
      <c r="H649" s="189">
        <f t="shared" si="11"/>
        <v>18.55</v>
      </c>
      <c r="I649" s="210" t="s">
        <v>2223</v>
      </c>
      <c r="J649" s="148">
        <v>30</v>
      </c>
      <c r="K649" s="147">
        <v>7</v>
      </c>
      <c r="L649" s="147">
        <v>1</v>
      </c>
      <c r="M649" s="147">
        <v>8</v>
      </c>
      <c r="N649" s="275">
        <v>55</v>
      </c>
      <c r="O649" s="194"/>
      <c r="P649" s="179"/>
      <c r="Q649" s="173">
        <v>18.5</v>
      </c>
      <c r="R649" s="271">
        <v>0.05</v>
      </c>
      <c r="S649" s="164"/>
      <c r="T649" s="129" t="s">
        <v>64</v>
      </c>
      <c r="U649" s="147" t="s">
        <v>37</v>
      </c>
      <c r="V649" s="129"/>
      <c r="W649" s="162" t="s">
        <v>54</v>
      </c>
      <c r="X649" s="205" t="s">
        <v>1904</v>
      </c>
      <c r="Y649" s="251"/>
      <c r="Z649" s="290"/>
      <c r="AA649" s="286"/>
    </row>
    <row r="650" spans="1:27" s="181" customFormat="1" ht="24" hidden="1" x14ac:dyDescent="0.25">
      <c r="A650" s="131">
        <v>1</v>
      </c>
      <c r="B650" s="136">
        <v>1207046</v>
      </c>
      <c r="C650" s="128" t="s">
        <v>657</v>
      </c>
      <c r="D650" s="136" t="s">
        <v>805</v>
      </c>
      <c r="E650" s="147" t="s">
        <v>38</v>
      </c>
      <c r="F650" s="129" t="s">
        <v>1792</v>
      </c>
      <c r="G650" s="147" t="s">
        <v>34</v>
      </c>
      <c r="H650" s="189">
        <f t="shared" si="11"/>
        <v>18.55</v>
      </c>
      <c r="I650" s="210" t="s">
        <v>2223</v>
      </c>
      <c r="J650" s="148">
        <v>30</v>
      </c>
      <c r="K650" s="147">
        <v>7</v>
      </c>
      <c r="L650" s="147">
        <v>1</v>
      </c>
      <c r="M650" s="147">
        <v>8</v>
      </c>
      <c r="N650" s="275"/>
      <c r="O650" s="194"/>
      <c r="P650" s="179"/>
      <c r="Q650" s="173">
        <v>18.5</v>
      </c>
      <c r="R650" s="271">
        <v>0.05</v>
      </c>
      <c r="S650" s="164"/>
      <c r="T650" s="129" t="s">
        <v>806</v>
      </c>
      <c r="U650" s="147" t="s">
        <v>37</v>
      </c>
      <c r="V650" s="129"/>
      <c r="W650" s="162" t="s">
        <v>54</v>
      </c>
      <c r="X650" s="205" t="s">
        <v>1904</v>
      </c>
      <c r="Y650" s="251"/>
      <c r="Z650" s="290"/>
      <c r="AA650" s="286"/>
    </row>
    <row r="651" spans="1:27" ht="24" hidden="1" x14ac:dyDescent="0.25">
      <c r="A651" s="131">
        <v>1</v>
      </c>
      <c r="B651" s="136">
        <v>1207047</v>
      </c>
      <c r="C651" s="128" t="s">
        <v>657</v>
      </c>
      <c r="D651" s="136" t="s">
        <v>807</v>
      </c>
      <c r="E651" s="147" t="s">
        <v>38</v>
      </c>
      <c r="F651" s="129" t="s">
        <v>1792</v>
      </c>
      <c r="G651" s="147" t="s">
        <v>34</v>
      </c>
      <c r="H651" s="189">
        <f t="shared" si="11"/>
        <v>18.55</v>
      </c>
      <c r="I651" s="210" t="s">
        <v>2223</v>
      </c>
      <c r="J651" s="148">
        <v>30</v>
      </c>
      <c r="K651" s="147">
        <v>7</v>
      </c>
      <c r="L651" s="147">
        <v>1</v>
      </c>
      <c r="M651" s="147">
        <v>8</v>
      </c>
      <c r="N651" s="275"/>
      <c r="O651" s="194"/>
      <c r="P651" s="179"/>
      <c r="Q651" s="173">
        <v>18.5</v>
      </c>
      <c r="R651" s="271">
        <v>0.05</v>
      </c>
      <c r="S651" s="164"/>
      <c r="T651" s="129" t="s">
        <v>806</v>
      </c>
      <c r="U651" s="147" t="s">
        <v>37</v>
      </c>
      <c r="V651" s="129"/>
      <c r="W651" s="162" t="s">
        <v>54</v>
      </c>
      <c r="X651" s="205" t="s">
        <v>1904</v>
      </c>
      <c r="Y651" s="251"/>
      <c r="Z651" s="290"/>
      <c r="AA651" s="286"/>
    </row>
    <row r="652" spans="1:27" ht="24" hidden="1" x14ac:dyDescent="0.25">
      <c r="A652" s="131">
        <v>1</v>
      </c>
      <c r="B652" s="136">
        <v>1207048</v>
      </c>
      <c r="C652" s="128" t="s">
        <v>657</v>
      </c>
      <c r="D652" s="136" t="s">
        <v>808</v>
      </c>
      <c r="E652" s="147" t="s">
        <v>38</v>
      </c>
      <c r="F652" s="129" t="s">
        <v>1792</v>
      </c>
      <c r="G652" s="147" t="s">
        <v>34</v>
      </c>
      <c r="H652" s="189">
        <f t="shared" si="11"/>
        <v>18.55</v>
      </c>
      <c r="I652" s="210" t="s">
        <v>2223</v>
      </c>
      <c r="J652" s="148">
        <v>30</v>
      </c>
      <c r="K652" s="147">
        <v>7</v>
      </c>
      <c r="L652" s="147">
        <v>1</v>
      </c>
      <c r="M652" s="147">
        <v>8</v>
      </c>
      <c r="N652" s="275"/>
      <c r="O652" s="194"/>
      <c r="P652" s="179"/>
      <c r="Q652" s="173">
        <v>18.5</v>
      </c>
      <c r="R652" s="271">
        <v>0.05</v>
      </c>
      <c r="S652" s="164"/>
      <c r="T652" s="129" t="s">
        <v>806</v>
      </c>
      <c r="U652" s="147" t="s">
        <v>37</v>
      </c>
      <c r="V652" s="129"/>
      <c r="W652" s="162" t="s">
        <v>54</v>
      </c>
      <c r="X652" s="205" t="s">
        <v>1904</v>
      </c>
      <c r="Y652" s="251"/>
      <c r="Z652" s="290"/>
      <c r="AA652" s="286"/>
    </row>
    <row r="653" spans="1:27" ht="24" hidden="1" x14ac:dyDescent="0.25">
      <c r="A653" s="131">
        <v>1</v>
      </c>
      <c r="B653" s="136">
        <v>1207049</v>
      </c>
      <c r="C653" s="128" t="s">
        <v>657</v>
      </c>
      <c r="D653" s="136" t="s">
        <v>809</v>
      </c>
      <c r="E653" s="147" t="s">
        <v>38</v>
      </c>
      <c r="F653" s="129" t="s">
        <v>1792</v>
      </c>
      <c r="G653" s="147" t="s">
        <v>34</v>
      </c>
      <c r="H653" s="189">
        <f t="shared" si="11"/>
        <v>14.84</v>
      </c>
      <c r="I653" s="210" t="s">
        <v>2223</v>
      </c>
      <c r="J653" s="146">
        <v>30</v>
      </c>
      <c r="K653" s="147">
        <v>7</v>
      </c>
      <c r="L653" s="147">
        <v>1</v>
      </c>
      <c r="M653" s="147">
        <v>8</v>
      </c>
      <c r="N653" s="275">
        <v>50</v>
      </c>
      <c r="O653" s="194"/>
      <c r="P653" s="179"/>
      <c r="Q653" s="173">
        <v>14.84</v>
      </c>
      <c r="R653" s="260">
        <v>0</v>
      </c>
      <c r="S653" s="164"/>
      <c r="T653" s="129" t="s">
        <v>44</v>
      </c>
      <c r="U653" s="147" t="s">
        <v>37</v>
      </c>
      <c r="V653" s="129"/>
      <c r="W653" s="176" t="s">
        <v>54</v>
      </c>
      <c r="X653" s="205" t="s">
        <v>1904</v>
      </c>
      <c r="Y653" s="251"/>
      <c r="Z653" s="290"/>
      <c r="AA653" s="286"/>
    </row>
    <row r="654" spans="1:27" hidden="1" x14ac:dyDescent="0.25">
      <c r="A654" s="131">
        <v>1</v>
      </c>
      <c r="B654" s="136">
        <v>1207050</v>
      </c>
      <c r="C654" s="128" t="s">
        <v>657</v>
      </c>
      <c r="D654" s="136" t="s">
        <v>810</v>
      </c>
      <c r="E654" s="147" t="s">
        <v>38</v>
      </c>
      <c r="F654" s="129" t="s">
        <v>797</v>
      </c>
      <c r="G654" s="147" t="s">
        <v>34</v>
      </c>
      <c r="H654" s="189">
        <f t="shared" si="11"/>
        <v>16.05</v>
      </c>
      <c r="I654" s="213"/>
      <c r="J654" s="149"/>
      <c r="K654" s="147"/>
      <c r="L654" s="147"/>
      <c r="M654" s="147">
        <v>4</v>
      </c>
      <c r="N654" s="275">
        <v>55</v>
      </c>
      <c r="O654" s="194"/>
      <c r="P654" s="179"/>
      <c r="Q654" s="173">
        <v>16</v>
      </c>
      <c r="R654" s="271">
        <v>0.05</v>
      </c>
      <c r="S654" s="167"/>
      <c r="T654" s="129" t="s">
        <v>806</v>
      </c>
      <c r="U654" s="147" t="s">
        <v>37</v>
      </c>
      <c r="V654" s="129"/>
      <c r="W654" s="162" t="s">
        <v>54</v>
      </c>
      <c r="X654" s="205"/>
      <c r="Y654" s="251"/>
      <c r="Z654" s="155"/>
      <c r="AA654" s="230"/>
    </row>
    <row r="655" spans="1:27" s="181" customFormat="1" hidden="1" x14ac:dyDescent="0.25">
      <c r="A655" s="131">
        <v>1</v>
      </c>
      <c r="B655" s="136">
        <v>1207051</v>
      </c>
      <c r="C655" s="128" t="s">
        <v>657</v>
      </c>
      <c r="D655" s="136" t="s">
        <v>812</v>
      </c>
      <c r="E655" s="147" t="s">
        <v>38</v>
      </c>
      <c r="F655" s="129" t="s">
        <v>797</v>
      </c>
      <c r="G655" s="147" t="s">
        <v>34</v>
      </c>
      <c r="H655" s="189">
        <f t="shared" si="11"/>
        <v>16.05</v>
      </c>
      <c r="I655" s="213"/>
      <c r="J655" s="149"/>
      <c r="K655" s="147"/>
      <c r="L655" s="147"/>
      <c r="M655" s="147">
        <v>4</v>
      </c>
      <c r="N655" s="275">
        <v>55</v>
      </c>
      <c r="O655" s="194"/>
      <c r="P655" s="179"/>
      <c r="Q655" s="173">
        <v>16</v>
      </c>
      <c r="R655" s="271">
        <v>0.05</v>
      </c>
      <c r="S655" s="167"/>
      <c r="T655" s="129" t="s">
        <v>806</v>
      </c>
      <c r="U655" s="147" t="s">
        <v>37</v>
      </c>
      <c r="V655" s="129"/>
      <c r="W655" s="162" t="s">
        <v>54</v>
      </c>
      <c r="X655" s="205"/>
      <c r="Y655" s="251"/>
      <c r="Z655" s="155"/>
      <c r="AA655" s="230"/>
    </row>
    <row r="656" spans="1:27" ht="36" hidden="1" x14ac:dyDescent="0.25">
      <c r="A656" s="131">
        <v>1</v>
      </c>
      <c r="B656" s="136">
        <v>1207052</v>
      </c>
      <c r="C656" s="128" t="s">
        <v>657</v>
      </c>
      <c r="D656" s="136" t="s">
        <v>813</v>
      </c>
      <c r="E656" s="147" t="s">
        <v>38</v>
      </c>
      <c r="F656" s="129" t="s">
        <v>1859</v>
      </c>
      <c r="G656" s="147" t="s">
        <v>34</v>
      </c>
      <c r="H656" s="189">
        <f t="shared" si="11"/>
        <v>22</v>
      </c>
      <c r="I656" s="210" t="s">
        <v>2229</v>
      </c>
      <c r="J656" s="148">
        <v>30</v>
      </c>
      <c r="K656" s="147">
        <v>5</v>
      </c>
      <c r="L656" s="147">
        <v>1</v>
      </c>
      <c r="M656" s="147">
        <v>6</v>
      </c>
      <c r="N656" s="275">
        <v>50</v>
      </c>
      <c r="O656" s="194"/>
      <c r="P656" s="179"/>
      <c r="Q656" s="173">
        <v>16</v>
      </c>
      <c r="R656" s="271">
        <f>300/N656</f>
        <v>6</v>
      </c>
      <c r="S656" s="167"/>
      <c r="T656" s="129" t="s">
        <v>64</v>
      </c>
      <c r="U656" s="147" t="s">
        <v>37</v>
      </c>
      <c r="V656" s="129"/>
      <c r="W656" s="162" t="s">
        <v>54</v>
      </c>
      <c r="X656" s="205"/>
      <c r="Y656" s="251"/>
      <c r="Z656" s="290"/>
      <c r="AA656" s="286"/>
    </row>
    <row r="657" spans="1:27" ht="24" hidden="1" x14ac:dyDescent="0.25">
      <c r="A657" s="131">
        <v>1</v>
      </c>
      <c r="B657" s="136">
        <v>1207053</v>
      </c>
      <c r="C657" s="128" t="s">
        <v>657</v>
      </c>
      <c r="D657" s="136" t="s">
        <v>1620</v>
      </c>
      <c r="E657" s="147" t="s">
        <v>38</v>
      </c>
      <c r="F657" s="129" t="s">
        <v>1792</v>
      </c>
      <c r="G657" s="147" t="s">
        <v>34</v>
      </c>
      <c r="H657" s="189">
        <f t="shared" si="11"/>
        <v>18.55</v>
      </c>
      <c r="I657" s="210" t="s">
        <v>2223</v>
      </c>
      <c r="J657" s="146">
        <v>30</v>
      </c>
      <c r="K657" s="147">
        <v>7</v>
      </c>
      <c r="L657" s="147">
        <v>1</v>
      </c>
      <c r="M657" s="147">
        <v>8</v>
      </c>
      <c r="N657" s="275"/>
      <c r="O657" s="194"/>
      <c r="P657" s="179"/>
      <c r="Q657" s="173">
        <v>18.5</v>
      </c>
      <c r="R657" s="271">
        <v>0.05</v>
      </c>
      <c r="S657" s="167"/>
      <c r="T657" s="129" t="s">
        <v>468</v>
      </c>
      <c r="U657" s="147" t="s">
        <v>37</v>
      </c>
      <c r="V657" s="129"/>
      <c r="W657" s="147" t="s">
        <v>2209</v>
      </c>
      <c r="X657" s="205" t="s">
        <v>1904</v>
      </c>
      <c r="Y657" s="251"/>
      <c r="Z657" s="290"/>
      <c r="AA657" s="286"/>
    </row>
    <row r="658" spans="1:27" ht="36" hidden="1" x14ac:dyDescent="0.25">
      <c r="A658" s="131">
        <v>1</v>
      </c>
      <c r="B658" s="136">
        <v>1207060</v>
      </c>
      <c r="C658" s="128" t="s">
        <v>657</v>
      </c>
      <c r="D658" s="136" t="s">
        <v>815</v>
      </c>
      <c r="E658" s="147" t="s">
        <v>38</v>
      </c>
      <c r="F658" s="129" t="s">
        <v>1859</v>
      </c>
      <c r="G658" s="147" t="s">
        <v>34</v>
      </c>
      <c r="H658" s="189">
        <f t="shared" si="11"/>
        <v>22</v>
      </c>
      <c r="I658" s="210" t="s">
        <v>2229</v>
      </c>
      <c r="J658" s="148">
        <v>30</v>
      </c>
      <c r="K658" s="147">
        <v>5</v>
      </c>
      <c r="L658" s="147">
        <v>1</v>
      </c>
      <c r="M658" s="147">
        <v>6</v>
      </c>
      <c r="N658" s="275">
        <v>50</v>
      </c>
      <c r="O658" s="194"/>
      <c r="P658" s="179"/>
      <c r="Q658" s="173">
        <v>16</v>
      </c>
      <c r="R658" s="271">
        <f>300/N658</f>
        <v>6</v>
      </c>
      <c r="S658" s="164"/>
      <c r="T658" s="129" t="s">
        <v>517</v>
      </c>
      <c r="U658" s="147" t="s">
        <v>35</v>
      </c>
      <c r="V658" s="129"/>
      <c r="W658" s="162" t="s">
        <v>54</v>
      </c>
      <c r="X658" s="205"/>
      <c r="Y658" s="251"/>
      <c r="Z658" s="290"/>
      <c r="AA658" s="286"/>
    </row>
    <row r="659" spans="1:27" ht="36" hidden="1" x14ac:dyDescent="0.25">
      <c r="A659" s="131">
        <v>1</v>
      </c>
      <c r="B659" s="136">
        <v>1207061</v>
      </c>
      <c r="C659" s="128" t="s">
        <v>657</v>
      </c>
      <c r="D659" s="136" t="s">
        <v>816</v>
      </c>
      <c r="E659" s="147" t="s">
        <v>38</v>
      </c>
      <c r="F659" s="129" t="s">
        <v>1859</v>
      </c>
      <c r="G659" s="147" t="s">
        <v>34</v>
      </c>
      <c r="H659" s="189">
        <f t="shared" si="11"/>
        <v>22</v>
      </c>
      <c r="I659" s="210" t="s">
        <v>2229</v>
      </c>
      <c r="J659" s="148">
        <v>30</v>
      </c>
      <c r="K659" s="147">
        <v>5</v>
      </c>
      <c r="L659" s="147">
        <v>1</v>
      </c>
      <c r="M659" s="147">
        <v>6</v>
      </c>
      <c r="N659" s="275">
        <v>50</v>
      </c>
      <c r="O659" s="194"/>
      <c r="P659" s="179"/>
      <c r="Q659" s="173">
        <v>16</v>
      </c>
      <c r="R659" s="271">
        <f>300/N659</f>
        <v>6</v>
      </c>
      <c r="S659" s="164"/>
      <c r="T659" s="129" t="s">
        <v>517</v>
      </c>
      <c r="U659" s="147" t="s">
        <v>35</v>
      </c>
      <c r="V659" s="129"/>
      <c r="W659" s="162" t="s">
        <v>54</v>
      </c>
      <c r="X659" s="205"/>
      <c r="Y659" s="251"/>
      <c r="Z659" s="290"/>
      <c r="AA659" s="286"/>
    </row>
    <row r="660" spans="1:27" hidden="1" x14ac:dyDescent="0.25">
      <c r="A660" s="131">
        <v>1</v>
      </c>
      <c r="B660" s="136">
        <v>1207062</v>
      </c>
      <c r="C660" s="128" t="s">
        <v>657</v>
      </c>
      <c r="D660" s="136" t="s">
        <v>817</v>
      </c>
      <c r="E660" s="147" t="s">
        <v>38</v>
      </c>
      <c r="F660" s="129" t="s">
        <v>819</v>
      </c>
      <c r="G660" s="147" t="s">
        <v>34</v>
      </c>
      <c r="H660" s="189">
        <f t="shared" si="11"/>
        <v>16.05</v>
      </c>
      <c r="I660" s="213"/>
      <c r="J660" s="149"/>
      <c r="K660" s="147">
        <v>12</v>
      </c>
      <c r="L660" s="147">
        <v>1</v>
      </c>
      <c r="M660" s="147">
        <v>13</v>
      </c>
      <c r="N660" s="275"/>
      <c r="O660" s="194"/>
      <c r="P660" s="179"/>
      <c r="Q660" s="173">
        <v>16</v>
      </c>
      <c r="R660" s="271">
        <v>0.05</v>
      </c>
      <c r="S660" s="167"/>
      <c r="T660" s="129"/>
      <c r="U660" s="147" t="s">
        <v>37</v>
      </c>
      <c r="V660" s="129"/>
      <c r="W660" s="162" t="s">
        <v>54</v>
      </c>
      <c r="X660" s="205"/>
      <c r="Y660" s="251"/>
      <c r="Z660" s="155"/>
      <c r="AA660" s="230"/>
    </row>
    <row r="661" spans="1:27" ht="24" hidden="1" x14ac:dyDescent="0.25">
      <c r="A661" s="131">
        <v>1</v>
      </c>
      <c r="B661" s="136">
        <v>1207063</v>
      </c>
      <c r="C661" s="128" t="s">
        <v>657</v>
      </c>
      <c r="D661" s="136" t="s">
        <v>820</v>
      </c>
      <c r="E661" s="147" t="s">
        <v>38</v>
      </c>
      <c r="F661" s="129" t="s">
        <v>74</v>
      </c>
      <c r="G661" s="147" t="s">
        <v>34</v>
      </c>
      <c r="H661" s="189">
        <f t="shared" si="11"/>
        <v>16.05</v>
      </c>
      <c r="I661" s="213"/>
      <c r="J661" s="149"/>
      <c r="K661" s="147">
        <v>12</v>
      </c>
      <c r="L661" s="147">
        <v>1</v>
      </c>
      <c r="M661" s="147">
        <v>13</v>
      </c>
      <c r="N661" s="275"/>
      <c r="O661" s="194"/>
      <c r="P661" s="179"/>
      <c r="Q661" s="173">
        <v>16</v>
      </c>
      <c r="R661" s="271">
        <v>0.05</v>
      </c>
      <c r="S661" s="167"/>
      <c r="T661" s="129"/>
      <c r="U661" s="147" t="s">
        <v>37</v>
      </c>
      <c r="V661" s="129"/>
      <c r="W661" s="162" t="s">
        <v>54</v>
      </c>
      <c r="X661" s="205"/>
      <c r="Y661" s="251"/>
      <c r="Z661" s="155"/>
      <c r="AA661" s="230"/>
    </row>
    <row r="662" spans="1:27" s="181" customFormat="1" hidden="1" x14ac:dyDescent="0.25">
      <c r="A662" s="131">
        <v>1</v>
      </c>
      <c r="B662" s="136">
        <v>1207064</v>
      </c>
      <c r="C662" s="128" t="s">
        <v>657</v>
      </c>
      <c r="D662" s="136" t="s">
        <v>822</v>
      </c>
      <c r="E662" s="147" t="s">
        <v>38</v>
      </c>
      <c r="F662" s="138" t="s">
        <v>57</v>
      </c>
      <c r="G662" s="147" t="s">
        <v>34</v>
      </c>
      <c r="H662" s="189">
        <f t="shared" si="11"/>
        <v>16.05</v>
      </c>
      <c r="I662" s="213"/>
      <c r="J662" s="149"/>
      <c r="K662" s="147">
        <v>12</v>
      </c>
      <c r="L662" s="147">
        <v>1</v>
      </c>
      <c r="M662" s="147">
        <v>13</v>
      </c>
      <c r="N662" s="275"/>
      <c r="O662" s="194"/>
      <c r="P662" s="179"/>
      <c r="Q662" s="173">
        <v>16</v>
      </c>
      <c r="R662" s="271">
        <v>0.05</v>
      </c>
      <c r="S662" s="167"/>
      <c r="T662" s="138" t="s">
        <v>57</v>
      </c>
      <c r="U662" s="147" t="s">
        <v>37</v>
      </c>
      <c r="V662" s="129"/>
      <c r="W662" s="162" t="s">
        <v>54</v>
      </c>
      <c r="X662" s="205"/>
      <c r="Y662" s="251"/>
      <c r="Z662" s="155"/>
      <c r="AA662" s="230"/>
    </row>
    <row r="663" spans="1:27" s="181" customFormat="1" ht="24" x14ac:dyDescent="0.25">
      <c r="A663" s="131">
        <v>1</v>
      </c>
      <c r="B663" s="136">
        <v>1207065</v>
      </c>
      <c r="C663" s="128" t="s">
        <v>657</v>
      </c>
      <c r="D663" s="136" t="s">
        <v>1524</v>
      </c>
      <c r="E663" s="147" t="s">
        <v>38</v>
      </c>
      <c r="F663" s="138" t="s">
        <v>1503</v>
      </c>
      <c r="G663" s="147" t="s">
        <v>34</v>
      </c>
      <c r="H663" s="189">
        <f t="shared" si="11"/>
        <v>12.945</v>
      </c>
      <c r="I663" s="210" t="s">
        <v>2082</v>
      </c>
      <c r="J663" s="146">
        <v>90</v>
      </c>
      <c r="K663" s="147">
        <v>9</v>
      </c>
      <c r="L663" s="147">
        <v>1</v>
      </c>
      <c r="M663" s="147">
        <v>10</v>
      </c>
      <c r="N663" s="275">
        <v>50</v>
      </c>
      <c r="O663" s="194"/>
      <c r="P663" s="179">
        <v>44978</v>
      </c>
      <c r="Q663" s="173">
        <v>12.9</v>
      </c>
      <c r="R663" s="271">
        <v>4.4999999999999998E-2</v>
      </c>
      <c r="S663" s="167"/>
      <c r="T663" s="129" t="s">
        <v>2089</v>
      </c>
      <c r="U663" s="147" t="s">
        <v>37</v>
      </c>
      <c r="V663" s="129"/>
      <c r="W663" s="147" t="s">
        <v>2208</v>
      </c>
      <c r="X663" s="205" t="s">
        <v>1009</v>
      </c>
      <c r="Y663" s="251"/>
      <c r="Z663" s="290"/>
      <c r="AA663" s="286"/>
    </row>
    <row r="664" spans="1:27" s="181" customFormat="1" ht="24" hidden="1" x14ac:dyDescent="0.25">
      <c r="A664" s="131">
        <v>1</v>
      </c>
      <c r="B664" s="136">
        <v>1207070</v>
      </c>
      <c r="C664" s="128" t="s">
        <v>657</v>
      </c>
      <c r="D664" s="136" t="s">
        <v>823</v>
      </c>
      <c r="E664" s="147" t="s">
        <v>38</v>
      </c>
      <c r="F664" s="129" t="s">
        <v>824</v>
      </c>
      <c r="G664" s="147" t="s">
        <v>34</v>
      </c>
      <c r="H664" s="189">
        <f t="shared" si="11"/>
        <v>16.05</v>
      </c>
      <c r="I664" s="213"/>
      <c r="J664" s="149"/>
      <c r="K664" s="147"/>
      <c r="L664" s="147"/>
      <c r="M664" s="147">
        <v>4</v>
      </c>
      <c r="N664" s="275">
        <v>50</v>
      </c>
      <c r="O664" s="194"/>
      <c r="P664" s="179"/>
      <c r="Q664" s="173">
        <v>16</v>
      </c>
      <c r="R664" s="271">
        <v>0.05</v>
      </c>
      <c r="S664" s="164"/>
      <c r="T664" s="129"/>
      <c r="U664" s="147" t="s">
        <v>37</v>
      </c>
      <c r="V664" s="129"/>
      <c r="W664" s="162" t="s">
        <v>54</v>
      </c>
      <c r="X664" s="205"/>
      <c r="Y664" s="251"/>
      <c r="Z664" s="155"/>
      <c r="AA664" s="230"/>
    </row>
    <row r="665" spans="1:27" s="181" customFormat="1" ht="24" hidden="1" x14ac:dyDescent="0.25">
      <c r="A665" s="131">
        <v>1</v>
      </c>
      <c r="B665" s="136">
        <v>1207071</v>
      </c>
      <c r="C665" s="128" t="s">
        <v>657</v>
      </c>
      <c r="D665" s="136" t="s">
        <v>826</v>
      </c>
      <c r="E665" s="147" t="s">
        <v>38</v>
      </c>
      <c r="F665" s="129" t="s">
        <v>824</v>
      </c>
      <c r="G665" s="147" t="s">
        <v>34</v>
      </c>
      <c r="H665" s="189">
        <f t="shared" si="11"/>
        <v>16.05</v>
      </c>
      <c r="I665" s="225"/>
      <c r="J665" s="149"/>
      <c r="K665" s="147"/>
      <c r="L665" s="147"/>
      <c r="M665" s="147">
        <v>4</v>
      </c>
      <c r="N665" s="275">
        <v>50</v>
      </c>
      <c r="O665" s="194"/>
      <c r="P665" s="179"/>
      <c r="Q665" s="173">
        <v>16</v>
      </c>
      <c r="R665" s="271">
        <v>0.05</v>
      </c>
      <c r="S665" s="164"/>
      <c r="T665" s="129" t="s">
        <v>242</v>
      </c>
      <c r="U665" s="147" t="s">
        <v>35</v>
      </c>
      <c r="V665" s="129"/>
      <c r="W665" s="147" t="s">
        <v>2209</v>
      </c>
      <c r="X665" s="205"/>
      <c r="Y665" s="251"/>
      <c r="Z665" s="155"/>
      <c r="AA665" s="230"/>
    </row>
    <row r="666" spans="1:27" s="181" customFormat="1" ht="24" hidden="1" x14ac:dyDescent="0.25">
      <c r="A666" s="131">
        <v>1</v>
      </c>
      <c r="B666" s="136">
        <v>1207072</v>
      </c>
      <c r="C666" s="128" t="s">
        <v>657</v>
      </c>
      <c r="D666" s="136" t="s">
        <v>827</v>
      </c>
      <c r="E666" s="147" t="s">
        <v>38</v>
      </c>
      <c r="F666" s="129" t="s">
        <v>824</v>
      </c>
      <c r="G666" s="147" t="s">
        <v>34</v>
      </c>
      <c r="H666" s="189">
        <f t="shared" si="11"/>
        <v>16.05</v>
      </c>
      <c r="I666" s="225"/>
      <c r="J666" s="149"/>
      <c r="K666" s="147"/>
      <c r="L666" s="147"/>
      <c r="M666" s="147">
        <v>4</v>
      </c>
      <c r="N666" s="275">
        <v>50</v>
      </c>
      <c r="O666" s="194"/>
      <c r="P666" s="179"/>
      <c r="Q666" s="173">
        <v>16</v>
      </c>
      <c r="R666" s="271">
        <v>0.05</v>
      </c>
      <c r="S666" s="164"/>
      <c r="T666" s="129" t="s">
        <v>242</v>
      </c>
      <c r="U666" s="147" t="s">
        <v>35</v>
      </c>
      <c r="V666" s="129"/>
      <c r="W666" s="147" t="s">
        <v>2209</v>
      </c>
      <c r="X666" s="205"/>
      <c r="Y666" s="251"/>
      <c r="Z666" s="155"/>
      <c r="AA666" s="230"/>
    </row>
    <row r="667" spans="1:27" ht="24" hidden="1" x14ac:dyDescent="0.25">
      <c r="A667" s="131">
        <v>1</v>
      </c>
      <c r="B667" s="136">
        <v>1207073</v>
      </c>
      <c r="C667" s="128" t="s">
        <v>657</v>
      </c>
      <c r="D667" s="136" t="s">
        <v>828</v>
      </c>
      <c r="E667" s="147" t="s">
        <v>38</v>
      </c>
      <c r="F667" s="129" t="s">
        <v>824</v>
      </c>
      <c r="G667" s="147" t="s">
        <v>34</v>
      </c>
      <c r="H667" s="189">
        <f t="shared" si="11"/>
        <v>45.63</v>
      </c>
      <c r="I667" s="134"/>
      <c r="J667" s="150"/>
      <c r="K667" s="147"/>
      <c r="L667" s="147"/>
      <c r="M667" s="147">
        <v>4</v>
      </c>
      <c r="N667" s="275">
        <v>50</v>
      </c>
      <c r="O667" s="194"/>
      <c r="P667" s="179"/>
      <c r="Q667" s="173">
        <v>45.63</v>
      </c>
      <c r="R667" s="271"/>
      <c r="S667" s="167" t="s">
        <v>35</v>
      </c>
      <c r="T667" s="129" t="s">
        <v>36</v>
      </c>
      <c r="U667" s="147" t="s">
        <v>37</v>
      </c>
      <c r="V667" s="129"/>
      <c r="W667" s="147" t="s">
        <v>2209</v>
      </c>
      <c r="X667" s="205"/>
      <c r="Y667" s="251"/>
      <c r="Z667" s="155"/>
      <c r="AA667" s="230"/>
    </row>
    <row r="668" spans="1:27" s="181" customFormat="1" ht="24" hidden="1" x14ac:dyDescent="0.25">
      <c r="A668" s="131">
        <v>1</v>
      </c>
      <c r="B668" s="136">
        <v>1207074</v>
      </c>
      <c r="C668" s="128" t="s">
        <v>657</v>
      </c>
      <c r="D668" s="136" t="s">
        <v>829</v>
      </c>
      <c r="E668" s="147" t="s">
        <v>38</v>
      </c>
      <c r="F668" s="129" t="s">
        <v>824</v>
      </c>
      <c r="G668" s="147" t="s">
        <v>34</v>
      </c>
      <c r="H668" s="189">
        <f t="shared" si="11"/>
        <v>37.953200000000002</v>
      </c>
      <c r="I668" s="134"/>
      <c r="J668" s="150"/>
      <c r="K668" s="147"/>
      <c r="L668" s="147"/>
      <c r="M668" s="147">
        <v>4</v>
      </c>
      <c r="N668" s="275">
        <v>25</v>
      </c>
      <c r="O668" s="194"/>
      <c r="P668" s="179"/>
      <c r="Q668" s="173">
        <v>37.18</v>
      </c>
      <c r="R668" s="271">
        <v>0.7732</v>
      </c>
      <c r="S668" s="164"/>
      <c r="T668" s="129" t="s">
        <v>36</v>
      </c>
      <c r="U668" s="147" t="s">
        <v>37</v>
      </c>
      <c r="V668" s="129"/>
      <c r="W668" s="147" t="s">
        <v>2209</v>
      </c>
      <c r="X668" s="205"/>
      <c r="Y668" s="251"/>
      <c r="Z668" s="155"/>
      <c r="AA668" s="230"/>
    </row>
    <row r="669" spans="1:27" ht="24" hidden="1" x14ac:dyDescent="0.25">
      <c r="A669" s="131">
        <v>1</v>
      </c>
      <c r="B669" s="136">
        <v>1207075</v>
      </c>
      <c r="C669" s="128" t="s">
        <v>657</v>
      </c>
      <c r="D669" s="136" t="s">
        <v>830</v>
      </c>
      <c r="E669" s="147" t="s">
        <v>38</v>
      </c>
      <c r="F669" s="129" t="s">
        <v>824</v>
      </c>
      <c r="G669" s="147" t="s">
        <v>34</v>
      </c>
      <c r="H669" s="189">
        <f t="shared" si="11"/>
        <v>16.05</v>
      </c>
      <c r="I669" s="213"/>
      <c r="J669" s="149"/>
      <c r="K669" s="147"/>
      <c r="L669" s="147"/>
      <c r="M669" s="147">
        <v>4</v>
      </c>
      <c r="N669" s="275">
        <v>50</v>
      </c>
      <c r="O669" s="194"/>
      <c r="P669" s="179"/>
      <c r="Q669" s="173">
        <v>16</v>
      </c>
      <c r="R669" s="271">
        <v>0.05</v>
      </c>
      <c r="S669" s="164"/>
      <c r="T669" s="129" t="s">
        <v>36</v>
      </c>
      <c r="U669" s="147" t="s">
        <v>37</v>
      </c>
      <c r="V669" s="129"/>
      <c r="W669" s="162" t="s">
        <v>54</v>
      </c>
      <c r="X669" s="205"/>
      <c r="Y669" s="251"/>
      <c r="Z669" s="155"/>
      <c r="AA669" s="230"/>
    </row>
    <row r="670" spans="1:27" x14ac:dyDescent="0.25">
      <c r="A670" s="131">
        <v>1</v>
      </c>
      <c r="B670" s="136">
        <v>1207080</v>
      </c>
      <c r="C670" s="128" t="s">
        <v>657</v>
      </c>
      <c r="D670" s="136" t="s">
        <v>831</v>
      </c>
      <c r="E670" s="147" t="s">
        <v>38</v>
      </c>
      <c r="F670" s="129" t="s">
        <v>1793</v>
      </c>
      <c r="G670" s="147" t="s">
        <v>34</v>
      </c>
      <c r="H670" s="189">
        <f t="shared" si="11"/>
        <v>7.12</v>
      </c>
      <c r="I670" s="210" t="s">
        <v>2082</v>
      </c>
      <c r="J670" s="146">
        <v>0</v>
      </c>
      <c r="K670" s="147">
        <v>3</v>
      </c>
      <c r="L670" s="147">
        <v>1</v>
      </c>
      <c r="M670" s="147">
        <v>4</v>
      </c>
      <c r="N670" s="275">
        <v>250</v>
      </c>
      <c r="O670" s="173">
        <f>5.57+1.25</f>
        <v>6.82</v>
      </c>
      <c r="P670" s="179">
        <v>46122</v>
      </c>
      <c r="Q670" s="173">
        <v>5.87</v>
      </c>
      <c r="R670" s="271">
        <f>300/N670+0.05</f>
        <v>1.25</v>
      </c>
      <c r="S670" s="164"/>
      <c r="T670" s="129" t="s">
        <v>358</v>
      </c>
      <c r="U670" s="147" t="s">
        <v>37</v>
      </c>
      <c r="V670" s="129"/>
      <c r="W670" s="147" t="s">
        <v>2208</v>
      </c>
      <c r="X670" s="205" t="s">
        <v>1009</v>
      </c>
      <c r="Y670" s="251"/>
      <c r="Z670" s="290"/>
      <c r="AA670" s="286"/>
    </row>
    <row r="671" spans="1:27" hidden="1" x14ac:dyDescent="0.25">
      <c r="A671" s="131">
        <v>1</v>
      </c>
      <c r="B671" s="136">
        <v>1207081</v>
      </c>
      <c r="C671" s="128" t="s">
        <v>657</v>
      </c>
      <c r="D671" s="136" t="s">
        <v>835</v>
      </c>
      <c r="E671" s="147" t="s">
        <v>38</v>
      </c>
      <c r="F671" s="129" t="s">
        <v>836</v>
      </c>
      <c r="G671" s="147" t="s">
        <v>34</v>
      </c>
      <c r="H671" s="189">
        <f t="shared" si="11"/>
        <v>15.123199999999999</v>
      </c>
      <c r="I671" s="134" t="s">
        <v>2082</v>
      </c>
      <c r="J671" s="150"/>
      <c r="K671" s="147"/>
      <c r="L671" s="147"/>
      <c r="M671" s="147">
        <v>4</v>
      </c>
      <c r="N671" s="275">
        <v>50</v>
      </c>
      <c r="O671" s="194"/>
      <c r="P671" s="179"/>
      <c r="Q671" s="173">
        <v>14.35</v>
      </c>
      <c r="R671" s="271">
        <v>0.7732</v>
      </c>
      <c r="S671" s="164" t="s">
        <v>35</v>
      </c>
      <c r="T671" s="129" t="s">
        <v>358</v>
      </c>
      <c r="U671" s="147" t="s">
        <v>37</v>
      </c>
      <c r="V671" s="129"/>
      <c r="W671" s="147" t="s">
        <v>2209</v>
      </c>
      <c r="X671" s="205"/>
      <c r="Y671" s="251"/>
      <c r="Z671" s="155"/>
      <c r="AA671" s="230"/>
    </row>
    <row r="672" spans="1:27" ht="24" hidden="1" x14ac:dyDescent="0.25">
      <c r="A672" s="131">
        <v>1</v>
      </c>
      <c r="B672" s="156">
        <v>1207082</v>
      </c>
      <c r="C672" s="128" t="s">
        <v>657</v>
      </c>
      <c r="D672" s="136" t="s">
        <v>1634</v>
      </c>
      <c r="E672" s="147" t="s">
        <v>38</v>
      </c>
      <c r="F672" s="129" t="s">
        <v>1625</v>
      </c>
      <c r="G672" s="147" t="s">
        <v>34</v>
      </c>
      <c r="H672" s="189">
        <f t="shared" si="11"/>
        <v>16.05</v>
      </c>
      <c r="I672" s="180" t="s">
        <v>2213</v>
      </c>
      <c r="J672" s="150"/>
      <c r="K672" s="147">
        <v>11</v>
      </c>
      <c r="L672" s="147">
        <v>1</v>
      </c>
      <c r="M672" s="147">
        <v>12</v>
      </c>
      <c r="N672" s="275"/>
      <c r="O672" s="194"/>
      <c r="P672" s="179"/>
      <c r="Q672" s="173">
        <v>16</v>
      </c>
      <c r="R672" s="271">
        <v>0.05</v>
      </c>
      <c r="S672" s="164"/>
      <c r="T672" s="129" t="s">
        <v>1625</v>
      </c>
      <c r="U672" s="147" t="s">
        <v>37</v>
      </c>
      <c r="V672" s="129"/>
      <c r="W672" s="162" t="s">
        <v>2519</v>
      </c>
      <c r="X672" s="205"/>
      <c r="Y672" s="251"/>
      <c r="Z672" s="155"/>
      <c r="AA672" s="230"/>
    </row>
    <row r="673" spans="1:27" ht="24" hidden="1" x14ac:dyDescent="0.25">
      <c r="A673" s="131">
        <v>1</v>
      </c>
      <c r="B673" s="136">
        <v>1208001</v>
      </c>
      <c r="C673" s="128" t="s">
        <v>567</v>
      </c>
      <c r="D673" s="128" t="s">
        <v>840</v>
      </c>
      <c r="E673" s="147" t="s">
        <v>38</v>
      </c>
      <c r="F673" s="129" t="s">
        <v>684</v>
      </c>
      <c r="G673" s="147" t="s">
        <v>1731</v>
      </c>
      <c r="H673" s="189">
        <f t="shared" si="11"/>
        <v>0</v>
      </c>
      <c r="I673" s="134" t="s">
        <v>2082</v>
      </c>
      <c r="J673" s="146">
        <v>0</v>
      </c>
      <c r="K673" s="147">
        <v>9</v>
      </c>
      <c r="L673" s="147">
        <v>1</v>
      </c>
      <c r="M673" s="147">
        <v>10</v>
      </c>
      <c r="N673" s="275"/>
      <c r="O673" s="194"/>
      <c r="P673" s="179"/>
      <c r="Q673" s="173"/>
      <c r="R673" s="260">
        <v>0</v>
      </c>
      <c r="S673" s="167"/>
      <c r="T673" s="129" t="s">
        <v>36</v>
      </c>
      <c r="U673" s="147" t="s">
        <v>37</v>
      </c>
      <c r="V673" s="129"/>
      <c r="W673" s="162" t="s">
        <v>54</v>
      </c>
      <c r="X673" s="205"/>
      <c r="Y673" s="251"/>
      <c r="Z673" s="290"/>
      <c r="AA673" s="286"/>
    </row>
    <row r="674" spans="1:27" hidden="1" x14ac:dyDescent="0.25">
      <c r="A674" s="131">
        <v>1</v>
      </c>
      <c r="B674" s="136">
        <v>1209001</v>
      </c>
      <c r="C674" s="128" t="s">
        <v>657</v>
      </c>
      <c r="D674" s="128" t="s">
        <v>841</v>
      </c>
      <c r="E674" s="147" t="s">
        <v>38</v>
      </c>
      <c r="F674" s="129" t="s">
        <v>382</v>
      </c>
      <c r="G674" s="147" t="s">
        <v>34</v>
      </c>
      <c r="H674" s="189">
        <f t="shared" si="11"/>
        <v>16.05</v>
      </c>
      <c r="I674" s="213"/>
      <c r="J674" s="149"/>
      <c r="K674" s="147"/>
      <c r="L674" s="147"/>
      <c r="M674" s="147">
        <v>4</v>
      </c>
      <c r="N674" s="275"/>
      <c r="O674" s="194"/>
      <c r="P674" s="179"/>
      <c r="Q674" s="173">
        <v>16</v>
      </c>
      <c r="R674" s="271">
        <v>0.05</v>
      </c>
      <c r="S674" s="167"/>
      <c r="T674" s="129" t="s">
        <v>382</v>
      </c>
      <c r="U674" s="147" t="s">
        <v>37</v>
      </c>
      <c r="V674" s="129"/>
      <c r="W674" s="162" t="s">
        <v>2519</v>
      </c>
      <c r="X674" s="205"/>
      <c r="Y674" s="251"/>
      <c r="Z674" s="155"/>
      <c r="AA674" s="230"/>
    </row>
    <row r="675" spans="1:27" ht="24" x14ac:dyDescent="0.25">
      <c r="A675" s="131">
        <v>1</v>
      </c>
      <c r="B675" s="156">
        <v>1209002</v>
      </c>
      <c r="C675" s="128" t="s">
        <v>657</v>
      </c>
      <c r="D675" s="128" t="s">
        <v>842</v>
      </c>
      <c r="E675" s="147" t="s">
        <v>38</v>
      </c>
      <c r="F675" s="129" t="s">
        <v>1792</v>
      </c>
      <c r="G675" s="147" t="s">
        <v>34</v>
      </c>
      <c r="H675" s="189">
        <f t="shared" si="11"/>
        <v>52.385920348362511</v>
      </c>
      <c r="I675" s="210" t="s">
        <v>2223</v>
      </c>
      <c r="J675" s="146">
        <v>30</v>
      </c>
      <c r="K675" s="147">
        <v>5</v>
      </c>
      <c r="L675" s="147">
        <v>1</v>
      </c>
      <c r="M675" s="147">
        <v>6</v>
      </c>
      <c r="N675" s="275">
        <v>55.115000000000002</v>
      </c>
      <c r="O675" s="193">
        <v>40.39</v>
      </c>
      <c r="P675" s="179">
        <v>44811</v>
      </c>
      <c r="Q675" s="173">
        <v>52.385920348362511</v>
      </c>
      <c r="R675" s="271">
        <v>0</v>
      </c>
      <c r="S675" s="164"/>
      <c r="T675" s="129" t="s">
        <v>36</v>
      </c>
      <c r="U675" s="147" t="s">
        <v>37</v>
      </c>
      <c r="V675" s="129"/>
      <c r="W675" s="147" t="s">
        <v>2208</v>
      </c>
      <c r="X675" s="205" t="s">
        <v>1904</v>
      </c>
      <c r="Y675" s="251"/>
      <c r="Z675" s="290"/>
      <c r="AA675" s="286"/>
    </row>
    <row r="676" spans="1:27" ht="36" hidden="1" x14ac:dyDescent="0.25">
      <c r="A676" s="131">
        <v>1</v>
      </c>
      <c r="B676" s="136">
        <v>1209003</v>
      </c>
      <c r="C676" s="128" t="s">
        <v>657</v>
      </c>
      <c r="D676" s="128" t="s">
        <v>844</v>
      </c>
      <c r="E676" s="147" t="s">
        <v>38</v>
      </c>
      <c r="F676" s="129" t="s">
        <v>1859</v>
      </c>
      <c r="G676" s="147" t="s">
        <v>34</v>
      </c>
      <c r="H676" s="189">
        <f t="shared" si="11"/>
        <v>22</v>
      </c>
      <c r="I676" s="210" t="s">
        <v>2229</v>
      </c>
      <c r="J676" s="148">
        <v>30</v>
      </c>
      <c r="K676" s="147">
        <v>5</v>
      </c>
      <c r="L676" s="147">
        <v>1</v>
      </c>
      <c r="M676" s="147">
        <v>6</v>
      </c>
      <c r="N676" s="275">
        <v>50</v>
      </c>
      <c r="O676" s="194"/>
      <c r="P676" s="179"/>
      <c r="Q676" s="173">
        <v>16</v>
      </c>
      <c r="R676" s="271">
        <f>300/N676</f>
        <v>6</v>
      </c>
      <c r="S676" s="167"/>
      <c r="T676" s="129" t="s">
        <v>102</v>
      </c>
      <c r="U676" s="147" t="s">
        <v>35</v>
      </c>
      <c r="V676" s="129"/>
      <c r="W676" s="162" t="s">
        <v>54</v>
      </c>
      <c r="X676" s="205"/>
      <c r="Y676" s="251"/>
      <c r="Z676" s="290"/>
      <c r="AA676" s="286"/>
    </row>
    <row r="677" spans="1:27" hidden="1" x14ac:dyDescent="0.25">
      <c r="A677" s="131">
        <v>1</v>
      </c>
      <c r="B677" s="136">
        <v>1209004</v>
      </c>
      <c r="C677" s="128" t="s">
        <v>657</v>
      </c>
      <c r="D677" s="128" t="s">
        <v>847</v>
      </c>
      <c r="E677" s="147" t="s">
        <v>38</v>
      </c>
      <c r="F677" s="129" t="s">
        <v>36</v>
      </c>
      <c r="G677" s="147" t="s">
        <v>34</v>
      </c>
      <c r="H677" s="189">
        <f t="shared" si="11"/>
        <v>2.0499999999999998</v>
      </c>
      <c r="I677" s="180" t="s">
        <v>2213</v>
      </c>
      <c r="J677" s="150"/>
      <c r="K677" s="147"/>
      <c r="L677" s="147"/>
      <c r="M677" s="147">
        <v>4</v>
      </c>
      <c r="N677" s="275"/>
      <c r="O677" s="194"/>
      <c r="P677" s="179"/>
      <c r="Q677" s="173">
        <v>2.0499999999999998</v>
      </c>
      <c r="R677" s="271">
        <v>0</v>
      </c>
      <c r="S677" s="167"/>
      <c r="T677" s="129" t="s">
        <v>36</v>
      </c>
      <c r="U677" s="147" t="s">
        <v>37</v>
      </c>
      <c r="V677" s="129"/>
      <c r="W677" s="162" t="s">
        <v>2519</v>
      </c>
      <c r="X677" s="205"/>
      <c r="Y677" s="251"/>
      <c r="Z677" s="290"/>
      <c r="AA677" s="286"/>
    </row>
    <row r="678" spans="1:27" ht="24" hidden="1" x14ac:dyDescent="0.25">
      <c r="A678" s="131">
        <v>1</v>
      </c>
      <c r="B678" s="136">
        <v>1209005</v>
      </c>
      <c r="C678" s="128" t="s">
        <v>657</v>
      </c>
      <c r="D678" s="128" t="s">
        <v>848</v>
      </c>
      <c r="E678" s="147" t="s">
        <v>38</v>
      </c>
      <c r="F678" s="129" t="s">
        <v>329</v>
      </c>
      <c r="G678" s="147" t="s">
        <v>34</v>
      </c>
      <c r="H678" s="189">
        <f t="shared" si="11"/>
        <v>8.0300000000000011</v>
      </c>
      <c r="I678" s="180" t="s">
        <v>2213</v>
      </c>
      <c r="J678" s="150"/>
      <c r="K678" s="147">
        <v>2</v>
      </c>
      <c r="L678" s="147">
        <v>2</v>
      </c>
      <c r="M678" s="147">
        <v>4</v>
      </c>
      <c r="N678" s="275"/>
      <c r="O678" s="194"/>
      <c r="P678" s="179"/>
      <c r="Q678" s="173">
        <v>7.98</v>
      </c>
      <c r="R678" s="271">
        <v>0.05</v>
      </c>
      <c r="S678" s="164"/>
      <c r="T678" s="128" t="s">
        <v>329</v>
      </c>
      <c r="U678" s="147" t="s">
        <v>35</v>
      </c>
      <c r="V678" s="129" t="s">
        <v>1603</v>
      </c>
      <c r="W678" s="176" t="s">
        <v>2519</v>
      </c>
      <c r="X678" s="205"/>
      <c r="Y678" s="251"/>
      <c r="Z678" s="155"/>
      <c r="AA678" s="230"/>
    </row>
    <row r="679" spans="1:27" ht="24" x14ac:dyDescent="0.25">
      <c r="A679" s="131">
        <v>1</v>
      </c>
      <c r="B679" s="136">
        <v>1209006</v>
      </c>
      <c r="C679" s="128" t="s">
        <v>657</v>
      </c>
      <c r="D679" s="128" t="s">
        <v>849</v>
      </c>
      <c r="E679" s="147" t="s">
        <v>38</v>
      </c>
      <c r="F679" s="129" t="s">
        <v>1792</v>
      </c>
      <c r="G679" s="147" t="s">
        <v>34</v>
      </c>
      <c r="H679" s="189">
        <f t="shared" si="11"/>
        <v>7.42</v>
      </c>
      <c r="I679" s="210" t="s">
        <v>2223</v>
      </c>
      <c r="J679" s="146">
        <v>30</v>
      </c>
      <c r="K679" s="147">
        <v>4</v>
      </c>
      <c r="L679" s="147">
        <v>1</v>
      </c>
      <c r="M679" s="147">
        <v>5</v>
      </c>
      <c r="N679" s="275">
        <v>110</v>
      </c>
      <c r="O679" s="193">
        <v>7.42</v>
      </c>
      <c r="P679" s="179">
        <v>45133</v>
      </c>
      <c r="Q679" s="173">
        <v>7.42</v>
      </c>
      <c r="R679" s="271">
        <v>0</v>
      </c>
      <c r="S679" s="164"/>
      <c r="T679" s="128" t="s">
        <v>2441</v>
      </c>
      <c r="U679" s="147" t="s">
        <v>37</v>
      </c>
      <c r="V679" s="129"/>
      <c r="W679" s="147" t="s">
        <v>2208</v>
      </c>
      <c r="X679" s="205" t="s">
        <v>1904</v>
      </c>
      <c r="Y679" s="251"/>
      <c r="Z679" s="290"/>
      <c r="AA679" s="286"/>
    </row>
    <row r="680" spans="1:27" s="181" customFormat="1" ht="24" x14ac:dyDescent="0.25">
      <c r="A680" s="131">
        <v>1</v>
      </c>
      <c r="B680" s="136">
        <v>1209007</v>
      </c>
      <c r="C680" s="128" t="s">
        <v>657</v>
      </c>
      <c r="D680" s="128" t="s">
        <v>853</v>
      </c>
      <c r="E680" s="147" t="s">
        <v>38</v>
      </c>
      <c r="F680" s="129" t="s">
        <v>1792</v>
      </c>
      <c r="G680" s="147" t="s">
        <v>34</v>
      </c>
      <c r="H680" s="189">
        <f t="shared" si="11"/>
        <v>15.21</v>
      </c>
      <c r="I680" s="210" t="s">
        <v>2223</v>
      </c>
      <c r="J680" s="146">
        <v>30</v>
      </c>
      <c r="K680" s="147">
        <v>4</v>
      </c>
      <c r="L680" s="147">
        <v>1</v>
      </c>
      <c r="M680" s="147">
        <v>5</v>
      </c>
      <c r="N680" s="275">
        <v>55</v>
      </c>
      <c r="O680" s="193">
        <v>15.21</v>
      </c>
      <c r="P680" s="179">
        <v>45133</v>
      </c>
      <c r="Q680" s="173">
        <v>15.21</v>
      </c>
      <c r="R680" s="271">
        <v>0</v>
      </c>
      <c r="S680" s="164"/>
      <c r="T680" s="128" t="s">
        <v>2441</v>
      </c>
      <c r="U680" s="147" t="s">
        <v>37</v>
      </c>
      <c r="V680" s="129"/>
      <c r="W680" s="147" t="s">
        <v>2208</v>
      </c>
      <c r="X680" s="205" t="s">
        <v>1904</v>
      </c>
      <c r="Y680" s="251"/>
      <c r="Z680" s="290"/>
      <c r="AA680" s="286"/>
    </row>
    <row r="681" spans="1:27" s="181" customFormat="1" ht="24" x14ac:dyDescent="0.25">
      <c r="A681" s="131">
        <v>1</v>
      </c>
      <c r="B681" s="136">
        <v>1209008</v>
      </c>
      <c r="C681" s="128" t="s">
        <v>657</v>
      </c>
      <c r="D681" s="128" t="s">
        <v>2305</v>
      </c>
      <c r="E681" s="147" t="s">
        <v>38</v>
      </c>
      <c r="F681" s="129" t="s">
        <v>1792</v>
      </c>
      <c r="G681" s="147" t="s">
        <v>34</v>
      </c>
      <c r="H681" s="189">
        <f t="shared" si="11"/>
        <v>20.556999999999999</v>
      </c>
      <c r="I681" s="210" t="s">
        <v>2223</v>
      </c>
      <c r="J681" s="146">
        <v>30</v>
      </c>
      <c r="K681" s="147">
        <v>4</v>
      </c>
      <c r="L681" s="147">
        <v>1</v>
      </c>
      <c r="M681" s="147">
        <v>5</v>
      </c>
      <c r="N681" s="275">
        <v>55</v>
      </c>
      <c r="O681" s="173">
        <v>18.07</v>
      </c>
      <c r="P681" s="179">
        <v>45869</v>
      </c>
      <c r="Q681" s="260">
        <v>20.556999999999999</v>
      </c>
      <c r="R681" s="271">
        <v>0</v>
      </c>
      <c r="S681" s="164"/>
      <c r="T681" s="128" t="s">
        <v>2441</v>
      </c>
      <c r="U681" s="147" t="s">
        <v>37</v>
      </c>
      <c r="V681" s="129"/>
      <c r="W681" s="147" t="s">
        <v>2208</v>
      </c>
      <c r="X681" s="205" t="s">
        <v>1904</v>
      </c>
      <c r="Y681" s="251"/>
      <c r="Z681" s="290"/>
      <c r="AA681" s="286"/>
    </row>
    <row r="682" spans="1:27" s="181" customFormat="1" ht="24" x14ac:dyDescent="0.25">
      <c r="A682" s="131">
        <v>1</v>
      </c>
      <c r="B682" s="136">
        <v>1209009</v>
      </c>
      <c r="C682" s="128" t="s">
        <v>657</v>
      </c>
      <c r="D682" s="339" t="s">
        <v>2565</v>
      </c>
      <c r="E682" s="147" t="s">
        <v>38</v>
      </c>
      <c r="F682" s="129" t="s">
        <v>1792</v>
      </c>
      <c r="G682" s="147" t="s">
        <v>34</v>
      </c>
      <c r="H682" s="189">
        <f t="shared" si="11"/>
        <v>28.776195228159299</v>
      </c>
      <c r="I682" s="210" t="s">
        <v>2223</v>
      </c>
      <c r="J682" s="146">
        <v>30</v>
      </c>
      <c r="K682" s="147">
        <v>5</v>
      </c>
      <c r="L682" s="147">
        <v>1</v>
      </c>
      <c r="M682" s="147">
        <v>6</v>
      </c>
      <c r="N682" s="275">
        <f>25*2.2046</f>
        <v>55.115000000000002</v>
      </c>
      <c r="O682" s="193"/>
      <c r="P682" s="179">
        <v>46076</v>
      </c>
      <c r="Q682" s="260">
        <f>63.44/2.2046</f>
        <v>28.776195228159299</v>
      </c>
      <c r="R682" s="271">
        <v>0</v>
      </c>
      <c r="S682" s="164"/>
      <c r="T682" s="128" t="s">
        <v>2441</v>
      </c>
      <c r="U682" s="147" t="s">
        <v>37</v>
      </c>
      <c r="V682" s="129"/>
      <c r="W682" s="147" t="s">
        <v>2208</v>
      </c>
      <c r="X682" s="207" t="s">
        <v>1904</v>
      </c>
      <c r="Y682" s="251"/>
      <c r="Z682" s="290"/>
      <c r="AA682" s="286"/>
    </row>
    <row r="683" spans="1:27" s="181" customFormat="1" hidden="1" x14ac:dyDescent="0.25">
      <c r="A683" s="131">
        <v>1</v>
      </c>
      <c r="B683" s="136">
        <v>1209010</v>
      </c>
      <c r="C683" s="128" t="s">
        <v>657</v>
      </c>
      <c r="D683" s="128" t="s">
        <v>856</v>
      </c>
      <c r="E683" s="147" t="s">
        <v>38</v>
      </c>
      <c r="F683" s="129" t="s">
        <v>1640</v>
      </c>
      <c r="G683" s="147" t="s">
        <v>34</v>
      </c>
      <c r="H683" s="189">
        <f t="shared" si="11"/>
        <v>8.73</v>
      </c>
      <c r="I683" s="134"/>
      <c r="J683" s="150"/>
      <c r="K683" s="147"/>
      <c r="L683" s="147"/>
      <c r="M683" s="147">
        <v>16</v>
      </c>
      <c r="N683" s="275">
        <v>55</v>
      </c>
      <c r="O683" s="194">
        <v>3.27</v>
      </c>
      <c r="P683" s="179">
        <v>45049</v>
      </c>
      <c r="Q683" s="173">
        <v>8.73</v>
      </c>
      <c r="R683" s="271">
        <v>0</v>
      </c>
      <c r="S683" s="164"/>
      <c r="T683" s="129" t="s">
        <v>102</v>
      </c>
      <c r="U683" s="147" t="s">
        <v>35</v>
      </c>
      <c r="V683" s="129"/>
      <c r="W683" s="162" t="s">
        <v>54</v>
      </c>
      <c r="X683" s="205"/>
      <c r="Y683" s="251"/>
      <c r="Z683" s="155"/>
      <c r="AA683" s="230"/>
    </row>
    <row r="684" spans="1:27" s="181" customFormat="1" ht="36" x14ac:dyDescent="0.25">
      <c r="A684" s="131">
        <v>1</v>
      </c>
      <c r="B684" s="136">
        <v>1209011</v>
      </c>
      <c r="C684" s="128" t="s">
        <v>657</v>
      </c>
      <c r="D684" s="128" t="s">
        <v>2125</v>
      </c>
      <c r="E684" s="147" t="s">
        <v>38</v>
      </c>
      <c r="F684" s="129" t="s">
        <v>1859</v>
      </c>
      <c r="G684" s="147" t="s">
        <v>34</v>
      </c>
      <c r="H684" s="189">
        <f t="shared" si="11"/>
        <v>19.740000000000002</v>
      </c>
      <c r="I684" s="210" t="s">
        <v>2229</v>
      </c>
      <c r="J684" s="148">
        <v>30</v>
      </c>
      <c r="K684" s="147">
        <v>5</v>
      </c>
      <c r="L684" s="147">
        <v>1</v>
      </c>
      <c r="M684" s="147">
        <v>6</v>
      </c>
      <c r="N684" s="275">
        <v>50</v>
      </c>
      <c r="O684" s="173">
        <v>18.5</v>
      </c>
      <c r="P684" s="179">
        <v>46120</v>
      </c>
      <c r="Q684" s="173">
        <v>13.74</v>
      </c>
      <c r="R684" s="271">
        <f>300/N684</f>
        <v>6</v>
      </c>
      <c r="S684" s="164"/>
      <c r="T684" s="128" t="s">
        <v>2089</v>
      </c>
      <c r="U684" s="147" t="s">
        <v>37</v>
      </c>
      <c r="V684" s="129"/>
      <c r="W684" s="147" t="s">
        <v>2208</v>
      </c>
      <c r="X684" s="205" t="s">
        <v>1987</v>
      </c>
      <c r="Y684" s="251"/>
      <c r="Z684" s="290"/>
      <c r="AA684" s="286"/>
    </row>
    <row r="685" spans="1:27" s="181" customFormat="1" ht="36" x14ac:dyDescent="0.25">
      <c r="A685" s="131">
        <v>1</v>
      </c>
      <c r="B685" s="136">
        <v>1209012</v>
      </c>
      <c r="C685" s="128" t="s">
        <v>657</v>
      </c>
      <c r="D685" s="128" t="s">
        <v>1493</v>
      </c>
      <c r="E685" s="147" t="s">
        <v>38</v>
      </c>
      <c r="F685" s="129" t="s">
        <v>1859</v>
      </c>
      <c r="G685" s="147" t="s">
        <v>34</v>
      </c>
      <c r="H685" s="189">
        <f t="shared" si="11"/>
        <v>17.59</v>
      </c>
      <c r="I685" s="210" t="s">
        <v>2229</v>
      </c>
      <c r="J685" s="148">
        <v>30</v>
      </c>
      <c r="K685" s="147">
        <v>5</v>
      </c>
      <c r="L685" s="147">
        <v>1</v>
      </c>
      <c r="M685" s="147">
        <v>6</v>
      </c>
      <c r="N685" s="275">
        <v>100</v>
      </c>
      <c r="O685" s="173">
        <v>18.62</v>
      </c>
      <c r="P685" s="179">
        <v>46150</v>
      </c>
      <c r="Q685" s="173">
        <v>14.59</v>
      </c>
      <c r="R685" s="271">
        <f>300/N685</f>
        <v>3</v>
      </c>
      <c r="S685" s="164"/>
      <c r="T685" s="128" t="s">
        <v>2089</v>
      </c>
      <c r="U685" s="147" t="s">
        <v>37</v>
      </c>
      <c r="V685" s="129"/>
      <c r="W685" s="147" t="s">
        <v>2208</v>
      </c>
      <c r="X685" s="205" t="s">
        <v>1987</v>
      </c>
      <c r="Y685" s="251"/>
      <c r="Z685" s="290"/>
      <c r="AA685" s="286"/>
    </row>
    <row r="686" spans="1:27" s="181" customFormat="1" ht="36" x14ac:dyDescent="0.25">
      <c r="A686" s="131">
        <v>1</v>
      </c>
      <c r="B686" s="136">
        <v>1209013</v>
      </c>
      <c r="C686" s="128" t="s">
        <v>657</v>
      </c>
      <c r="D686" s="128" t="s">
        <v>1969</v>
      </c>
      <c r="E686" s="147" t="s">
        <v>38</v>
      </c>
      <c r="F686" s="129" t="s">
        <v>1859</v>
      </c>
      <c r="G686" s="147" t="s">
        <v>34</v>
      </c>
      <c r="H686" s="189">
        <f t="shared" si="11"/>
        <v>24.91</v>
      </c>
      <c r="I686" s="210" t="s">
        <v>2229</v>
      </c>
      <c r="J686" s="148">
        <v>30</v>
      </c>
      <c r="K686" s="147">
        <v>5</v>
      </c>
      <c r="L686" s="147">
        <v>1</v>
      </c>
      <c r="M686" s="147">
        <v>6</v>
      </c>
      <c r="N686" s="275">
        <v>50</v>
      </c>
      <c r="O686" s="193">
        <v>18.66</v>
      </c>
      <c r="P686" s="179">
        <v>45258</v>
      </c>
      <c r="Q686" s="173">
        <v>18.91</v>
      </c>
      <c r="R686" s="271">
        <f>300/N686</f>
        <v>6</v>
      </c>
      <c r="S686" s="164"/>
      <c r="T686" s="128" t="s">
        <v>2089</v>
      </c>
      <c r="U686" s="147" t="s">
        <v>37</v>
      </c>
      <c r="V686" s="129"/>
      <c r="W686" s="147" t="s">
        <v>2208</v>
      </c>
      <c r="X686" s="205" t="s">
        <v>1987</v>
      </c>
      <c r="Y686" s="251"/>
      <c r="Z686" s="290"/>
      <c r="AA686" s="286"/>
    </row>
    <row r="687" spans="1:27" s="181" customFormat="1" ht="36" x14ac:dyDescent="0.25">
      <c r="A687" s="131">
        <v>1</v>
      </c>
      <c r="B687" s="136">
        <v>1209014</v>
      </c>
      <c r="C687" s="128" t="s">
        <v>657</v>
      </c>
      <c r="D687" s="128" t="s">
        <v>858</v>
      </c>
      <c r="E687" s="147" t="s">
        <v>38</v>
      </c>
      <c r="F687" s="129" t="s">
        <v>1859</v>
      </c>
      <c r="G687" s="147" t="s">
        <v>34</v>
      </c>
      <c r="H687" s="189">
        <f t="shared" si="11"/>
        <v>16.2</v>
      </c>
      <c r="I687" s="210" t="s">
        <v>2229</v>
      </c>
      <c r="J687" s="148">
        <v>30</v>
      </c>
      <c r="K687" s="147">
        <v>5</v>
      </c>
      <c r="L687" s="147">
        <v>1</v>
      </c>
      <c r="M687" s="147">
        <v>6</v>
      </c>
      <c r="N687" s="275">
        <v>50</v>
      </c>
      <c r="O687" s="193"/>
      <c r="P687" s="179">
        <v>45338</v>
      </c>
      <c r="Q687" s="173">
        <v>10.199999999999999</v>
      </c>
      <c r="R687" s="271">
        <f>300/N687</f>
        <v>6</v>
      </c>
      <c r="S687" s="164"/>
      <c r="T687" s="128" t="s">
        <v>2089</v>
      </c>
      <c r="U687" s="147" t="s">
        <v>37</v>
      </c>
      <c r="V687" s="129"/>
      <c r="W687" s="147" t="s">
        <v>2208</v>
      </c>
      <c r="X687" s="205" t="s">
        <v>1987</v>
      </c>
      <c r="Y687" s="251"/>
      <c r="Z687" s="290"/>
      <c r="AA687" s="286"/>
    </row>
    <row r="688" spans="1:27" s="181" customFormat="1" ht="24" x14ac:dyDescent="0.25">
      <c r="A688" s="131">
        <v>1</v>
      </c>
      <c r="B688" s="136">
        <v>1209015</v>
      </c>
      <c r="C688" s="128" t="s">
        <v>657</v>
      </c>
      <c r="D688" s="128" t="s">
        <v>1516</v>
      </c>
      <c r="E688" s="147" t="s">
        <v>38</v>
      </c>
      <c r="F688" s="129" t="s">
        <v>1792</v>
      </c>
      <c r="G688" s="147" t="s">
        <v>34</v>
      </c>
      <c r="H688" s="189">
        <f t="shared" si="11"/>
        <v>9.4</v>
      </c>
      <c r="I688" s="210" t="s">
        <v>2223</v>
      </c>
      <c r="J688" s="146">
        <v>30</v>
      </c>
      <c r="K688" s="147">
        <v>4</v>
      </c>
      <c r="L688" s="147">
        <v>1</v>
      </c>
      <c r="M688" s="147">
        <v>5</v>
      </c>
      <c r="N688" s="275">
        <v>220.46</v>
      </c>
      <c r="O688" s="193">
        <v>9.39</v>
      </c>
      <c r="P688" s="179">
        <v>45133</v>
      </c>
      <c r="Q688" s="173">
        <v>9.4</v>
      </c>
      <c r="R688" s="271">
        <v>0</v>
      </c>
      <c r="S688" s="164"/>
      <c r="T688" s="128" t="s">
        <v>2441</v>
      </c>
      <c r="U688" s="147" t="s">
        <v>37</v>
      </c>
      <c r="V688" s="129"/>
      <c r="W688" s="147" t="s">
        <v>2208</v>
      </c>
      <c r="X688" s="205" t="s">
        <v>1904</v>
      </c>
      <c r="Y688" s="251"/>
      <c r="Z688" s="290"/>
      <c r="AA688" s="286"/>
    </row>
    <row r="689" spans="1:27" s="181" customFormat="1" ht="24" hidden="1" x14ac:dyDescent="0.25">
      <c r="A689" s="131">
        <v>1</v>
      </c>
      <c r="B689" s="136">
        <v>1209016</v>
      </c>
      <c r="C689" s="128" t="s">
        <v>657</v>
      </c>
      <c r="D689" s="128" t="s">
        <v>1573</v>
      </c>
      <c r="E689" s="147" t="s">
        <v>38</v>
      </c>
      <c r="F689" s="129" t="s">
        <v>1792</v>
      </c>
      <c r="G689" s="147" t="s">
        <v>34</v>
      </c>
      <c r="H689" s="189">
        <f t="shared" si="11"/>
        <v>7.4298999999999999</v>
      </c>
      <c r="I689" s="210" t="s">
        <v>2223</v>
      </c>
      <c r="J689" s="146">
        <v>30</v>
      </c>
      <c r="K689" s="147">
        <v>7</v>
      </c>
      <c r="L689" s="147">
        <v>1</v>
      </c>
      <c r="M689" s="147">
        <v>8</v>
      </c>
      <c r="N689" s="275">
        <v>50</v>
      </c>
      <c r="O689" s="194"/>
      <c r="P689" s="179">
        <v>44686</v>
      </c>
      <c r="Q689" s="173">
        <v>7.4298999999999999</v>
      </c>
      <c r="R689" s="260">
        <v>0</v>
      </c>
      <c r="S689" s="164"/>
      <c r="T689" s="128" t="s">
        <v>284</v>
      </c>
      <c r="U689" s="147" t="s">
        <v>37</v>
      </c>
      <c r="V689" s="129"/>
      <c r="W689" s="147" t="s">
        <v>2209</v>
      </c>
      <c r="X689" s="205" t="s">
        <v>1904</v>
      </c>
      <c r="Y689" s="251"/>
      <c r="Z689" s="290"/>
      <c r="AA689" s="286"/>
    </row>
    <row r="690" spans="1:27" s="181" customFormat="1" ht="24" hidden="1" x14ac:dyDescent="0.25">
      <c r="A690" s="131">
        <v>1</v>
      </c>
      <c r="B690" s="136">
        <v>1209017</v>
      </c>
      <c r="C690" s="128" t="s">
        <v>657</v>
      </c>
      <c r="D690" s="128" t="s">
        <v>1584</v>
      </c>
      <c r="E690" s="147" t="s">
        <v>38</v>
      </c>
      <c r="F690" s="129" t="s">
        <v>1585</v>
      </c>
      <c r="G690" s="147" t="s">
        <v>34</v>
      </c>
      <c r="H690" s="189">
        <f t="shared" si="11"/>
        <v>16.05</v>
      </c>
      <c r="I690" s="134"/>
      <c r="J690" s="150"/>
      <c r="K690" s="147"/>
      <c r="L690" s="147"/>
      <c r="M690" s="147">
        <v>2</v>
      </c>
      <c r="N690" s="275"/>
      <c r="O690" s="194"/>
      <c r="P690" s="179"/>
      <c r="Q690" s="173">
        <v>16</v>
      </c>
      <c r="R690" s="271">
        <v>0.05</v>
      </c>
      <c r="S690" s="164" t="s">
        <v>35</v>
      </c>
      <c r="T690" s="128" t="s">
        <v>1588</v>
      </c>
      <c r="U690" s="147" t="s">
        <v>37</v>
      </c>
      <c r="V690" s="129"/>
      <c r="W690" s="147" t="s">
        <v>2209</v>
      </c>
      <c r="X690" s="205"/>
      <c r="Y690" s="251"/>
      <c r="Z690" s="155"/>
      <c r="AA690" s="230"/>
    </row>
    <row r="691" spans="1:27" s="181" customFormat="1" ht="24" hidden="1" x14ac:dyDescent="0.25">
      <c r="A691" s="131">
        <v>1</v>
      </c>
      <c r="B691" s="136">
        <v>1209018</v>
      </c>
      <c r="C691" s="128" t="s">
        <v>657</v>
      </c>
      <c r="D691" s="128" t="s">
        <v>1586</v>
      </c>
      <c r="E691" s="147" t="s">
        <v>38</v>
      </c>
      <c r="F691" s="129" t="s">
        <v>1585</v>
      </c>
      <c r="G691" s="147" t="s">
        <v>34</v>
      </c>
      <c r="H691" s="189">
        <f t="shared" si="11"/>
        <v>16.05</v>
      </c>
      <c r="I691" s="134"/>
      <c r="J691" s="150"/>
      <c r="K691" s="147"/>
      <c r="L691" s="147"/>
      <c r="M691" s="147">
        <v>2</v>
      </c>
      <c r="N691" s="275"/>
      <c r="O691" s="194"/>
      <c r="P691" s="179"/>
      <c r="Q691" s="173">
        <v>16</v>
      </c>
      <c r="R691" s="271">
        <v>0.05</v>
      </c>
      <c r="S691" s="164" t="s">
        <v>35</v>
      </c>
      <c r="T691" s="128" t="s">
        <v>1588</v>
      </c>
      <c r="U691" s="147" t="s">
        <v>37</v>
      </c>
      <c r="V691" s="129"/>
      <c r="W691" s="147" t="s">
        <v>2209</v>
      </c>
      <c r="X691" s="205"/>
      <c r="Y691" s="251"/>
      <c r="Z691" s="155"/>
      <c r="AA691" s="230"/>
    </row>
    <row r="692" spans="1:27" s="181" customFormat="1" ht="24" hidden="1" x14ac:dyDescent="0.25">
      <c r="A692" s="131">
        <v>1</v>
      </c>
      <c r="B692" s="136">
        <v>1209019</v>
      </c>
      <c r="C692" s="128" t="s">
        <v>657</v>
      </c>
      <c r="D692" s="128" t="s">
        <v>1629</v>
      </c>
      <c r="E692" s="147" t="s">
        <v>38</v>
      </c>
      <c r="F692" s="129" t="s">
        <v>1625</v>
      </c>
      <c r="G692" s="147" t="s">
        <v>34</v>
      </c>
      <c r="H692" s="189">
        <f t="shared" si="11"/>
        <v>16.05</v>
      </c>
      <c r="I692" s="180" t="s">
        <v>2213</v>
      </c>
      <c r="J692" s="150"/>
      <c r="K692" s="147">
        <v>11</v>
      </c>
      <c r="L692" s="147">
        <v>1</v>
      </c>
      <c r="M692" s="147">
        <v>12</v>
      </c>
      <c r="N692" s="275"/>
      <c r="O692" s="194"/>
      <c r="P692" s="179"/>
      <c r="Q692" s="173">
        <v>16</v>
      </c>
      <c r="R692" s="271">
        <v>0.05</v>
      </c>
      <c r="S692" s="164"/>
      <c r="T692" s="129" t="s">
        <v>1625</v>
      </c>
      <c r="U692" s="147" t="s">
        <v>37</v>
      </c>
      <c r="V692" s="129"/>
      <c r="W692" s="162" t="s">
        <v>2519</v>
      </c>
      <c r="X692" s="205"/>
      <c r="Y692" s="251"/>
      <c r="Z692" s="155"/>
      <c r="AA692" s="230"/>
    </row>
    <row r="693" spans="1:27" s="181" customFormat="1" ht="24" hidden="1" x14ac:dyDescent="0.25">
      <c r="A693" s="131">
        <v>1</v>
      </c>
      <c r="B693" s="136">
        <v>1209020</v>
      </c>
      <c r="C693" s="128" t="s">
        <v>657</v>
      </c>
      <c r="D693" s="128" t="s">
        <v>1630</v>
      </c>
      <c r="E693" s="147" t="s">
        <v>38</v>
      </c>
      <c r="F693" s="129" t="s">
        <v>1625</v>
      </c>
      <c r="G693" s="147" t="s">
        <v>34</v>
      </c>
      <c r="H693" s="189">
        <f t="shared" si="11"/>
        <v>16.05</v>
      </c>
      <c r="I693" s="180" t="s">
        <v>2213</v>
      </c>
      <c r="J693" s="150"/>
      <c r="K693" s="147">
        <v>11</v>
      </c>
      <c r="L693" s="147">
        <v>1</v>
      </c>
      <c r="M693" s="147">
        <v>12</v>
      </c>
      <c r="N693" s="275"/>
      <c r="O693" s="194"/>
      <c r="P693" s="179"/>
      <c r="Q693" s="173">
        <v>16</v>
      </c>
      <c r="R693" s="271">
        <v>0.05</v>
      </c>
      <c r="S693" s="164"/>
      <c r="T693" s="129" t="s">
        <v>1625</v>
      </c>
      <c r="U693" s="147" t="s">
        <v>37</v>
      </c>
      <c r="V693" s="129"/>
      <c r="W693" s="162" t="s">
        <v>2519</v>
      </c>
      <c r="X693" s="205"/>
      <c r="Y693" s="251"/>
      <c r="Z693" s="155"/>
      <c r="AA693" s="230"/>
    </row>
    <row r="694" spans="1:27" s="181" customFormat="1" ht="24" hidden="1" x14ac:dyDescent="0.25">
      <c r="A694" s="131">
        <v>1</v>
      </c>
      <c r="B694" s="136">
        <v>1209021</v>
      </c>
      <c r="C694" s="128" t="s">
        <v>657</v>
      </c>
      <c r="D694" s="128" t="s">
        <v>1633</v>
      </c>
      <c r="E694" s="147" t="s">
        <v>38</v>
      </c>
      <c r="F694" s="129" t="s">
        <v>1625</v>
      </c>
      <c r="G694" s="147" t="s">
        <v>34</v>
      </c>
      <c r="H694" s="189">
        <f t="shared" si="11"/>
        <v>16.05</v>
      </c>
      <c r="I694" s="180" t="s">
        <v>2213</v>
      </c>
      <c r="J694" s="150"/>
      <c r="K694" s="147">
        <v>11</v>
      </c>
      <c r="L694" s="147">
        <v>1</v>
      </c>
      <c r="M694" s="147">
        <v>12</v>
      </c>
      <c r="N694" s="275"/>
      <c r="O694" s="194"/>
      <c r="P694" s="179"/>
      <c r="Q694" s="173">
        <v>16</v>
      </c>
      <c r="R694" s="271">
        <v>0.05</v>
      </c>
      <c r="S694" s="164"/>
      <c r="T694" s="129" t="s">
        <v>1625</v>
      </c>
      <c r="U694" s="147" t="s">
        <v>37</v>
      </c>
      <c r="V694" s="129"/>
      <c r="W694" s="162" t="s">
        <v>2519</v>
      </c>
      <c r="X694" s="205"/>
      <c r="Y694" s="251"/>
      <c r="Z694" s="155"/>
      <c r="AA694" s="230"/>
    </row>
    <row r="695" spans="1:27" s="181" customFormat="1" ht="24" hidden="1" x14ac:dyDescent="0.25">
      <c r="A695" s="131">
        <v>1</v>
      </c>
      <c r="B695" s="136">
        <v>1209022</v>
      </c>
      <c r="C695" s="128" t="s">
        <v>657</v>
      </c>
      <c r="D695" s="128" t="s">
        <v>1689</v>
      </c>
      <c r="E695" s="147" t="s">
        <v>38</v>
      </c>
      <c r="F695" s="129" t="s">
        <v>1792</v>
      </c>
      <c r="G695" s="147" t="s">
        <v>34</v>
      </c>
      <c r="H695" s="189">
        <f t="shared" si="11"/>
        <v>7.0860000000000003</v>
      </c>
      <c r="I695" s="210" t="s">
        <v>2223</v>
      </c>
      <c r="J695" s="146">
        <v>30</v>
      </c>
      <c r="K695" s="147">
        <v>7</v>
      </c>
      <c r="L695" s="147">
        <v>1</v>
      </c>
      <c r="M695" s="147">
        <v>8</v>
      </c>
      <c r="N695" s="275" t="s">
        <v>11</v>
      </c>
      <c r="O695" s="194"/>
      <c r="P695" s="179"/>
      <c r="Q695" s="173">
        <v>7.0860000000000003</v>
      </c>
      <c r="R695" s="260">
        <v>0</v>
      </c>
      <c r="S695" s="164"/>
      <c r="T695" s="128" t="s">
        <v>1650</v>
      </c>
      <c r="U695" s="147" t="s">
        <v>37</v>
      </c>
      <c r="V695" s="129"/>
      <c r="W695" s="176" t="s">
        <v>54</v>
      </c>
      <c r="X695" s="205" t="s">
        <v>1904</v>
      </c>
      <c r="Y695" s="251"/>
      <c r="Z695" s="290"/>
      <c r="AA695" s="286"/>
    </row>
    <row r="696" spans="1:27" s="181" customFormat="1" hidden="1" x14ac:dyDescent="0.25">
      <c r="A696" s="131">
        <v>1</v>
      </c>
      <c r="B696" s="136">
        <v>1209023</v>
      </c>
      <c r="C696" s="128" t="s">
        <v>657</v>
      </c>
      <c r="D696" s="128" t="s">
        <v>1646</v>
      </c>
      <c r="E696" s="147" t="s">
        <v>38</v>
      </c>
      <c r="F696" s="129" t="s">
        <v>1643</v>
      </c>
      <c r="G696" s="147" t="s">
        <v>34</v>
      </c>
      <c r="H696" s="189">
        <f t="shared" si="11"/>
        <v>16.05</v>
      </c>
      <c r="I696" s="134"/>
      <c r="J696" s="150"/>
      <c r="K696" s="147"/>
      <c r="L696" s="147"/>
      <c r="M696" s="147">
        <v>2</v>
      </c>
      <c r="N696" s="275" t="s">
        <v>1673</v>
      </c>
      <c r="O696" s="194"/>
      <c r="P696" s="179"/>
      <c r="Q696" s="173">
        <v>16</v>
      </c>
      <c r="R696" s="271">
        <v>0.05</v>
      </c>
      <c r="S696" s="164" t="s">
        <v>35</v>
      </c>
      <c r="T696" s="128" t="s">
        <v>1650</v>
      </c>
      <c r="U696" s="147" t="s">
        <v>37</v>
      </c>
      <c r="V696" s="129"/>
      <c r="W696" s="176" t="s">
        <v>54</v>
      </c>
      <c r="X696" s="205"/>
      <c r="Y696" s="251"/>
      <c r="Z696" s="155"/>
      <c r="AA696" s="230"/>
    </row>
    <row r="697" spans="1:27" s="204" customFormat="1" ht="24" x14ac:dyDescent="0.25">
      <c r="A697" s="131"/>
      <c r="B697" s="136">
        <v>1209024</v>
      </c>
      <c r="C697" s="128" t="s">
        <v>657</v>
      </c>
      <c r="D697" s="128" t="s">
        <v>1667</v>
      </c>
      <c r="E697" s="147" t="s">
        <v>38</v>
      </c>
      <c r="F697" s="129" t="s">
        <v>1792</v>
      </c>
      <c r="G697" s="147" t="s">
        <v>34</v>
      </c>
      <c r="H697" s="189">
        <f t="shared" si="11"/>
        <v>15.47</v>
      </c>
      <c r="I697" s="210" t="s">
        <v>2223</v>
      </c>
      <c r="J697" s="146">
        <v>30</v>
      </c>
      <c r="K697" s="147">
        <v>7</v>
      </c>
      <c r="L697" s="147">
        <v>1</v>
      </c>
      <c r="M697" s="147">
        <v>8</v>
      </c>
      <c r="N697" s="275" t="s">
        <v>1670</v>
      </c>
      <c r="O697" s="193"/>
      <c r="P697" s="179">
        <v>45050</v>
      </c>
      <c r="Q697" s="173">
        <v>15.47</v>
      </c>
      <c r="R697" s="271">
        <v>0</v>
      </c>
      <c r="S697" s="164"/>
      <c r="T697" s="128" t="s">
        <v>2441</v>
      </c>
      <c r="U697" s="147" t="s">
        <v>37</v>
      </c>
      <c r="V697" s="129"/>
      <c r="W697" s="147" t="s">
        <v>2208</v>
      </c>
      <c r="X697" s="205" t="s">
        <v>1904</v>
      </c>
      <c r="Y697" s="251"/>
      <c r="Z697" s="290"/>
      <c r="AA697" s="286"/>
    </row>
    <row r="698" spans="1:27" ht="24" hidden="1" x14ac:dyDescent="0.25">
      <c r="B698" s="136">
        <v>1209025</v>
      </c>
      <c r="C698" s="128" t="s">
        <v>657</v>
      </c>
      <c r="D698" s="128" t="s">
        <v>1740</v>
      </c>
      <c r="E698" s="147" t="s">
        <v>38</v>
      </c>
      <c r="F698" s="129" t="s">
        <v>1792</v>
      </c>
      <c r="G698" s="147" t="s">
        <v>34</v>
      </c>
      <c r="H698" s="189">
        <f t="shared" si="11"/>
        <v>8.16</v>
      </c>
      <c r="I698" s="210" t="s">
        <v>2223</v>
      </c>
      <c r="J698" s="146">
        <v>30</v>
      </c>
      <c r="K698" s="147">
        <v>4</v>
      </c>
      <c r="L698" s="147">
        <v>1</v>
      </c>
      <c r="M698" s="147">
        <v>5</v>
      </c>
      <c r="N698" s="275">
        <v>220.46</v>
      </c>
      <c r="O698" s="193"/>
      <c r="P698" s="179">
        <v>45085</v>
      </c>
      <c r="Q698" s="173">
        <v>8.16</v>
      </c>
      <c r="R698" s="271">
        <v>0</v>
      </c>
      <c r="S698" s="164"/>
      <c r="T698" s="129" t="s">
        <v>1681</v>
      </c>
      <c r="U698" s="147" t="s">
        <v>37</v>
      </c>
      <c r="V698" s="129"/>
      <c r="W698" s="176" t="s">
        <v>54</v>
      </c>
      <c r="X698" s="205" t="s">
        <v>1904</v>
      </c>
      <c r="Y698" s="251"/>
      <c r="Z698" s="290"/>
      <c r="AA698" s="286"/>
    </row>
    <row r="699" spans="1:27" s="181" customFormat="1" ht="24" x14ac:dyDescent="0.25">
      <c r="A699" s="131"/>
      <c r="B699" s="136">
        <v>1209026</v>
      </c>
      <c r="C699" s="127" t="s">
        <v>657</v>
      </c>
      <c r="D699" s="128" t="s">
        <v>1786</v>
      </c>
      <c r="E699" s="147" t="s">
        <v>38</v>
      </c>
      <c r="F699" s="129" t="s">
        <v>1792</v>
      </c>
      <c r="G699" s="147" t="s">
        <v>34</v>
      </c>
      <c r="H699" s="189">
        <f t="shared" si="11"/>
        <v>3.5017690283951732</v>
      </c>
      <c r="I699" s="210" t="s">
        <v>2223</v>
      </c>
      <c r="J699" s="146">
        <v>30</v>
      </c>
      <c r="K699" s="147">
        <v>4</v>
      </c>
      <c r="L699" s="147">
        <v>1</v>
      </c>
      <c r="M699" s="147">
        <v>5</v>
      </c>
      <c r="N699" s="275">
        <v>1102.3</v>
      </c>
      <c r="O699" s="193"/>
      <c r="P699" s="179">
        <v>45148</v>
      </c>
      <c r="Q699" s="173">
        <v>3.5017690283951732</v>
      </c>
      <c r="R699" s="271">
        <v>0</v>
      </c>
      <c r="S699" s="164"/>
      <c r="T699" s="129" t="s">
        <v>1711</v>
      </c>
      <c r="U699" s="147" t="s">
        <v>37</v>
      </c>
      <c r="V699" s="129"/>
      <c r="W699" s="147" t="s">
        <v>2208</v>
      </c>
      <c r="X699" s="205" t="s">
        <v>1904</v>
      </c>
      <c r="Y699" s="251"/>
      <c r="Z699" s="290"/>
      <c r="AA699" s="286"/>
    </row>
    <row r="700" spans="1:27" s="181" customFormat="1" ht="36" x14ac:dyDescent="0.25">
      <c r="A700" s="131"/>
      <c r="B700" s="129">
        <v>1209027</v>
      </c>
      <c r="C700" s="127" t="s">
        <v>657</v>
      </c>
      <c r="D700" s="136" t="s">
        <v>1865</v>
      </c>
      <c r="E700" s="147" t="s">
        <v>38</v>
      </c>
      <c r="F700" s="129" t="s">
        <v>1859</v>
      </c>
      <c r="G700" s="147" t="s">
        <v>34</v>
      </c>
      <c r="H700" s="189">
        <f t="shared" si="11"/>
        <v>26.17</v>
      </c>
      <c r="I700" s="210" t="s">
        <v>2229</v>
      </c>
      <c r="J700" s="148">
        <v>30</v>
      </c>
      <c r="K700" s="147">
        <v>5</v>
      </c>
      <c r="L700" s="147">
        <v>1</v>
      </c>
      <c r="M700" s="147">
        <v>6</v>
      </c>
      <c r="N700" s="275">
        <v>50</v>
      </c>
      <c r="O700" s="196"/>
      <c r="P700" s="179">
        <v>45712</v>
      </c>
      <c r="Q700" s="175">
        <v>20.170000000000002</v>
      </c>
      <c r="R700" s="271">
        <f>300/N700</f>
        <v>6</v>
      </c>
      <c r="S700" s="164"/>
      <c r="T700" s="128" t="s">
        <v>2441</v>
      </c>
      <c r="U700" s="147" t="s">
        <v>37</v>
      </c>
      <c r="V700" s="129"/>
      <c r="W700" s="147" t="s">
        <v>2208</v>
      </c>
      <c r="X700" s="205" t="s">
        <v>1987</v>
      </c>
      <c r="Y700" s="251"/>
      <c r="Z700" s="290"/>
      <c r="AA700" s="286"/>
    </row>
    <row r="701" spans="1:27" s="181" customFormat="1" ht="36" hidden="1" x14ac:dyDescent="0.25">
      <c r="A701" s="131"/>
      <c r="B701" s="136">
        <v>1209028</v>
      </c>
      <c r="C701" s="127" t="s">
        <v>657</v>
      </c>
      <c r="D701" s="128" t="s">
        <v>1967</v>
      </c>
      <c r="E701" s="147" t="s">
        <v>38</v>
      </c>
      <c r="F701" s="129" t="s">
        <v>1859</v>
      </c>
      <c r="G701" s="147" t="s">
        <v>34</v>
      </c>
      <c r="H701" s="189">
        <f t="shared" si="11"/>
        <v>5.51</v>
      </c>
      <c r="I701" s="210" t="s">
        <v>2229</v>
      </c>
      <c r="J701" s="146">
        <v>30</v>
      </c>
      <c r="K701" s="147">
        <v>4</v>
      </c>
      <c r="L701" s="147">
        <v>1</v>
      </c>
      <c r="M701" s="147">
        <v>5</v>
      </c>
      <c r="N701" s="275">
        <v>500</v>
      </c>
      <c r="O701" s="194">
        <v>7.1</v>
      </c>
      <c r="P701" s="179">
        <v>45447</v>
      </c>
      <c r="Q701" s="173">
        <v>4.91</v>
      </c>
      <c r="R701" s="271">
        <f>300/N701</f>
        <v>0.6</v>
      </c>
      <c r="S701" s="147"/>
      <c r="T701" s="129" t="s">
        <v>468</v>
      </c>
      <c r="U701" s="147" t="s">
        <v>37</v>
      </c>
      <c r="V701" s="129"/>
      <c r="W701" s="176" t="s">
        <v>54</v>
      </c>
      <c r="X701" s="205"/>
      <c r="Y701" s="251"/>
      <c r="Z701" s="290"/>
      <c r="AA701" s="286"/>
    </row>
    <row r="702" spans="1:27" x14ac:dyDescent="0.25">
      <c r="B702" s="136">
        <v>1209029</v>
      </c>
      <c r="C702" s="127" t="s">
        <v>657</v>
      </c>
      <c r="D702" s="128" t="s">
        <v>1921</v>
      </c>
      <c r="E702" s="147" t="s">
        <v>38</v>
      </c>
      <c r="F702" s="129" t="s">
        <v>1868</v>
      </c>
      <c r="G702" s="147" t="s">
        <v>34</v>
      </c>
      <c r="H702" s="189">
        <f t="shared" si="11"/>
        <v>0.03</v>
      </c>
      <c r="I702" s="180" t="s">
        <v>2213</v>
      </c>
      <c r="J702" s="150"/>
      <c r="K702" s="147">
        <v>1</v>
      </c>
      <c r="L702" s="147">
        <v>1</v>
      </c>
      <c r="M702" s="147">
        <v>2</v>
      </c>
      <c r="N702" s="275"/>
      <c r="O702" s="193"/>
      <c r="P702" s="179"/>
      <c r="Q702" s="173">
        <v>0.03</v>
      </c>
      <c r="R702" s="271">
        <v>0</v>
      </c>
      <c r="S702" s="147"/>
      <c r="T702" s="129" t="s">
        <v>1868</v>
      </c>
      <c r="U702" s="147" t="s">
        <v>37</v>
      </c>
      <c r="V702" s="129"/>
      <c r="W702" s="147" t="s">
        <v>2450</v>
      </c>
      <c r="X702" s="205" t="s">
        <v>1009</v>
      </c>
      <c r="Y702" s="251"/>
      <c r="Z702" s="155"/>
      <c r="AA702" s="230"/>
    </row>
    <row r="703" spans="1:27" x14ac:dyDescent="0.25">
      <c r="B703" s="136">
        <v>1209030</v>
      </c>
      <c r="C703" s="127" t="s">
        <v>657</v>
      </c>
      <c r="D703" s="128" t="s">
        <v>1922</v>
      </c>
      <c r="E703" s="147" t="s">
        <v>38</v>
      </c>
      <c r="F703" s="129" t="s">
        <v>1868</v>
      </c>
      <c r="G703" s="147" t="s">
        <v>34</v>
      </c>
      <c r="H703" s="189">
        <f t="shared" si="11"/>
        <v>0.03</v>
      </c>
      <c r="I703" s="180" t="s">
        <v>2213</v>
      </c>
      <c r="J703" s="150"/>
      <c r="K703" s="147">
        <v>1</v>
      </c>
      <c r="L703" s="147">
        <v>1</v>
      </c>
      <c r="M703" s="147">
        <v>2</v>
      </c>
      <c r="N703" s="275"/>
      <c r="O703" s="193"/>
      <c r="P703" s="179"/>
      <c r="Q703" s="173">
        <v>0.03</v>
      </c>
      <c r="R703" s="271">
        <v>0</v>
      </c>
      <c r="S703" s="147"/>
      <c r="T703" s="129" t="s">
        <v>1868</v>
      </c>
      <c r="U703" s="147" t="s">
        <v>37</v>
      </c>
      <c r="V703" s="129"/>
      <c r="W703" s="147" t="s">
        <v>2450</v>
      </c>
      <c r="X703" s="205" t="s">
        <v>1009</v>
      </c>
      <c r="Y703" s="251"/>
      <c r="Z703" s="155"/>
      <c r="AA703" s="230"/>
    </row>
    <row r="704" spans="1:27" ht="36" x14ac:dyDescent="0.25">
      <c r="B704" s="136">
        <v>1209031</v>
      </c>
      <c r="C704" s="127" t="s">
        <v>657</v>
      </c>
      <c r="D704" s="128" t="s">
        <v>1923</v>
      </c>
      <c r="E704" s="147" t="s">
        <v>38</v>
      </c>
      <c r="F704" s="129" t="s">
        <v>1859</v>
      </c>
      <c r="G704" s="147" t="s">
        <v>34</v>
      </c>
      <c r="H704" s="189">
        <f t="shared" si="11"/>
        <v>26.47</v>
      </c>
      <c r="I704" s="210" t="s">
        <v>2229</v>
      </c>
      <c r="J704" s="146">
        <v>30</v>
      </c>
      <c r="K704" s="147">
        <v>5</v>
      </c>
      <c r="L704" s="147">
        <v>1</v>
      </c>
      <c r="M704" s="147">
        <v>6</v>
      </c>
      <c r="N704" s="275">
        <v>50</v>
      </c>
      <c r="O704" s="193"/>
      <c r="P704" s="179">
        <v>45456</v>
      </c>
      <c r="Q704" s="173">
        <v>20.47</v>
      </c>
      <c r="R704" s="271">
        <f>300/N704</f>
        <v>6</v>
      </c>
      <c r="S704" s="147"/>
      <c r="T704" s="129" t="s">
        <v>2441</v>
      </c>
      <c r="U704" s="147" t="s">
        <v>37</v>
      </c>
      <c r="V704" s="129"/>
      <c r="W704" s="147" t="s">
        <v>2483</v>
      </c>
      <c r="X704" s="205" t="s">
        <v>1987</v>
      </c>
      <c r="Y704" s="251"/>
      <c r="Z704" s="290"/>
      <c r="AA704" s="286"/>
    </row>
    <row r="705" spans="1:27" s="181" customFormat="1" ht="48" hidden="1" x14ac:dyDescent="0.25">
      <c r="A705" s="131"/>
      <c r="B705" s="136">
        <v>1209032</v>
      </c>
      <c r="C705" s="127" t="s">
        <v>657</v>
      </c>
      <c r="D705" s="128" t="s">
        <v>1970</v>
      </c>
      <c r="E705" s="147" t="s">
        <v>38</v>
      </c>
      <c r="F705" s="129" t="s">
        <v>1792</v>
      </c>
      <c r="G705" s="147" t="s">
        <v>34</v>
      </c>
      <c r="H705" s="189">
        <f t="shared" si="11"/>
        <v>16.302277057062504</v>
      </c>
      <c r="I705" s="210" t="s">
        <v>2224</v>
      </c>
      <c r="J705" s="146">
        <v>30</v>
      </c>
      <c r="K705" s="147">
        <v>4</v>
      </c>
      <c r="L705" s="147">
        <v>1</v>
      </c>
      <c r="M705" s="147">
        <v>5</v>
      </c>
      <c r="N705" s="275">
        <v>55.115000000000002</v>
      </c>
      <c r="O705" s="193"/>
      <c r="P705" s="179">
        <v>45511</v>
      </c>
      <c r="Q705" s="173">
        <v>16.302277057062504</v>
      </c>
      <c r="R705" s="260">
        <v>0</v>
      </c>
      <c r="S705" s="164"/>
      <c r="T705" s="129" t="s">
        <v>468</v>
      </c>
      <c r="U705" s="147" t="s">
        <v>37</v>
      </c>
      <c r="V705" s="129"/>
      <c r="W705" s="176" t="s">
        <v>54</v>
      </c>
      <c r="X705" s="205" t="s">
        <v>1904</v>
      </c>
      <c r="Y705" s="251"/>
      <c r="Z705" s="290"/>
      <c r="AA705" s="286"/>
    </row>
    <row r="706" spans="1:27" s="181" customFormat="1" ht="48" hidden="1" x14ac:dyDescent="0.25">
      <c r="A706" s="131"/>
      <c r="B706" s="136">
        <v>1209033</v>
      </c>
      <c r="C706" s="127" t="s">
        <v>657</v>
      </c>
      <c r="D706" s="128" t="s">
        <v>1971</v>
      </c>
      <c r="E706" s="147" t="s">
        <v>38</v>
      </c>
      <c r="F706" s="129" t="s">
        <v>1792</v>
      </c>
      <c r="G706" s="147" t="s">
        <v>34</v>
      </c>
      <c r="H706" s="189">
        <f t="shared" si="11"/>
        <v>19.767758323505397</v>
      </c>
      <c r="I706" s="210" t="s">
        <v>2224</v>
      </c>
      <c r="J706" s="146">
        <v>30</v>
      </c>
      <c r="K706" s="147">
        <v>4</v>
      </c>
      <c r="L706" s="147">
        <v>1</v>
      </c>
      <c r="M706" s="147">
        <v>5</v>
      </c>
      <c r="N706" s="275">
        <v>55.115000000000002</v>
      </c>
      <c r="O706" s="193"/>
      <c r="P706" s="179">
        <v>45511</v>
      </c>
      <c r="Q706" s="173">
        <v>19.767758323505397</v>
      </c>
      <c r="R706" s="260">
        <v>0</v>
      </c>
      <c r="S706" s="164"/>
      <c r="T706" s="129" t="s">
        <v>468</v>
      </c>
      <c r="U706" s="147" t="s">
        <v>37</v>
      </c>
      <c r="V706" s="129"/>
      <c r="W706" s="176" t="s">
        <v>54</v>
      </c>
      <c r="X706" s="205" t="s">
        <v>1904</v>
      </c>
      <c r="Y706" s="251"/>
      <c r="Z706" s="290"/>
      <c r="AA706" s="286"/>
    </row>
    <row r="707" spans="1:27" s="181" customFormat="1" ht="36" x14ac:dyDescent="0.25">
      <c r="A707" s="131"/>
      <c r="B707" s="136">
        <v>1209034</v>
      </c>
      <c r="C707" s="127" t="s">
        <v>657</v>
      </c>
      <c r="D707" s="128" t="s">
        <v>1981</v>
      </c>
      <c r="E707" s="147" t="s">
        <v>38</v>
      </c>
      <c r="F707" s="136" t="s">
        <v>1980</v>
      </c>
      <c r="G707" s="147" t="s">
        <v>34</v>
      </c>
      <c r="H707" s="189">
        <f t="shared" ref="H707:H770" si="12">Q707+R707</f>
        <v>11.339925610087997</v>
      </c>
      <c r="I707" s="210" t="s">
        <v>2223</v>
      </c>
      <c r="J707" s="146">
        <v>0</v>
      </c>
      <c r="K707" s="147">
        <v>5</v>
      </c>
      <c r="L707" s="147">
        <v>1</v>
      </c>
      <c r="M707" s="147">
        <v>6</v>
      </c>
      <c r="N707" s="275">
        <v>55</v>
      </c>
      <c r="O707" s="173">
        <v>11.339925610087997</v>
      </c>
      <c r="P707" s="179">
        <v>46078</v>
      </c>
      <c r="Q707" s="173">
        <v>11.339925610087997</v>
      </c>
      <c r="R707" s="271">
        <v>0</v>
      </c>
      <c r="S707" s="147" t="s">
        <v>35</v>
      </c>
      <c r="T707" s="129" t="s">
        <v>2206</v>
      </c>
      <c r="U707" s="147" t="s">
        <v>37</v>
      </c>
      <c r="V707" s="147">
        <v>3500337</v>
      </c>
      <c r="W707" s="147" t="s">
        <v>2208</v>
      </c>
      <c r="X707" s="205" t="s">
        <v>1904</v>
      </c>
      <c r="Y707" s="251"/>
      <c r="Z707" s="290"/>
      <c r="AA707" s="286"/>
    </row>
    <row r="708" spans="1:27" s="181" customFormat="1" ht="36" x14ac:dyDescent="0.25">
      <c r="A708" s="131"/>
      <c r="B708" s="136">
        <v>1209035</v>
      </c>
      <c r="C708" s="127" t="s">
        <v>657</v>
      </c>
      <c r="D708" s="128" t="s">
        <v>1992</v>
      </c>
      <c r="E708" s="147" t="s">
        <v>38</v>
      </c>
      <c r="F708" s="129" t="s">
        <v>1792</v>
      </c>
      <c r="G708" s="147" t="s">
        <v>34</v>
      </c>
      <c r="H708" s="189">
        <f t="shared" si="12"/>
        <v>20.443617889866641</v>
      </c>
      <c r="I708" s="210" t="s">
        <v>2225</v>
      </c>
      <c r="J708" s="146">
        <v>30</v>
      </c>
      <c r="K708" s="147">
        <v>4</v>
      </c>
      <c r="L708" s="147">
        <v>1</v>
      </c>
      <c r="M708" s="147">
        <v>5</v>
      </c>
      <c r="N708" s="275">
        <v>55.115000000000002</v>
      </c>
      <c r="O708" s="193"/>
      <c r="P708" s="179">
        <v>45579</v>
      </c>
      <c r="Q708" s="173">
        <v>20.443617889866641</v>
      </c>
      <c r="R708" s="271">
        <v>0</v>
      </c>
      <c r="S708" s="164"/>
      <c r="T708" s="129" t="s">
        <v>1868</v>
      </c>
      <c r="U708" s="147" t="s">
        <v>37</v>
      </c>
      <c r="V708" s="129">
        <v>3500353</v>
      </c>
      <c r="W708" s="147" t="s">
        <v>2208</v>
      </c>
      <c r="X708" s="205" t="s">
        <v>1904</v>
      </c>
      <c r="Y708" s="251"/>
      <c r="Z708" s="290"/>
      <c r="AA708" s="286"/>
    </row>
    <row r="709" spans="1:27" s="181" customFormat="1" ht="36" x14ac:dyDescent="0.25">
      <c r="A709" s="131"/>
      <c r="B709" s="136">
        <v>1209036</v>
      </c>
      <c r="C709" s="127" t="s">
        <v>657</v>
      </c>
      <c r="D709" s="128" t="s">
        <v>2014</v>
      </c>
      <c r="E709" s="147" t="s">
        <v>38</v>
      </c>
      <c r="F709" s="129" t="s">
        <v>1792</v>
      </c>
      <c r="G709" s="147" t="s">
        <v>34</v>
      </c>
      <c r="H709" s="189">
        <f t="shared" si="12"/>
        <v>8.8451419758686374</v>
      </c>
      <c r="I709" s="210" t="s">
        <v>2436</v>
      </c>
      <c r="J709" s="146">
        <v>30</v>
      </c>
      <c r="K709" s="147">
        <v>11</v>
      </c>
      <c r="L709" s="147">
        <v>1</v>
      </c>
      <c r="M709" s="147">
        <v>12</v>
      </c>
      <c r="N709" s="275">
        <f>250*2.2046</f>
        <v>551.15</v>
      </c>
      <c r="O709" s="193">
        <f>17.96/2.2046</f>
        <v>8.146602558287217</v>
      </c>
      <c r="P709" s="179">
        <v>45975</v>
      </c>
      <c r="Q709" s="173">
        <f>19.5/2.2046</f>
        <v>8.8451419758686374</v>
      </c>
      <c r="R709" s="271">
        <v>0</v>
      </c>
      <c r="S709" s="147"/>
      <c r="T709" s="129" t="s">
        <v>2089</v>
      </c>
      <c r="U709" s="147" t="s">
        <v>37</v>
      </c>
      <c r="V709" s="129"/>
      <c r="W709" s="147" t="s">
        <v>2208</v>
      </c>
      <c r="X709" s="205" t="s">
        <v>1009</v>
      </c>
      <c r="Y709" s="251"/>
      <c r="Z709" s="290"/>
      <c r="AA709" s="286"/>
    </row>
    <row r="710" spans="1:27" s="181" customFormat="1" ht="48" x14ac:dyDescent="0.25">
      <c r="A710" s="131"/>
      <c r="B710" s="136">
        <v>1209037</v>
      </c>
      <c r="C710" s="127" t="s">
        <v>657</v>
      </c>
      <c r="D710" s="128" t="s">
        <v>2661</v>
      </c>
      <c r="E710" s="147" t="s">
        <v>38</v>
      </c>
      <c r="F710" s="129" t="s">
        <v>1792</v>
      </c>
      <c r="G710" s="147" t="s">
        <v>34</v>
      </c>
      <c r="H710" s="189">
        <f t="shared" si="12"/>
        <v>27.973328494965074</v>
      </c>
      <c r="I710" s="210" t="s">
        <v>2658</v>
      </c>
      <c r="J710" s="146">
        <v>30</v>
      </c>
      <c r="K710" s="147">
        <v>5</v>
      </c>
      <c r="L710" s="147">
        <v>1</v>
      </c>
      <c r="M710" s="147">
        <v>6</v>
      </c>
      <c r="N710" s="275">
        <f>25*2.2046</f>
        <v>55.115000000000002</v>
      </c>
      <c r="O710" s="260">
        <f>25.83/2.2046</f>
        <v>11.716411140342919</v>
      </c>
      <c r="P710" s="179">
        <v>46077</v>
      </c>
      <c r="Q710" s="260">
        <f>61.67/2.2046</f>
        <v>27.973328494965074</v>
      </c>
      <c r="R710" s="271">
        <v>0</v>
      </c>
      <c r="S710" s="147"/>
      <c r="T710" s="129" t="s">
        <v>2089</v>
      </c>
      <c r="U710" s="147" t="s">
        <v>37</v>
      </c>
      <c r="V710" s="129"/>
      <c r="W710" s="147" t="s">
        <v>2208</v>
      </c>
      <c r="X710" s="205" t="s">
        <v>1009</v>
      </c>
      <c r="Y710" s="251"/>
      <c r="Z710" s="290"/>
      <c r="AA710" s="286"/>
    </row>
    <row r="711" spans="1:27" s="181" customFormat="1" ht="36" x14ac:dyDescent="0.25">
      <c r="A711" s="131"/>
      <c r="B711" s="136">
        <v>1209038</v>
      </c>
      <c r="C711" s="127" t="s">
        <v>657</v>
      </c>
      <c r="D711" s="128" t="s">
        <v>2021</v>
      </c>
      <c r="E711" s="147" t="s">
        <v>38</v>
      </c>
      <c r="F711" s="129" t="s">
        <v>1792</v>
      </c>
      <c r="G711" s="147" t="s">
        <v>34</v>
      </c>
      <c r="H711" s="189">
        <f t="shared" si="12"/>
        <v>21.024222081103147</v>
      </c>
      <c r="I711" s="210" t="s">
        <v>2226</v>
      </c>
      <c r="J711" s="146">
        <v>30</v>
      </c>
      <c r="K711" s="147">
        <v>4</v>
      </c>
      <c r="L711" s="147">
        <v>1</v>
      </c>
      <c r="M711" s="147">
        <v>5</v>
      </c>
      <c r="N711" s="275">
        <v>55.115000000000002</v>
      </c>
      <c r="O711" s="193"/>
      <c r="P711" s="179">
        <v>45643</v>
      </c>
      <c r="Q711" s="173">
        <v>21.024222081103147</v>
      </c>
      <c r="R711" s="271">
        <v>0</v>
      </c>
      <c r="S711" s="147"/>
      <c r="T711" s="129" t="s">
        <v>1868</v>
      </c>
      <c r="U711" s="147" t="s">
        <v>37</v>
      </c>
      <c r="V711" s="129"/>
      <c r="W711" s="147" t="s">
        <v>2208</v>
      </c>
      <c r="X711" s="205" t="s">
        <v>1904</v>
      </c>
      <c r="Y711" s="251"/>
      <c r="Z711" s="290"/>
      <c r="AA711" s="286"/>
    </row>
    <row r="712" spans="1:27" s="181" customFormat="1" ht="24" x14ac:dyDescent="0.25">
      <c r="A712" s="131"/>
      <c r="B712" s="136">
        <v>1209039</v>
      </c>
      <c r="C712" s="127" t="s">
        <v>657</v>
      </c>
      <c r="D712" s="128" t="s">
        <v>2048</v>
      </c>
      <c r="E712" s="147" t="s">
        <v>38</v>
      </c>
      <c r="F712" s="129" t="s">
        <v>2058</v>
      </c>
      <c r="G712" s="147" t="s">
        <v>34</v>
      </c>
      <c r="H712" s="189">
        <f t="shared" si="12"/>
        <v>13.700000000000001</v>
      </c>
      <c r="I712" s="210" t="s">
        <v>2082</v>
      </c>
      <c r="J712" s="146">
        <v>30</v>
      </c>
      <c r="K712" s="147">
        <v>3</v>
      </c>
      <c r="L712" s="147">
        <v>1</v>
      </c>
      <c r="M712" s="147">
        <v>4</v>
      </c>
      <c r="N712" s="275">
        <v>50</v>
      </c>
      <c r="O712" s="193"/>
      <c r="P712" s="179">
        <v>45708</v>
      </c>
      <c r="Q712" s="173">
        <v>13.65</v>
      </c>
      <c r="R712" s="271">
        <v>0.05</v>
      </c>
      <c r="S712" s="147"/>
      <c r="T712" s="129" t="s">
        <v>358</v>
      </c>
      <c r="U712" s="147" t="s">
        <v>37</v>
      </c>
      <c r="V712" s="129"/>
      <c r="W712" s="147" t="s">
        <v>2210</v>
      </c>
      <c r="X712" s="205" t="s">
        <v>1009</v>
      </c>
      <c r="Y712" s="251"/>
      <c r="Z712" s="290"/>
      <c r="AA712" s="286"/>
    </row>
    <row r="713" spans="1:27" s="181" customFormat="1" ht="24" x14ac:dyDescent="0.25">
      <c r="A713" s="131"/>
      <c r="B713" s="136">
        <v>1210000</v>
      </c>
      <c r="C713" s="127" t="s">
        <v>657</v>
      </c>
      <c r="D713" s="128" t="s">
        <v>2049</v>
      </c>
      <c r="E713" s="147" t="s">
        <v>38</v>
      </c>
      <c r="F713" s="129" t="s">
        <v>2058</v>
      </c>
      <c r="G713" s="147" t="s">
        <v>34</v>
      </c>
      <c r="H713" s="189">
        <f t="shared" si="12"/>
        <v>12.49</v>
      </c>
      <c r="I713" s="210" t="s">
        <v>2082</v>
      </c>
      <c r="J713" s="146">
        <v>30</v>
      </c>
      <c r="K713" s="147">
        <v>3</v>
      </c>
      <c r="L713" s="147">
        <v>1</v>
      </c>
      <c r="M713" s="147">
        <v>4</v>
      </c>
      <c r="N713" s="275">
        <v>50</v>
      </c>
      <c r="O713" s="193"/>
      <c r="P713" s="179">
        <v>45708</v>
      </c>
      <c r="Q713" s="173">
        <v>12.44</v>
      </c>
      <c r="R713" s="271">
        <v>0.05</v>
      </c>
      <c r="S713" s="147"/>
      <c r="T713" s="129" t="s">
        <v>358</v>
      </c>
      <c r="U713" s="147" t="s">
        <v>37</v>
      </c>
      <c r="V713" s="129"/>
      <c r="W713" s="147" t="s">
        <v>2208</v>
      </c>
      <c r="X713" s="205" t="s">
        <v>1009</v>
      </c>
      <c r="Y713" s="251"/>
      <c r="Z713" s="290"/>
      <c r="AA713" s="286"/>
    </row>
    <row r="714" spans="1:27" s="181" customFormat="1" ht="24" x14ac:dyDescent="0.25">
      <c r="A714" s="131"/>
      <c r="B714" s="136">
        <v>1210001</v>
      </c>
      <c r="C714" s="127" t="s">
        <v>657</v>
      </c>
      <c r="D714" s="128" t="s">
        <v>2052</v>
      </c>
      <c r="E714" s="147" t="s">
        <v>38</v>
      </c>
      <c r="F714" s="129" t="s">
        <v>2058</v>
      </c>
      <c r="G714" s="147" t="s">
        <v>34</v>
      </c>
      <c r="H714" s="189">
        <f t="shared" si="12"/>
        <v>14.100000000000001</v>
      </c>
      <c r="I714" s="210" t="s">
        <v>2082</v>
      </c>
      <c r="J714" s="146">
        <v>30</v>
      </c>
      <c r="K714" s="147">
        <v>3</v>
      </c>
      <c r="L714" s="147">
        <v>1</v>
      </c>
      <c r="M714" s="147">
        <v>4</v>
      </c>
      <c r="N714" s="275">
        <v>50</v>
      </c>
      <c r="O714" s="193"/>
      <c r="P714" s="179">
        <v>45708</v>
      </c>
      <c r="Q714" s="173">
        <v>14.05</v>
      </c>
      <c r="R714" s="271">
        <v>0.05</v>
      </c>
      <c r="S714" s="147"/>
      <c r="T714" s="129" t="s">
        <v>358</v>
      </c>
      <c r="U714" s="147" t="s">
        <v>37</v>
      </c>
      <c r="V714" s="129"/>
      <c r="W714" s="147" t="s">
        <v>2208</v>
      </c>
      <c r="X714" s="205" t="s">
        <v>1009</v>
      </c>
      <c r="Y714" s="251"/>
      <c r="Z714" s="290"/>
      <c r="AA714" s="286"/>
    </row>
    <row r="715" spans="1:27" s="181" customFormat="1" ht="24" x14ac:dyDescent="0.25">
      <c r="A715" s="131"/>
      <c r="B715" s="136">
        <v>1210002</v>
      </c>
      <c r="C715" s="127" t="s">
        <v>657</v>
      </c>
      <c r="D715" s="128" t="s">
        <v>2053</v>
      </c>
      <c r="E715" s="147" t="s">
        <v>38</v>
      </c>
      <c r="F715" s="129" t="s">
        <v>2058</v>
      </c>
      <c r="G715" s="147" t="s">
        <v>34</v>
      </c>
      <c r="H715" s="189">
        <f t="shared" si="12"/>
        <v>13.65</v>
      </c>
      <c r="I715" s="210" t="s">
        <v>2082</v>
      </c>
      <c r="J715" s="146">
        <v>30</v>
      </c>
      <c r="K715" s="147">
        <v>3</v>
      </c>
      <c r="L715" s="147">
        <v>1</v>
      </c>
      <c r="M715" s="147">
        <v>4</v>
      </c>
      <c r="N715" s="275">
        <v>250</v>
      </c>
      <c r="O715" s="193">
        <v>20.13</v>
      </c>
      <c r="P715" s="179">
        <v>4.28</v>
      </c>
      <c r="Q715" s="173">
        <v>13.6</v>
      </c>
      <c r="R715" s="271">
        <v>0.05</v>
      </c>
      <c r="S715" s="147"/>
      <c r="T715" s="129" t="s">
        <v>358</v>
      </c>
      <c r="U715" s="147" t="s">
        <v>37</v>
      </c>
      <c r="V715" s="129"/>
      <c r="W715" s="147" t="s">
        <v>2208</v>
      </c>
      <c r="X715" s="207" t="s">
        <v>1009</v>
      </c>
      <c r="Y715" s="251"/>
      <c r="Z715" s="290"/>
      <c r="AA715" s="286"/>
    </row>
    <row r="716" spans="1:27" s="181" customFormat="1" ht="24" x14ac:dyDescent="0.25">
      <c r="A716" s="131"/>
      <c r="B716" s="136">
        <v>1210003</v>
      </c>
      <c r="C716" s="127" t="s">
        <v>657</v>
      </c>
      <c r="D716" s="128" t="s">
        <v>2054</v>
      </c>
      <c r="E716" s="147" t="s">
        <v>38</v>
      </c>
      <c r="F716" s="129" t="s">
        <v>2058</v>
      </c>
      <c r="G716" s="147" t="s">
        <v>34</v>
      </c>
      <c r="H716" s="189">
        <f t="shared" si="12"/>
        <v>13.64</v>
      </c>
      <c r="I716" s="210" t="s">
        <v>2082</v>
      </c>
      <c r="J716" s="146">
        <v>30</v>
      </c>
      <c r="K716" s="147">
        <v>3</v>
      </c>
      <c r="L716" s="147">
        <v>1</v>
      </c>
      <c r="M716" s="147">
        <v>4</v>
      </c>
      <c r="N716" s="275">
        <v>50</v>
      </c>
      <c r="O716" s="193"/>
      <c r="P716" s="179">
        <v>45708</v>
      </c>
      <c r="Q716" s="173">
        <v>13.59</v>
      </c>
      <c r="R716" s="271">
        <v>0.05</v>
      </c>
      <c r="S716" s="147"/>
      <c r="T716" s="129" t="s">
        <v>358</v>
      </c>
      <c r="U716" s="147" t="s">
        <v>37</v>
      </c>
      <c r="V716" s="129"/>
      <c r="W716" s="147" t="s">
        <v>2210</v>
      </c>
      <c r="X716" s="205" t="s">
        <v>1009</v>
      </c>
      <c r="Y716" s="251"/>
      <c r="Z716" s="290"/>
      <c r="AA716" s="286"/>
    </row>
    <row r="717" spans="1:27" s="181" customFormat="1" ht="24" x14ac:dyDescent="0.25">
      <c r="A717" s="131"/>
      <c r="B717" s="136">
        <v>1210004</v>
      </c>
      <c r="C717" s="127" t="s">
        <v>657</v>
      </c>
      <c r="D717" s="128" t="s">
        <v>2055</v>
      </c>
      <c r="E717" s="147" t="s">
        <v>38</v>
      </c>
      <c r="F717" s="129" t="s">
        <v>2058</v>
      </c>
      <c r="G717" s="147" t="s">
        <v>34</v>
      </c>
      <c r="H717" s="189">
        <f t="shared" si="12"/>
        <v>14.31</v>
      </c>
      <c r="I717" s="210" t="s">
        <v>2082</v>
      </c>
      <c r="J717" s="146">
        <v>30</v>
      </c>
      <c r="K717" s="147">
        <v>3</v>
      </c>
      <c r="L717" s="147">
        <v>1</v>
      </c>
      <c r="M717" s="147">
        <v>4</v>
      </c>
      <c r="N717" s="275">
        <v>50</v>
      </c>
      <c r="O717" s="193"/>
      <c r="P717" s="179">
        <v>45708</v>
      </c>
      <c r="Q717" s="173">
        <v>14.26</v>
      </c>
      <c r="R717" s="271">
        <v>0.05</v>
      </c>
      <c r="S717" s="147"/>
      <c r="T717" s="129" t="s">
        <v>358</v>
      </c>
      <c r="U717" s="147" t="s">
        <v>37</v>
      </c>
      <c r="V717" s="129"/>
      <c r="W717" s="147" t="s">
        <v>2210</v>
      </c>
      <c r="X717" s="205" t="s">
        <v>1009</v>
      </c>
      <c r="Y717" s="251"/>
      <c r="Z717" s="290"/>
      <c r="AA717" s="286"/>
    </row>
    <row r="718" spans="1:27" s="181" customFormat="1" ht="24" x14ac:dyDescent="0.25">
      <c r="A718" s="131"/>
      <c r="B718" s="136">
        <v>1210005</v>
      </c>
      <c r="C718" s="127" t="s">
        <v>657</v>
      </c>
      <c r="D718" s="128" t="s">
        <v>2056</v>
      </c>
      <c r="E718" s="147" t="s">
        <v>38</v>
      </c>
      <c r="F718" s="129" t="s">
        <v>2058</v>
      </c>
      <c r="G718" s="147" t="s">
        <v>34</v>
      </c>
      <c r="H718" s="189">
        <f t="shared" si="12"/>
        <v>15.530000000000001</v>
      </c>
      <c r="I718" s="210" t="s">
        <v>2082</v>
      </c>
      <c r="J718" s="146">
        <v>30</v>
      </c>
      <c r="K718" s="147">
        <v>3</v>
      </c>
      <c r="L718" s="147">
        <v>1</v>
      </c>
      <c r="M718" s="147">
        <v>4</v>
      </c>
      <c r="N718" s="275">
        <v>50</v>
      </c>
      <c r="O718" s="193"/>
      <c r="P718" s="179">
        <v>45708</v>
      </c>
      <c r="Q718" s="173">
        <v>15.48</v>
      </c>
      <c r="R718" s="271">
        <v>0.05</v>
      </c>
      <c r="S718" s="147"/>
      <c r="T718" s="129" t="s">
        <v>358</v>
      </c>
      <c r="U718" s="147" t="s">
        <v>37</v>
      </c>
      <c r="V718" s="129"/>
      <c r="W718" s="147" t="s">
        <v>2210</v>
      </c>
      <c r="X718" s="205" t="s">
        <v>1009</v>
      </c>
      <c r="Y718" s="251"/>
      <c r="Z718" s="290"/>
      <c r="AA718" s="286"/>
    </row>
    <row r="719" spans="1:27" ht="24" x14ac:dyDescent="0.25">
      <c r="B719" s="136">
        <v>1210006</v>
      </c>
      <c r="C719" s="127" t="s">
        <v>657</v>
      </c>
      <c r="D719" s="128" t="s">
        <v>2057</v>
      </c>
      <c r="E719" s="147" t="s">
        <v>38</v>
      </c>
      <c r="F719" s="129" t="s">
        <v>2058</v>
      </c>
      <c r="G719" s="147" t="s">
        <v>34</v>
      </c>
      <c r="H719" s="189">
        <f t="shared" si="12"/>
        <v>13.510000000000002</v>
      </c>
      <c r="I719" s="210" t="s">
        <v>2082</v>
      </c>
      <c r="J719" s="146">
        <v>30</v>
      </c>
      <c r="K719" s="147">
        <v>3</v>
      </c>
      <c r="L719" s="147">
        <v>1</v>
      </c>
      <c r="M719" s="147">
        <v>4</v>
      </c>
      <c r="N719" s="275">
        <v>50</v>
      </c>
      <c r="O719" s="193"/>
      <c r="P719" s="179">
        <v>45708</v>
      </c>
      <c r="Q719" s="173">
        <v>13.46</v>
      </c>
      <c r="R719" s="271">
        <v>0.05</v>
      </c>
      <c r="S719" s="147"/>
      <c r="T719" s="129" t="s">
        <v>358</v>
      </c>
      <c r="U719" s="147" t="s">
        <v>37</v>
      </c>
      <c r="V719" s="129"/>
      <c r="W719" s="147" t="s">
        <v>2210</v>
      </c>
      <c r="X719" s="205" t="s">
        <v>1009</v>
      </c>
      <c r="Y719" s="251"/>
      <c r="Z719" s="290"/>
      <c r="AA719" s="286"/>
    </row>
    <row r="720" spans="1:27" ht="24" x14ac:dyDescent="0.25">
      <c r="B720" s="136">
        <v>1210007</v>
      </c>
      <c r="C720" s="127" t="s">
        <v>657</v>
      </c>
      <c r="D720" s="128" t="s">
        <v>2050</v>
      </c>
      <c r="E720" s="147" t="s">
        <v>38</v>
      </c>
      <c r="F720" s="129" t="s">
        <v>2058</v>
      </c>
      <c r="G720" s="147" t="s">
        <v>34</v>
      </c>
      <c r="H720" s="189">
        <f t="shared" si="12"/>
        <v>13.22</v>
      </c>
      <c r="I720" s="210" t="s">
        <v>2082</v>
      </c>
      <c r="J720" s="146">
        <v>30</v>
      </c>
      <c r="K720" s="147">
        <v>3</v>
      </c>
      <c r="L720" s="147">
        <v>1</v>
      </c>
      <c r="M720" s="147">
        <v>4</v>
      </c>
      <c r="N720" s="275">
        <v>50</v>
      </c>
      <c r="O720" s="193"/>
      <c r="P720" s="179">
        <v>45708</v>
      </c>
      <c r="Q720" s="173">
        <v>13.17</v>
      </c>
      <c r="R720" s="271">
        <v>0.05</v>
      </c>
      <c r="S720" s="147"/>
      <c r="T720" s="129" t="s">
        <v>358</v>
      </c>
      <c r="U720" s="147" t="s">
        <v>37</v>
      </c>
      <c r="V720" s="129"/>
      <c r="W720" s="147" t="s">
        <v>2210</v>
      </c>
      <c r="X720" s="205" t="s">
        <v>1009</v>
      </c>
      <c r="Y720" s="251"/>
      <c r="Z720" s="290"/>
      <c r="AA720" s="286"/>
    </row>
    <row r="721" spans="1:27 16382:16382" s="181" customFormat="1" ht="24" x14ac:dyDescent="0.25">
      <c r="A721" s="131"/>
      <c r="B721" s="136">
        <v>1210008</v>
      </c>
      <c r="C721" s="127" t="s">
        <v>657</v>
      </c>
      <c r="D721" s="128" t="s">
        <v>2051</v>
      </c>
      <c r="E721" s="147" t="s">
        <v>38</v>
      </c>
      <c r="F721" s="129" t="s">
        <v>2058</v>
      </c>
      <c r="G721" s="147" t="s">
        <v>34</v>
      </c>
      <c r="H721" s="189">
        <f t="shared" si="12"/>
        <v>11.770000000000001</v>
      </c>
      <c r="I721" s="210" t="s">
        <v>2082</v>
      </c>
      <c r="J721" s="146">
        <v>30</v>
      </c>
      <c r="K721" s="147">
        <v>3</v>
      </c>
      <c r="L721" s="147">
        <v>1</v>
      </c>
      <c r="M721" s="147">
        <v>4</v>
      </c>
      <c r="N721" s="275">
        <v>50</v>
      </c>
      <c r="O721" s="193"/>
      <c r="P721" s="179">
        <v>45708</v>
      </c>
      <c r="Q721" s="173">
        <v>11.72</v>
      </c>
      <c r="R721" s="271">
        <v>0.05</v>
      </c>
      <c r="S721" s="147"/>
      <c r="T721" s="129" t="s">
        <v>358</v>
      </c>
      <c r="U721" s="147" t="s">
        <v>37</v>
      </c>
      <c r="V721" s="129"/>
      <c r="W721" s="147" t="s">
        <v>2210</v>
      </c>
      <c r="X721" s="205" t="s">
        <v>1009</v>
      </c>
      <c r="Y721" s="251"/>
      <c r="Z721" s="290"/>
      <c r="AA721" s="286"/>
    </row>
    <row r="722" spans="1:27 16382:16382" s="181" customFormat="1" ht="24" x14ac:dyDescent="0.25">
      <c r="A722" s="131"/>
      <c r="B722" s="136">
        <v>1210009</v>
      </c>
      <c r="C722" s="127" t="s">
        <v>657</v>
      </c>
      <c r="D722" s="128" t="s">
        <v>2117</v>
      </c>
      <c r="E722" s="147" t="s">
        <v>38</v>
      </c>
      <c r="F722" s="129" t="s">
        <v>2065</v>
      </c>
      <c r="G722" s="147" t="s">
        <v>34</v>
      </c>
      <c r="H722" s="189">
        <f t="shared" si="12"/>
        <v>12.57</v>
      </c>
      <c r="I722" s="210" t="s">
        <v>2082</v>
      </c>
      <c r="J722" s="146"/>
      <c r="K722" s="147">
        <v>3</v>
      </c>
      <c r="L722" s="147">
        <v>1</v>
      </c>
      <c r="M722" s="147">
        <v>4</v>
      </c>
      <c r="N722" s="275">
        <v>500</v>
      </c>
      <c r="O722" s="173">
        <f>11.81+0.05</f>
        <v>11.860000000000001</v>
      </c>
      <c r="P722" s="179">
        <v>46139</v>
      </c>
      <c r="Q722" s="173">
        <v>12.52</v>
      </c>
      <c r="R722" s="271">
        <v>0.05</v>
      </c>
      <c r="S722" s="147"/>
      <c r="T722" s="129" t="s">
        <v>358</v>
      </c>
      <c r="U722" s="147" t="s">
        <v>37</v>
      </c>
      <c r="V722" s="129"/>
      <c r="W722" s="147" t="s">
        <v>2208</v>
      </c>
      <c r="X722" s="205" t="s">
        <v>1009</v>
      </c>
      <c r="Y722" s="251"/>
      <c r="Z722" s="290"/>
      <c r="AA722" s="286"/>
    </row>
    <row r="723" spans="1:27 16382:16382" s="181" customFormat="1" x14ac:dyDescent="0.25">
      <c r="A723" s="131"/>
      <c r="B723" s="136">
        <v>1210010</v>
      </c>
      <c r="C723" s="127" t="s">
        <v>657</v>
      </c>
      <c r="D723" s="128" t="s">
        <v>2126</v>
      </c>
      <c r="E723" s="147" t="s">
        <v>38</v>
      </c>
      <c r="F723" s="129" t="s">
        <v>2127</v>
      </c>
      <c r="G723" s="147" t="s">
        <v>34</v>
      </c>
      <c r="H723" s="189">
        <f t="shared" si="12"/>
        <v>6.28</v>
      </c>
      <c r="I723" s="210" t="s">
        <v>2082</v>
      </c>
      <c r="J723" s="146">
        <v>30</v>
      </c>
      <c r="K723" s="147">
        <v>3</v>
      </c>
      <c r="L723" s="147">
        <v>1</v>
      </c>
      <c r="M723" s="147">
        <v>4</v>
      </c>
      <c r="N723" s="275">
        <v>250</v>
      </c>
      <c r="O723" s="193">
        <v>28.71</v>
      </c>
      <c r="P723" s="179">
        <v>45819</v>
      </c>
      <c r="Q723" s="173">
        <v>6.23</v>
      </c>
      <c r="R723" s="271">
        <v>0.05</v>
      </c>
      <c r="S723" s="147"/>
      <c r="T723" s="129" t="s">
        <v>358</v>
      </c>
      <c r="U723" s="147" t="s">
        <v>37</v>
      </c>
      <c r="V723" s="129"/>
      <c r="W723" s="147" t="s">
        <v>2208</v>
      </c>
      <c r="X723" s="205" t="s">
        <v>1009</v>
      </c>
      <c r="Y723" s="251"/>
      <c r="Z723" s="290"/>
      <c r="AA723" s="286"/>
    </row>
    <row r="724" spans="1:27 16382:16382" s="181" customFormat="1" x14ac:dyDescent="0.25">
      <c r="A724" s="131"/>
      <c r="B724" s="136">
        <v>1210011</v>
      </c>
      <c r="C724" s="127" t="s">
        <v>657</v>
      </c>
      <c r="D724" s="128" t="s">
        <v>2105</v>
      </c>
      <c r="E724" s="147" t="s">
        <v>38</v>
      </c>
      <c r="F724" s="129" t="s">
        <v>2065</v>
      </c>
      <c r="G724" s="147" t="s">
        <v>34</v>
      </c>
      <c r="H724" s="189">
        <f t="shared" si="12"/>
        <v>6.96</v>
      </c>
      <c r="I724" s="210" t="s">
        <v>2082</v>
      </c>
      <c r="J724" s="146"/>
      <c r="K724" s="147"/>
      <c r="L724" s="147">
        <v>1</v>
      </c>
      <c r="M724" s="147">
        <v>4</v>
      </c>
      <c r="N724" s="275">
        <v>10</v>
      </c>
      <c r="O724" s="193"/>
      <c r="P724" s="179">
        <v>45747</v>
      </c>
      <c r="Q724" s="173">
        <v>6.91</v>
      </c>
      <c r="R724" s="271">
        <v>0.05</v>
      </c>
      <c r="S724" s="147"/>
      <c r="T724" s="129" t="s">
        <v>358</v>
      </c>
      <c r="U724" s="147" t="s">
        <v>37</v>
      </c>
      <c r="V724" s="129"/>
      <c r="W724" s="147" t="s">
        <v>2210</v>
      </c>
      <c r="X724" s="205" t="s">
        <v>1009</v>
      </c>
      <c r="Y724" s="251"/>
      <c r="Z724" s="290"/>
      <c r="AA724" s="286"/>
    </row>
    <row r="725" spans="1:27 16382:16382" s="181" customFormat="1" ht="24" x14ac:dyDescent="0.25">
      <c r="A725" s="131"/>
      <c r="B725" s="136">
        <v>1210012</v>
      </c>
      <c r="C725" s="127" t="s">
        <v>657</v>
      </c>
      <c r="D725" s="128" t="s">
        <v>2106</v>
      </c>
      <c r="E725" s="147" t="s">
        <v>38</v>
      </c>
      <c r="F725" s="129" t="s">
        <v>2047</v>
      </c>
      <c r="G725" s="147" t="s">
        <v>34</v>
      </c>
      <c r="H725" s="189">
        <f t="shared" si="12"/>
        <v>15.530000000000001</v>
      </c>
      <c r="I725" s="210" t="s">
        <v>2452</v>
      </c>
      <c r="J725" s="146"/>
      <c r="K725" s="147"/>
      <c r="L725" s="147">
        <v>1</v>
      </c>
      <c r="M725" s="147">
        <v>4</v>
      </c>
      <c r="N725" s="275">
        <v>10000</v>
      </c>
      <c r="O725" s="193"/>
      <c r="P725" s="179">
        <v>45747</v>
      </c>
      <c r="Q725" s="173">
        <v>15.48</v>
      </c>
      <c r="R725" s="271">
        <v>0.05</v>
      </c>
      <c r="S725" s="147"/>
      <c r="T725" s="129" t="s">
        <v>358</v>
      </c>
      <c r="U725" s="147" t="s">
        <v>37</v>
      </c>
      <c r="V725" s="129"/>
      <c r="W725" s="147" t="s">
        <v>2451</v>
      </c>
      <c r="X725" s="205" t="s">
        <v>1009</v>
      </c>
      <c r="Y725" s="251"/>
      <c r="Z725" s="155"/>
      <c r="AA725" s="230"/>
    </row>
    <row r="726" spans="1:27 16382:16382" s="181" customFormat="1" ht="24" x14ac:dyDescent="0.25">
      <c r="A726" s="131"/>
      <c r="B726" s="136">
        <v>1210013</v>
      </c>
      <c r="C726" s="127" t="s">
        <v>657</v>
      </c>
      <c r="D726" s="128" t="s">
        <v>2107</v>
      </c>
      <c r="E726" s="147" t="s">
        <v>38</v>
      </c>
      <c r="F726" s="129" t="s">
        <v>2047</v>
      </c>
      <c r="G726" s="147" t="s">
        <v>34</v>
      </c>
      <c r="H726" s="189">
        <f t="shared" si="12"/>
        <v>15.530000000000001</v>
      </c>
      <c r="I726" s="210" t="s">
        <v>2452</v>
      </c>
      <c r="J726" s="146"/>
      <c r="K726" s="147"/>
      <c r="L726" s="147">
        <v>1</v>
      </c>
      <c r="M726" s="147">
        <v>4</v>
      </c>
      <c r="N726" s="275">
        <v>5000</v>
      </c>
      <c r="O726" s="193"/>
      <c r="P726" s="179">
        <v>45747</v>
      </c>
      <c r="Q726" s="173">
        <v>15.48</v>
      </c>
      <c r="R726" s="271">
        <v>0.05</v>
      </c>
      <c r="S726" s="147"/>
      <c r="T726" s="129" t="s">
        <v>358</v>
      </c>
      <c r="U726" s="147" t="s">
        <v>37</v>
      </c>
      <c r="V726" s="129"/>
      <c r="W726" s="147" t="s">
        <v>2451</v>
      </c>
      <c r="X726" s="205" t="s">
        <v>1009</v>
      </c>
      <c r="Y726" s="251"/>
      <c r="Z726" s="155"/>
      <c r="AA726" s="230"/>
    </row>
    <row r="727" spans="1:27 16382:16382" s="181" customFormat="1" x14ac:dyDescent="0.25">
      <c r="A727" s="131"/>
      <c r="B727" s="136">
        <v>1210014</v>
      </c>
      <c r="C727" s="127" t="s">
        <v>657</v>
      </c>
      <c r="D727" s="128" t="s">
        <v>2108</v>
      </c>
      <c r="E727" s="147" t="s">
        <v>38</v>
      </c>
      <c r="F727" s="129" t="s">
        <v>2058</v>
      </c>
      <c r="G727" s="147" t="s">
        <v>34</v>
      </c>
      <c r="H727" s="189">
        <f t="shared" si="12"/>
        <v>8.98</v>
      </c>
      <c r="I727" s="210" t="s">
        <v>2082</v>
      </c>
      <c r="J727" s="146">
        <v>30</v>
      </c>
      <c r="K727" s="147"/>
      <c r="L727" s="147">
        <v>1</v>
      </c>
      <c r="M727" s="147">
        <v>4</v>
      </c>
      <c r="N727" s="275">
        <v>50</v>
      </c>
      <c r="O727" s="193"/>
      <c r="P727" s="179">
        <v>45747</v>
      </c>
      <c r="Q727" s="173">
        <v>8.93</v>
      </c>
      <c r="R727" s="271">
        <v>0.05</v>
      </c>
      <c r="S727" s="147"/>
      <c r="T727" s="129" t="s">
        <v>358</v>
      </c>
      <c r="U727" s="147" t="s">
        <v>37</v>
      </c>
      <c r="V727" s="129"/>
      <c r="W727" s="147" t="s">
        <v>2210</v>
      </c>
      <c r="X727" s="205" t="s">
        <v>1009</v>
      </c>
      <c r="Y727" s="251"/>
      <c r="Z727" s="290"/>
      <c r="AA727" s="286"/>
    </row>
    <row r="728" spans="1:27 16382:16382" s="181" customFormat="1" ht="12" customHeight="1" x14ac:dyDescent="0.25">
      <c r="A728" s="131"/>
      <c r="B728" s="136">
        <v>1210015</v>
      </c>
      <c r="C728" s="127" t="s">
        <v>657</v>
      </c>
      <c r="D728" s="128" t="s">
        <v>2109</v>
      </c>
      <c r="E728" s="147" t="s">
        <v>38</v>
      </c>
      <c r="F728" s="129" t="s">
        <v>2058</v>
      </c>
      <c r="G728" s="147" t="s">
        <v>34</v>
      </c>
      <c r="H728" s="189">
        <f t="shared" si="12"/>
        <v>15.530000000000001</v>
      </c>
      <c r="I728" s="210" t="s">
        <v>2082</v>
      </c>
      <c r="J728" s="146">
        <v>30</v>
      </c>
      <c r="K728" s="147"/>
      <c r="L728" s="147">
        <v>1</v>
      </c>
      <c r="M728" s="147">
        <v>4</v>
      </c>
      <c r="N728" s="275">
        <v>8</v>
      </c>
      <c r="O728" s="193"/>
      <c r="P728" s="179">
        <v>45747</v>
      </c>
      <c r="Q728" s="173">
        <v>15.48</v>
      </c>
      <c r="R728" s="271">
        <v>0.05</v>
      </c>
      <c r="S728" s="147"/>
      <c r="T728" s="129" t="s">
        <v>358</v>
      </c>
      <c r="U728" s="147" t="s">
        <v>37</v>
      </c>
      <c r="V728" s="129"/>
      <c r="W728" s="147" t="s">
        <v>2210</v>
      </c>
      <c r="X728" s="205" t="s">
        <v>1009</v>
      </c>
      <c r="Y728" s="251"/>
      <c r="Z728" s="290"/>
      <c r="AA728" s="286"/>
    </row>
    <row r="729" spans="1:27 16382:16382" s="181" customFormat="1" ht="24" x14ac:dyDescent="0.25">
      <c r="A729" s="131"/>
      <c r="B729" s="136">
        <v>1210016</v>
      </c>
      <c r="C729" s="127" t="s">
        <v>657</v>
      </c>
      <c r="D729" s="128" t="s">
        <v>2122</v>
      </c>
      <c r="E729" s="147" t="s">
        <v>38</v>
      </c>
      <c r="F729" s="129" t="s">
        <v>2047</v>
      </c>
      <c r="G729" s="147" t="s">
        <v>34</v>
      </c>
      <c r="H729" s="189">
        <f t="shared" si="12"/>
        <v>15.530000000000001</v>
      </c>
      <c r="I729" s="210" t="s">
        <v>2452</v>
      </c>
      <c r="J729" s="146"/>
      <c r="K729" s="147"/>
      <c r="L729" s="147">
        <v>1</v>
      </c>
      <c r="M729" s="147">
        <v>4</v>
      </c>
      <c r="N729" s="275">
        <v>10</v>
      </c>
      <c r="O729" s="193"/>
      <c r="P729" s="179">
        <v>45747</v>
      </c>
      <c r="Q729" s="173">
        <v>15.48</v>
      </c>
      <c r="R729" s="271">
        <v>0.05</v>
      </c>
      <c r="S729" s="147"/>
      <c r="T729" s="129" t="s">
        <v>358</v>
      </c>
      <c r="U729" s="147" t="s">
        <v>37</v>
      </c>
      <c r="V729" s="129"/>
      <c r="W729" s="147" t="s">
        <v>2451</v>
      </c>
      <c r="X729" s="205" t="s">
        <v>1009</v>
      </c>
      <c r="Y729" s="251"/>
      <c r="Z729" s="155"/>
      <c r="AA729" s="230"/>
    </row>
    <row r="730" spans="1:27 16382:16382" s="181" customFormat="1" ht="24" x14ac:dyDescent="0.25">
      <c r="A730" s="131"/>
      <c r="B730" s="136">
        <v>1210017</v>
      </c>
      <c r="C730" s="127" t="s">
        <v>657</v>
      </c>
      <c r="D730" s="128" t="s">
        <v>2110</v>
      </c>
      <c r="E730" s="147" t="s">
        <v>38</v>
      </c>
      <c r="F730" s="129" t="s">
        <v>2047</v>
      </c>
      <c r="G730" s="147" t="s">
        <v>34</v>
      </c>
      <c r="H730" s="189">
        <f t="shared" si="12"/>
        <v>15.530000000000001</v>
      </c>
      <c r="I730" s="210" t="s">
        <v>2452</v>
      </c>
      <c r="J730" s="146"/>
      <c r="K730" s="147"/>
      <c r="L730" s="147">
        <v>1</v>
      </c>
      <c r="M730" s="147">
        <v>4</v>
      </c>
      <c r="N730" s="275">
        <v>13</v>
      </c>
      <c r="O730" s="193"/>
      <c r="P730" s="179">
        <v>45747</v>
      </c>
      <c r="Q730" s="173">
        <v>15.48</v>
      </c>
      <c r="R730" s="271">
        <v>0.05</v>
      </c>
      <c r="S730" s="147"/>
      <c r="T730" s="129" t="s">
        <v>358</v>
      </c>
      <c r="U730" s="147" t="s">
        <v>37</v>
      </c>
      <c r="V730" s="129"/>
      <c r="W730" s="147" t="s">
        <v>2451</v>
      </c>
      <c r="X730" s="205" t="s">
        <v>1009</v>
      </c>
      <c r="Y730" s="251"/>
      <c r="Z730" s="155"/>
      <c r="AA730" s="230"/>
    </row>
    <row r="731" spans="1:27 16382:16382" s="181" customFormat="1" ht="24" x14ac:dyDescent="0.25">
      <c r="A731" s="131"/>
      <c r="B731" s="136">
        <v>1210018</v>
      </c>
      <c r="C731" s="127" t="s">
        <v>657</v>
      </c>
      <c r="D731" s="128" t="s">
        <v>2484</v>
      </c>
      <c r="E731" s="147" t="s">
        <v>38</v>
      </c>
      <c r="F731" s="129" t="s">
        <v>2047</v>
      </c>
      <c r="G731" s="147" t="s">
        <v>34</v>
      </c>
      <c r="H731" s="189">
        <f t="shared" si="12"/>
        <v>15.530000000000001</v>
      </c>
      <c r="I731" s="210" t="s">
        <v>2452</v>
      </c>
      <c r="J731" s="146"/>
      <c r="K731" s="147"/>
      <c r="L731" s="147">
        <v>1</v>
      </c>
      <c r="M731" s="147">
        <v>4</v>
      </c>
      <c r="N731" s="275">
        <v>11</v>
      </c>
      <c r="O731" s="193"/>
      <c r="P731" s="179">
        <v>45747</v>
      </c>
      <c r="Q731" s="173">
        <v>15.48</v>
      </c>
      <c r="R731" s="271">
        <v>0.05</v>
      </c>
      <c r="S731" s="147"/>
      <c r="T731" s="129" t="s">
        <v>358</v>
      </c>
      <c r="U731" s="147" t="s">
        <v>37</v>
      </c>
      <c r="V731" s="129"/>
      <c r="W731" s="147" t="s">
        <v>2451</v>
      </c>
      <c r="X731" s="205" t="s">
        <v>1009</v>
      </c>
      <c r="Y731" s="251"/>
      <c r="Z731" s="155"/>
      <c r="AA731" s="230"/>
    </row>
    <row r="732" spans="1:27 16382:16382" s="181" customFormat="1" ht="24" x14ac:dyDescent="0.25">
      <c r="A732" s="131"/>
      <c r="B732" s="136">
        <v>1210019</v>
      </c>
      <c r="C732" s="127" t="s">
        <v>657</v>
      </c>
      <c r="D732" s="340" t="s">
        <v>2112</v>
      </c>
      <c r="E732" s="147" t="s">
        <v>38</v>
      </c>
      <c r="F732" s="129" t="s">
        <v>1792</v>
      </c>
      <c r="G732" s="147" t="s">
        <v>34</v>
      </c>
      <c r="H732" s="189">
        <f t="shared" si="12"/>
        <v>26.431098611993104</v>
      </c>
      <c r="I732" s="210" t="s">
        <v>2223</v>
      </c>
      <c r="J732" s="146">
        <v>30</v>
      </c>
      <c r="K732" s="147">
        <v>5</v>
      </c>
      <c r="L732" s="147">
        <v>1</v>
      </c>
      <c r="M732" s="147">
        <v>6</v>
      </c>
      <c r="N732" s="275">
        <f>25*2.2046</f>
        <v>55.115000000000002</v>
      </c>
      <c r="O732" s="173">
        <v>23.709516465571987</v>
      </c>
      <c r="P732" s="179">
        <v>46118</v>
      </c>
      <c r="Q732" s="173">
        <f>58.27/2.2046</f>
        <v>26.431098611993104</v>
      </c>
      <c r="R732" s="271">
        <v>0</v>
      </c>
      <c r="S732" s="147"/>
      <c r="T732" s="129" t="s">
        <v>2441</v>
      </c>
      <c r="U732" s="147" t="s">
        <v>37</v>
      </c>
      <c r="V732" s="129"/>
      <c r="W732" s="147" t="s">
        <v>2210</v>
      </c>
      <c r="X732" s="205" t="s">
        <v>1904</v>
      </c>
      <c r="Y732" s="251"/>
      <c r="Z732" s="290"/>
      <c r="AA732" s="286"/>
    </row>
    <row r="733" spans="1:27 16382:16382" s="181" customFormat="1" ht="36" hidden="1" x14ac:dyDescent="0.25">
      <c r="A733" s="131"/>
      <c r="B733" s="136">
        <v>1210020</v>
      </c>
      <c r="C733" s="127" t="s">
        <v>657</v>
      </c>
      <c r="D733" s="128" t="s">
        <v>2118</v>
      </c>
      <c r="E733" s="147" t="s">
        <v>38</v>
      </c>
      <c r="F733" s="129" t="s">
        <v>2089</v>
      </c>
      <c r="G733" s="147" t="s">
        <v>34</v>
      </c>
      <c r="H733" s="189">
        <f t="shared" si="12"/>
        <v>11.308278145695365</v>
      </c>
      <c r="I733" s="210" t="s">
        <v>2263</v>
      </c>
      <c r="J733" s="146">
        <v>90</v>
      </c>
      <c r="K733" s="147">
        <v>11</v>
      </c>
      <c r="L733" s="147">
        <v>1</v>
      </c>
      <c r="M733" s="147">
        <v>12</v>
      </c>
      <c r="N733" s="275">
        <v>33.069000000000003</v>
      </c>
      <c r="O733" s="193"/>
      <c r="P733" s="179">
        <v>45777</v>
      </c>
      <c r="Q733" s="173">
        <v>11.258278145695364</v>
      </c>
      <c r="R733" s="271">
        <v>0.05</v>
      </c>
      <c r="S733" s="147"/>
      <c r="T733" s="129" t="s">
        <v>2089</v>
      </c>
      <c r="U733" s="147" t="s">
        <v>37</v>
      </c>
      <c r="V733" s="129"/>
      <c r="W733" s="147" t="s">
        <v>2209</v>
      </c>
      <c r="X733" s="205" t="s">
        <v>1009</v>
      </c>
      <c r="Y733" s="251"/>
      <c r="Z733" s="290"/>
      <c r="AA733" s="230"/>
    </row>
    <row r="734" spans="1:27 16382:16382" s="181" customFormat="1" ht="24" x14ac:dyDescent="0.25">
      <c r="A734" s="131"/>
      <c r="B734" s="136">
        <v>1210021</v>
      </c>
      <c r="C734" s="127" t="s">
        <v>657</v>
      </c>
      <c r="D734" s="128" t="s">
        <v>2520</v>
      </c>
      <c r="E734" s="147" t="s">
        <v>38</v>
      </c>
      <c r="F734" s="129" t="s">
        <v>1792</v>
      </c>
      <c r="G734" s="147" t="s">
        <v>34</v>
      </c>
      <c r="H734" s="189">
        <f t="shared" si="12"/>
        <v>26.440170552481174</v>
      </c>
      <c r="I734" s="210" t="s">
        <v>2223</v>
      </c>
      <c r="J734" s="146">
        <v>30</v>
      </c>
      <c r="K734" s="147">
        <v>4</v>
      </c>
      <c r="L734" s="147">
        <v>1</v>
      </c>
      <c r="M734" s="147">
        <v>5</v>
      </c>
      <c r="N734" s="275">
        <f>25*2.2046</f>
        <v>55.115000000000002</v>
      </c>
      <c r="O734" s="193"/>
      <c r="P734" s="179">
        <v>46062</v>
      </c>
      <c r="Q734" s="173">
        <f>58.29/2.2046</f>
        <v>26.440170552481174</v>
      </c>
      <c r="R734" s="271">
        <v>0</v>
      </c>
      <c r="S734" s="147"/>
      <c r="T734" s="129" t="s">
        <v>2441</v>
      </c>
      <c r="U734" s="147" t="s">
        <v>37</v>
      </c>
      <c r="V734" s="129"/>
      <c r="W734" s="147" t="s">
        <v>2208</v>
      </c>
      <c r="X734" s="205" t="s">
        <v>1904</v>
      </c>
      <c r="Y734" s="251"/>
      <c r="Z734" s="290"/>
      <c r="AA734" s="286"/>
    </row>
    <row r="735" spans="1:27 16382:16382" s="181" customFormat="1" ht="36" x14ac:dyDescent="0.25">
      <c r="A735" s="131"/>
      <c r="B735" s="136">
        <v>1210022</v>
      </c>
      <c r="C735" s="127" t="s">
        <v>657</v>
      </c>
      <c r="D735" s="128" t="s">
        <v>2158</v>
      </c>
      <c r="E735" s="147" t="s">
        <v>38</v>
      </c>
      <c r="F735" s="129" t="s">
        <v>2089</v>
      </c>
      <c r="G735" s="147" t="s">
        <v>34</v>
      </c>
      <c r="H735" s="189">
        <f t="shared" si="12"/>
        <v>10.85457679397623</v>
      </c>
      <c r="I735" s="210" t="s">
        <v>2264</v>
      </c>
      <c r="J735" s="146">
        <v>90</v>
      </c>
      <c r="K735" s="147">
        <v>11</v>
      </c>
      <c r="L735" s="147">
        <v>1</v>
      </c>
      <c r="M735" s="147">
        <v>12</v>
      </c>
      <c r="N735" s="275">
        <f>200*2.2046</f>
        <v>440.92</v>
      </c>
      <c r="O735" s="193"/>
      <c r="P735" s="179">
        <v>45966</v>
      </c>
      <c r="Q735" s="173">
        <f>23.93/2.2046</f>
        <v>10.85457679397623</v>
      </c>
      <c r="R735" s="271">
        <v>0</v>
      </c>
      <c r="S735" s="147"/>
      <c r="T735" s="129" t="s">
        <v>2089</v>
      </c>
      <c r="U735" s="147" t="s">
        <v>37</v>
      </c>
      <c r="V735" s="129"/>
      <c r="W735" s="147" t="s">
        <v>2208</v>
      </c>
      <c r="X735" s="205" t="s">
        <v>1009</v>
      </c>
      <c r="Y735" s="205"/>
      <c r="Z735" s="290"/>
      <c r="AA735" s="230"/>
    </row>
    <row r="736" spans="1:27 16382:16382" x14ac:dyDescent="0.25">
      <c r="A736" s="258"/>
      <c r="B736" s="136">
        <v>1210023</v>
      </c>
      <c r="C736" s="127" t="s">
        <v>657</v>
      </c>
      <c r="D736" s="136" t="s">
        <v>2231</v>
      </c>
      <c r="E736" s="147" t="s">
        <v>38</v>
      </c>
      <c r="F736" s="129" t="s">
        <v>2420</v>
      </c>
      <c r="G736" s="147" t="s">
        <v>34</v>
      </c>
      <c r="H736" s="189">
        <f t="shared" si="12"/>
        <v>4.2466999999999997</v>
      </c>
      <c r="I736" s="210" t="s">
        <v>2082</v>
      </c>
      <c r="J736" s="147">
        <v>30</v>
      </c>
      <c r="K736" s="147">
        <v>11</v>
      </c>
      <c r="L736" s="147">
        <v>1</v>
      </c>
      <c r="M736" s="147">
        <v>12</v>
      </c>
      <c r="N736" s="277">
        <v>150</v>
      </c>
      <c r="O736" s="179"/>
      <c r="P736" s="179">
        <v>45959</v>
      </c>
      <c r="Q736" s="271">
        <v>2.5299999999999998</v>
      </c>
      <c r="R736" s="269">
        <f>1.6667+0.05</f>
        <v>1.7167000000000001</v>
      </c>
      <c r="S736" s="129"/>
      <c r="T736" s="129" t="s">
        <v>358</v>
      </c>
      <c r="U736" s="147" t="s">
        <v>37</v>
      </c>
      <c r="V736" s="147"/>
      <c r="W736" s="147" t="s">
        <v>2208</v>
      </c>
      <c r="X736" s="205" t="s">
        <v>1009</v>
      </c>
      <c r="Y736" s="251"/>
      <c r="Z736" s="155"/>
      <c r="AA736" s="230"/>
      <c r="XFB736" s="259"/>
    </row>
    <row r="737" spans="1:27 16380:16382" ht="24" x14ac:dyDescent="0.25">
      <c r="A737" s="258"/>
      <c r="B737" s="136">
        <v>1210024</v>
      </c>
      <c r="C737" s="127" t="s">
        <v>657</v>
      </c>
      <c r="D737" s="136" t="s">
        <v>2232</v>
      </c>
      <c r="E737" s="147" t="s">
        <v>38</v>
      </c>
      <c r="F737" s="129" t="s">
        <v>2058</v>
      </c>
      <c r="G737" s="147" t="s">
        <v>34</v>
      </c>
      <c r="H737" s="189">
        <f t="shared" si="12"/>
        <v>12.98</v>
      </c>
      <c r="I737" s="129" t="s">
        <v>2082</v>
      </c>
      <c r="J737" s="146">
        <v>30</v>
      </c>
      <c r="K737" s="147">
        <v>3</v>
      </c>
      <c r="L737" s="147">
        <v>1</v>
      </c>
      <c r="M737" s="178">
        <v>4</v>
      </c>
      <c r="N737" s="268">
        <v>50</v>
      </c>
      <c r="O737" s="179"/>
      <c r="P737" s="179">
        <v>0.32</v>
      </c>
      <c r="Q737" s="200">
        <v>12.93</v>
      </c>
      <c r="R737" s="269">
        <v>0.05</v>
      </c>
      <c r="S737" s="129"/>
      <c r="T737" s="129" t="s">
        <v>358</v>
      </c>
      <c r="U737" s="147" t="s">
        <v>37</v>
      </c>
      <c r="V737" s="147"/>
      <c r="W737" s="147" t="s">
        <v>2210</v>
      </c>
      <c r="X737" s="205" t="s">
        <v>1009</v>
      </c>
      <c r="Y737" s="251"/>
      <c r="Z737" s="155"/>
      <c r="AA737" s="230"/>
      <c r="XFB737" s="259"/>
    </row>
    <row r="738" spans="1:27 16380:16382" x14ac:dyDescent="0.25">
      <c r="B738" s="136">
        <v>1210025</v>
      </c>
      <c r="C738" s="128" t="s">
        <v>657</v>
      </c>
      <c r="D738" s="128" t="s">
        <v>2271</v>
      </c>
      <c r="E738" s="147" t="s">
        <v>38</v>
      </c>
      <c r="F738" s="129" t="s">
        <v>1611</v>
      </c>
      <c r="G738" s="147" t="s">
        <v>34</v>
      </c>
      <c r="H738" s="189">
        <f t="shared" si="12"/>
        <v>2.59</v>
      </c>
      <c r="I738" s="134" t="s">
        <v>2082</v>
      </c>
      <c r="J738" s="146">
        <v>0</v>
      </c>
      <c r="K738" s="147">
        <v>11</v>
      </c>
      <c r="L738" s="147">
        <v>1</v>
      </c>
      <c r="M738" s="147">
        <v>12</v>
      </c>
      <c r="N738" s="275">
        <v>1800</v>
      </c>
      <c r="O738" s="173">
        <f>1.64+1.4136</f>
        <v>3.0535999999999999</v>
      </c>
      <c r="P738" s="179">
        <v>46072</v>
      </c>
      <c r="Q738" s="173">
        <v>2.54</v>
      </c>
      <c r="R738" s="271">
        <v>0.05</v>
      </c>
      <c r="S738" s="147"/>
      <c r="T738" s="129" t="s">
        <v>358</v>
      </c>
      <c r="U738" s="147" t="s">
        <v>37</v>
      </c>
      <c r="V738" s="129"/>
      <c r="W738" s="147" t="s">
        <v>2208</v>
      </c>
      <c r="X738" s="205" t="s">
        <v>1009</v>
      </c>
      <c r="Y738" s="251"/>
      <c r="Z738" s="155"/>
      <c r="AA738" s="230"/>
    </row>
    <row r="739" spans="1:27 16380:16382" ht="36.6" customHeight="1" x14ac:dyDescent="0.25">
      <c r="B739" s="136">
        <v>1210026</v>
      </c>
      <c r="C739" s="128" t="s">
        <v>657</v>
      </c>
      <c r="D739" s="128" t="s">
        <v>2295</v>
      </c>
      <c r="E739" s="147" t="s">
        <v>38</v>
      </c>
      <c r="F739" s="129" t="s">
        <v>2089</v>
      </c>
      <c r="G739" s="147" t="s">
        <v>34</v>
      </c>
      <c r="H739" s="189">
        <f t="shared" si="12"/>
        <v>14.307357343735825</v>
      </c>
      <c r="I739" s="210" t="s">
        <v>2296</v>
      </c>
      <c r="J739" s="146">
        <v>90</v>
      </c>
      <c r="K739" s="147">
        <v>11</v>
      </c>
      <c r="L739" s="147">
        <v>1</v>
      </c>
      <c r="M739" s="147">
        <v>12</v>
      </c>
      <c r="N739" s="275">
        <f>3.7*2.2046</f>
        <v>8.157020000000001</v>
      </c>
      <c r="O739" s="193"/>
      <c r="P739" s="179">
        <v>45911</v>
      </c>
      <c r="Q739" s="173">
        <f>31.542/2.2046</f>
        <v>14.307357343735825</v>
      </c>
      <c r="R739" s="271">
        <v>0</v>
      </c>
      <c r="S739" s="147"/>
      <c r="T739" s="129" t="s">
        <v>2089</v>
      </c>
      <c r="U739" s="147" t="s">
        <v>37</v>
      </c>
      <c r="V739" s="129"/>
      <c r="W739" s="147" t="s">
        <v>2208</v>
      </c>
      <c r="X739" s="205" t="s">
        <v>1009</v>
      </c>
      <c r="Y739" s="251"/>
      <c r="Z739" s="290"/>
      <c r="AA739" s="230"/>
    </row>
    <row r="740" spans="1:27 16380:16382" ht="36.6" customHeight="1" x14ac:dyDescent="0.25">
      <c r="B740" s="136">
        <v>1210027</v>
      </c>
      <c r="C740" s="128" t="s">
        <v>657</v>
      </c>
      <c r="D740" s="128" t="s">
        <v>2425</v>
      </c>
      <c r="E740" s="147" t="s">
        <v>38</v>
      </c>
      <c r="F740" s="129" t="s">
        <v>2089</v>
      </c>
      <c r="G740" s="147" t="s">
        <v>34</v>
      </c>
      <c r="H740" s="189">
        <f t="shared" si="12"/>
        <v>25.079379479270614</v>
      </c>
      <c r="I740" s="210" t="s">
        <v>2424</v>
      </c>
      <c r="J740" s="146">
        <v>90</v>
      </c>
      <c r="K740" s="147">
        <v>11</v>
      </c>
      <c r="L740" s="147">
        <v>1</v>
      </c>
      <c r="M740" s="147">
        <v>12</v>
      </c>
      <c r="N740" s="275">
        <f>2*2.2046</f>
        <v>4.4092000000000002</v>
      </c>
      <c r="O740" s="193"/>
      <c r="P740" s="179">
        <v>45966</v>
      </c>
      <c r="Q740" s="173">
        <f>55.29/2.2046</f>
        <v>25.079379479270614</v>
      </c>
      <c r="R740" s="271">
        <v>0</v>
      </c>
      <c r="S740" s="147"/>
      <c r="T740" s="129" t="s">
        <v>2089</v>
      </c>
      <c r="U740" s="147" t="s">
        <v>37</v>
      </c>
      <c r="V740" s="129"/>
      <c r="W740" s="147" t="s">
        <v>2208</v>
      </c>
      <c r="X740" s="205"/>
      <c r="Y740" s="251"/>
      <c r="Z740" s="290"/>
      <c r="AA740" s="230"/>
    </row>
    <row r="741" spans="1:27 16380:16382" ht="36" x14ac:dyDescent="0.25">
      <c r="A741" s="258"/>
      <c r="B741" s="128">
        <v>1210028</v>
      </c>
      <c r="C741" s="128" t="s">
        <v>657</v>
      </c>
      <c r="D741" s="136" t="s">
        <v>2430</v>
      </c>
      <c r="E741" s="147" t="s">
        <v>38</v>
      </c>
      <c r="F741" s="129" t="s">
        <v>2089</v>
      </c>
      <c r="G741" s="147" t="s">
        <v>34</v>
      </c>
      <c r="H741" s="189">
        <f t="shared" si="12"/>
        <v>23.355710786537241</v>
      </c>
      <c r="I741" s="210" t="s">
        <v>2432</v>
      </c>
      <c r="J741" s="146">
        <v>90</v>
      </c>
      <c r="K741" s="147">
        <v>11</v>
      </c>
      <c r="L741" s="147">
        <v>1</v>
      </c>
      <c r="M741" s="147">
        <v>12</v>
      </c>
      <c r="N741" s="268">
        <f>25*2.2046</f>
        <v>55.115000000000002</v>
      </c>
      <c r="O741" s="179"/>
      <c r="P741" s="179">
        <v>45988</v>
      </c>
      <c r="Q741" s="200">
        <f>51.49/2.2046</f>
        <v>23.355710786537241</v>
      </c>
      <c r="R741" s="269">
        <v>0</v>
      </c>
      <c r="S741" s="129"/>
      <c r="T741" s="129" t="s">
        <v>2089</v>
      </c>
      <c r="U741" s="147" t="s">
        <v>37</v>
      </c>
      <c r="V741" s="147"/>
      <c r="W741" s="147" t="s">
        <v>2208</v>
      </c>
      <c r="X741" s="206"/>
      <c r="Y741" s="251"/>
      <c r="Z741" s="290"/>
      <c r="AA741" s="230"/>
      <c r="XFB741" s="259"/>
    </row>
    <row r="742" spans="1:27 16380:16382" ht="36" x14ac:dyDescent="0.25">
      <c r="A742" s="258"/>
      <c r="B742" s="128">
        <v>1210029</v>
      </c>
      <c r="C742" s="128" t="s">
        <v>657</v>
      </c>
      <c r="D742" s="136" t="s">
        <v>2431</v>
      </c>
      <c r="E742" s="147" t="s">
        <v>38</v>
      </c>
      <c r="F742" s="129" t="s">
        <v>2089</v>
      </c>
      <c r="G742" s="147" t="s">
        <v>34</v>
      </c>
      <c r="H742" s="189">
        <f t="shared" si="12"/>
        <v>56.817563276784902</v>
      </c>
      <c r="I742" s="210" t="s">
        <v>2433</v>
      </c>
      <c r="J742" s="146">
        <v>90</v>
      </c>
      <c r="K742" s="147">
        <v>11</v>
      </c>
      <c r="L742" s="147">
        <v>1</v>
      </c>
      <c r="M742" s="147">
        <v>12</v>
      </c>
      <c r="N742" s="268">
        <f>10*2.2046</f>
        <v>22.045999999999999</v>
      </c>
      <c r="O742" s="179"/>
      <c r="P742" s="179">
        <v>45988</v>
      </c>
      <c r="Q742" s="271">
        <f>125.26/2.2046</f>
        <v>56.817563276784902</v>
      </c>
      <c r="R742" s="269">
        <v>0</v>
      </c>
      <c r="S742" s="129"/>
      <c r="T742" s="129" t="s">
        <v>2089</v>
      </c>
      <c r="U742" s="147" t="s">
        <v>37</v>
      </c>
      <c r="V742" s="147"/>
      <c r="W742" s="147" t="s">
        <v>2208</v>
      </c>
      <c r="X742" s="206"/>
      <c r="Y742" s="251"/>
      <c r="Z742" s="290"/>
      <c r="AA742" s="230"/>
      <c r="XFB742" s="259"/>
    </row>
    <row r="743" spans="1:27 16380:16382" ht="36" x14ac:dyDescent="0.25">
      <c r="A743" s="258"/>
      <c r="B743" s="128">
        <v>1210030</v>
      </c>
      <c r="C743" s="128" t="s">
        <v>657</v>
      </c>
      <c r="D743" s="136" t="s">
        <v>2492</v>
      </c>
      <c r="E743" s="147" t="s">
        <v>38</v>
      </c>
      <c r="F743" s="129" t="s">
        <v>1792</v>
      </c>
      <c r="G743" s="147" t="s">
        <v>34</v>
      </c>
      <c r="H743" s="189">
        <f t="shared" si="12"/>
        <v>13.848317155039462</v>
      </c>
      <c r="I743" s="210" t="s">
        <v>2434</v>
      </c>
      <c r="J743" s="146">
        <v>30</v>
      </c>
      <c r="K743" s="147">
        <v>5</v>
      </c>
      <c r="L743" s="147">
        <v>1</v>
      </c>
      <c r="M743" s="147">
        <v>6</v>
      </c>
      <c r="N743" s="277">
        <f>250*2.2046</f>
        <v>551.15</v>
      </c>
      <c r="O743" s="269">
        <f>40.25/2.2046</f>
        <v>18.257280232241676</v>
      </c>
      <c r="P743" s="284">
        <v>46030</v>
      </c>
      <c r="Q743" s="269">
        <f>30.53/2.2046</f>
        <v>13.848317155039462</v>
      </c>
      <c r="R743" s="269">
        <v>0</v>
      </c>
      <c r="S743" s="269"/>
      <c r="T743" s="129" t="s">
        <v>2089</v>
      </c>
      <c r="U743" s="147" t="s">
        <v>37</v>
      </c>
      <c r="V743" s="147"/>
      <c r="W743" s="147" t="s">
        <v>2208</v>
      </c>
      <c r="X743" s="205" t="s">
        <v>1904</v>
      </c>
      <c r="Y743" s="251"/>
      <c r="Z743" s="290"/>
      <c r="AA743" s="230"/>
      <c r="XFB743" s="259"/>
    </row>
    <row r="744" spans="1:27 16380:16382" ht="36" x14ac:dyDescent="0.25">
      <c r="A744" s="258"/>
      <c r="B744" s="128">
        <v>1210031</v>
      </c>
      <c r="C744" s="128" t="s">
        <v>657</v>
      </c>
      <c r="D744" s="136" t="s">
        <v>2665</v>
      </c>
      <c r="E744" s="147" t="s">
        <v>38</v>
      </c>
      <c r="F744" s="129" t="s">
        <v>1792</v>
      </c>
      <c r="G744" s="147" t="s">
        <v>34</v>
      </c>
      <c r="H744" s="189">
        <f t="shared" si="12"/>
        <v>20.31207475278962</v>
      </c>
      <c r="I744" s="210" t="s">
        <v>2435</v>
      </c>
      <c r="J744" s="146">
        <v>30</v>
      </c>
      <c r="K744" s="147">
        <v>5</v>
      </c>
      <c r="L744" s="147">
        <v>1</v>
      </c>
      <c r="M744" s="147">
        <v>6</v>
      </c>
      <c r="N744" s="277">
        <f>250*2.2046</f>
        <v>551.15</v>
      </c>
      <c r="O744" s="269">
        <f>40.99/2.2046</f>
        <v>18.592942030300282</v>
      </c>
      <c r="P744" s="284">
        <v>46030</v>
      </c>
      <c r="Q744" s="269">
        <f>44.78/2.2046</f>
        <v>20.31207475278962</v>
      </c>
      <c r="R744" s="269">
        <v>0</v>
      </c>
      <c r="S744" s="276"/>
      <c r="T744" s="129" t="s">
        <v>2089</v>
      </c>
      <c r="U744" s="147" t="s">
        <v>37</v>
      </c>
      <c r="V744" s="147"/>
      <c r="W744" s="147" t="s">
        <v>2208</v>
      </c>
      <c r="X744" s="205" t="s">
        <v>1904</v>
      </c>
      <c r="Y744" s="251"/>
      <c r="Z744" s="290"/>
      <c r="AA744" s="230"/>
      <c r="XFB744" s="259"/>
    </row>
    <row r="745" spans="1:27 16380:16382" x14ac:dyDescent="0.25">
      <c r="B745" s="136">
        <v>1210032</v>
      </c>
      <c r="C745" s="128" t="s">
        <v>657</v>
      </c>
      <c r="D745" s="128" t="s">
        <v>2500</v>
      </c>
      <c r="E745" s="147" t="s">
        <v>38</v>
      </c>
      <c r="F745" s="129" t="s">
        <v>2058</v>
      </c>
      <c r="G745" s="147" t="s">
        <v>34</v>
      </c>
      <c r="H745" s="189">
        <f t="shared" si="12"/>
        <v>11.78</v>
      </c>
      <c r="I745" s="134" t="s">
        <v>2082</v>
      </c>
      <c r="J745" s="146">
        <v>30</v>
      </c>
      <c r="K745" s="147">
        <v>3</v>
      </c>
      <c r="L745" s="147">
        <v>1</v>
      </c>
      <c r="M745" s="147">
        <v>4</v>
      </c>
      <c r="N745" s="275">
        <v>109</v>
      </c>
      <c r="O745" s="193"/>
      <c r="P745" s="179">
        <v>46042</v>
      </c>
      <c r="Q745" s="173">
        <v>10.09</v>
      </c>
      <c r="R745" s="271">
        <f>1.64+0.05</f>
        <v>1.69</v>
      </c>
      <c r="S745" s="147"/>
      <c r="T745" s="129" t="s">
        <v>358</v>
      </c>
      <c r="U745" s="147" t="s">
        <v>37</v>
      </c>
      <c r="V745" s="129"/>
      <c r="W745" s="147" t="s">
        <v>2210</v>
      </c>
      <c r="X745" s="205" t="s">
        <v>1009</v>
      </c>
      <c r="Y745" s="251"/>
      <c r="Z745" s="155"/>
      <c r="AA745" s="230"/>
    </row>
    <row r="746" spans="1:27 16380:16382" ht="24" x14ac:dyDescent="0.25">
      <c r="A746" s="298"/>
      <c r="B746" s="136">
        <v>1210033</v>
      </c>
      <c r="C746" s="128" t="s">
        <v>657</v>
      </c>
      <c r="D746" s="136" t="s">
        <v>2566</v>
      </c>
      <c r="E746" s="147" t="s">
        <v>38</v>
      </c>
      <c r="F746" s="129" t="s">
        <v>1792</v>
      </c>
      <c r="G746" s="147" t="s">
        <v>34</v>
      </c>
      <c r="H746" s="189">
        <f t="shared" si="12"/>
        <v>29.987299283316698</v>
      </c>
      <c r="I746" s="210" t="s">
        <v>2223</v>
      </c>
      <c r="J746" s="146">
        <v>30</v>
      </c>
      <c r="K746" s="147">
        <v>5</v>
      </c>
      <c r="L746" s="147">
        <v>1</v>
      </c>
      <c r="M746" s="147">
        <v>6</v>
      </c>
      <c r="N746" s="268">
        <f>25*2.2046</f>
        <v>55.115000000000002</v>
      </c>
      <c r="O746" s="179"/>
      <c r="P746" s="173">
        <v>8.3333333333333329E-2</v>
      </c>
      <c r="Q746" s="271">
        <f>66.11/2.2046</f>
        <v>29.987299283316698</v>
      </c>
      <c r="R746" s="269">
        <v>0</v>
      </c>
      <c r="S746" s="129"/>
      <c r="T746" s="129" t="s">
        <v>2441</v>
      </c>
      <c r="U746" s="147" t="s">
        <v>37</v>
      </c>
      <c r="V746" s="147"/>
      <c r="W746" s="147" t="s">
        <v>2208</v>
      </c>
      <c r="X746" s="300" t="s">
        <v>1904</v>
      </c>
      <c r="Y746" s="251"/>
      <c r="Z746" s="251"/>
      <c r="AA746" s="230"/>
      <c r="XFB746" s="299"/>
    </row>
    <row r="747" spans="1:27 16380:16382" ht="36" x14ac:dyDescent="0.25">
      <c r="A747" s="298"/>
      <c r="B747" s="136">
        <v>1210034</v>
      </c>
      <c r="C747" s="128" t="s">
        <v>657</v>
      </c>
      <c r="D747" s="136" t="s">
        <v>2572</v>
      </c>
      <c r="E747" s="147" t="s">
        <v>38</v>
      </c>
      <c r="F747" s="129" t="s">
        <v>2089</v>
      </c>
      <c r="G747" s="147" t="s">
        <v>34</v>
      </c>
      <c r="H747" s="189">
        <f t="shared" si="12"/>
        <v>16</v>
      </c>
      <c r="I747" s="210" t="s">
        <v>2573</v>
      </c>
      <c r="J747" s="146">
        <v>90</v>
      </c>
      <c r="K747" s="147">
        <v>11</v>
      </c>
      <c r="L747" s="147">
        <v>1</v>
      </c>
      <c r="M747" s="147">
        <v>12</v>
      </c>
      <c r="N747" s="267"/>
      <c r="O747" s="173"/>
      <c r="P747" s="271"/>
      <c r="Q747" s="173">
        <v>16</v>
      </c>
      <c r="R747" s="271">
        <v>0</v>
      </c>
      <c r="S747" s="129"/>
      <c r="T747" s="129" t="s">
        <v>2089</v>
      </c>
      <c r="U747" s="147" t="s">
        <v>37</v>
      </c>
      <c r="V747" s="147"/>
      <c r="W747" s="147" t="s">
        <v>2208</v>
      </c>
      <c r="X747" s="206"/>
      <c r="Y747" s="251"/>
      <c r="Z747" s="290"/>
      <c r="AA747" s="230"/>
      <c r="XFA747" s="299"/>
      <c r="XFB747" s="299"/>
    </row>
    <row r="748" spans="1:27 16380:16382" ht="24" x14ac:dyDescent="0.25">
      <c r="B748" s="136">
        <v>1210035</v>
      </c>
      <c r="C748" s="128" t="s">
        <v>657</v>
      </c>
      <c r="D748" s="128" t="s">
        <v>2592</v>
      </c>
      <c r="E748" s="147" t="s">
        <v>38</v>
      </c>
      <c r="F748" s="129" t="s">
        <v>1792</v>
      </c>
      <c r="G748" s="147" t="s">
        <v>34</v>
      </c>
      <c r="H748" s="189">
        <f t="shared" si="12"/>
        <v>26.363059058332574</v>
      </c>
      <c r="I748" s="210" t="s">
        <v>2223</v>
      </c>
      <c r="J748" s="146">
        <v>30</v>
      </c>
      <c r="K748" s="147">
        <v>5</v>
      </c>
      <c r="L748" s="147">
        <v>1</v>
      </c>
      <c r="M748" s="147">
        <v>6</v>
      </c>
      <c r="N748" s="275">
        <f>25*2.2046</f>
        <v>55.115000000000002</v>
      </c>
      <c r="O748" s="193"/>
      <c r="P748" s="179">
        <v>46118</v>
      </c>
      <c r="Q748" s="173">
        <f>58.12/2.2046</f>
        <v>26.363059058332574</v>
      </c>
      <c r="R748" s="271">
        <v>0</v>
      </c>
      <c r="S748" s="147"/>
      <c r="T748" s="129" t="s">
        <v>2441</v>
      </c>
      <c r="U748" s="147" t="s">
        <v>37</v>
      </c>
      <c r="V748" s="129"/>
      <c r="W748" s="147" t="s">
        <v>2210</v>
      </c>
      <c r="X748" s="205" t="s">
        <v>1904</v>
      </c>
      <c r="Y748" s="251"/>
      <c r="Z748" s="155"/>
      <c r="AA748" s="230"/>
    </row>
    <row r="749" spans="1:27 16380:16382" ht="24" hidden="1" x14ac:dyDescent="0.25">
      <c r="B749" s="136">
        <v>1210036</v>
      </c>
      <c r="C749" s="128" t="s">
        <v>657</v>
      </c>
      <c r="D749" s="128" t="s">
        <v>2593</v>
      </c>
      <c r="E749" s="147" t="s">
        <v>38</v>
      </c>
      <c r="F749" s="129" t="s">
        <v>1792</v>
      </c>
      <c r="G749" s="147" t="s">
        <v>34</v>
      </c>
      <c r="H749" s="189">
        <f t="shared" si="12"/>
        <v>18.55</v>
      </c>
      <c r="I749" s="210" t="s">
        <v>2223</v>
      </c>
      <c r="J749" s="146">
        <v>30</v>
      </c>
      <c r="K749" s="147">
        <v>5</v>
      </c>
      <c r="L749" s="147">
        <v>1</v>
      </c>
      <c r="M749" s="147">
        <v>6</v>
      </c>
      <c r="N749" s="275"/>
      <c r="O749" s="193"/>
      <c r="P749" s="179"/>
      <c r="Q749" s="173">
        <v>18.5</v>
      </c>
      <c r="R749" s="271">
        <v>0.05</v>
      </c>
      <c r="S749" s="147"/>
      <c r="T749" s="129" t="s">
        <v>2441</v>
      </c>
      <c r="U749" s="147" t="s">
        <v>37</v>
      </c>
      <c r="V749" s="129"/>
      <c r="W749" s="147" t="s">
        <v>2209</v>
      </c>
      <c r="X749" s="205" t="s">
        <v>1904</v>
      </c>
      <c r="Y749" s="251"/>
      <c r="Z749" s="155"/>
      <c r="AA749" s="230"/>
    </row>
    <row r="750" spans="1:27 16380:16382" x14ac:dyDescent="0.25">
      <c r="A750" s="258"/>
      <c r="B750" s="136">
        <v>1210037</v>
      </c>
      <c r="C750" s="128" t="s">
        <v>657</v>
      </c>
      <c r="D750" s="136" t="s">
        <v>2651</v>
      </c>
      <c r="E750" s="147" t="s">
        <v>38</v>
      </c>
      <c r="F750" s="129" t="s">
        <v>2058</v>
      </c>
      <c r="G750" s="147" t="s">
        <v>34</v>
      </c>
      <c r="H750" s="189">
        <f t="shared" si="12"/>
        <v>4.09</v>
      </c>
      <c r="I750" s="134" t="s">
        <v>2082</v>
      </c>
      <c r="J750" s="146">
        <v>30</v>
      </c>
      <c r="K750" s="147">
        <v>3</v>
      </c>
      <c r="L750" s="147">
        <v>1</v>
      </c>
      <c r="M750" s="147">
        <v>4</v>
      </c>
      <c r="N750" s="147">
        <v>1000</v>
      </c>
      <c r="O750" s="276">
        <v>3.49</v>
      </c>
      <c r="P750" s="152">
        <v>46168</v>
      </c>
      <c r="Q750" s="276">
        <v>4.04</v>
      </c>
      <c r="R750" s="276">
        <v>0.05</v>
      </c>
      <c r="S750" s="129"/>
      <c r="T750" s="129" t="s">
        <v>358</v>
      </c>
      <c r="U750" s="147" t="s">
        <v>37</v>
      </c>
      <c r="V750" s="129"/>
      <c r="W750" s="147" t="s">
        <v>2210</v>
      </c>
      <c r="X750" s="205" t="s">
        <v>1009</v>
      </c>
      <c r="Y750" s="290"/>
      <c r="Z750" s="230"/>
      <c r="AA750" s="230"/>
      <c r="XEZ750" s="299"/>
      <c r="XFA750" s="299"/>
      <c r="XFB750" s="259"/>
    </row>
    <row r="751" spans="1:27 16380:16382" ht="36" x14ac:dyDescent="0.25">
      <c r="B751" s="158">
        <v>1210038</v>
      </c>
      <c r="C751" s="128" t="s">
        <v>657</v>
      </c>
      <c r="D751" s="136" t="s">
        <v>2682</v>
      </c>
      <c r="E751" s="147" t="s">
        <v>38</v>
      </c>
      <c r="F751" s="129" t="s">
        <v>1792</v>
      </c>
      <c r="G751" s="147" t="s">
        <v>34</v>
      </c>
      <c r="H751" s="189">
        <f t="shared" si="12"/>
        <v>0</v>
      </c>
      <c r="I751" s="210" t="s">
        <v>2683</v>
      </c>
      <c r="J751" s="146">
        <v>30</v>
      </c>
      <c r="K751" s="147">
        <v>5</v>
      </c>
      <c r="L751" s="147">
        <v>1</v>
      </c>
      <c r="M751" s="147">
        <v>6</v>
      </c>
      <c r="N751" s="147"/>
      <c r="O751" s="276"/>
      <c r="P751" s="152"/>
      <c r="Q751" s="276"/>
      <c r="R751" s="271">
        <v>0</v>
      </c>
      <c r="S751" s="129"/>
      <c r="T751" s="129" t="s">
        <v>2332</v>
      </c>
      <c r="U751" s="147" t="s">
        <v>37</v>
      </c>
      <c r="V751" s="129"/>
      <c r="W751" s="147" t="s">
        <v>2208</v>
      </c>
      <c r="X751" s="205" t="s">
        <v>1904</v>
      </c>
      <c r="Y751" s="290"/>
      <c r="Z751" s="230"/>
      <c r="AA751" s="230"/>
      <c r="XEZ751" s="299"/>
      <c r="XFA751" s="299"/>
      <c r="XFB751" s="259"/>
    </row>
    <row r="752" spans="1:27 16380:16382" s="181" customFormat="1" hidden="1" x14ac:dyDescent="0.25">
      <c r="A752" s="131">
        <v>1</v>
      </c>
      <c r="B752" s="136">
        <v>1301001</v>
      </c>
      <c r="C752" s="128" t="s">
        <v>600</v>
      </c>
      <c r="D752" s="128"/>
      <c r="E752" s="147" t="s">
        <v>38</v>
      </c>
      <c r="F752" s="138" t="s">
        <v>57</v>
      </c>
      <c r="G752" s="147" t="s">
        <v>34</v>
      </c>
      <c r="H752" s="189">
        <f t="shared" si="12"/>
        <v>0</v>
      </c>
      <c r="I752" s="213"/>
      <c r="J752" s="149"/>
      <c r="K752" s="147">
        <v>12</v>
      </c>
      <c r="L752" s="147">
        <v>1</v>
      </c>
      <c r="M752" s="147">
        <v>13</v>
      </c>
      <c r="N752" s="275"/>
      <c r="O752" s="194"/>
      <c r="P752" s="179"/>
      <c r="Q752" s="173"/>
      <c r="R752" s="260">
        <v>0</v>
      </c>
      <c r="S752" s="167"/>
      <c r="T752" s="138" t="s">
        <v>57</v>
      </c>
      <c r="U752" s="147" t="s">
        <v>37</v>
      </c>
      <c r="V752" s="129"/>
      <c r="W752" s="162" t="s">
        <v>54</v>
      </c>
      <c r="X752" s="205"/>
      <c r="Y752" s="251"/>
      <c r="Z752" s="155"/>
      <c r="AA752" s="230"/>
    </row>
    <row r="753" spans="1:27" s="181" customFormat="1" hidden="1" x14ac:dyDescent="0.25">
      <c r="A753" s="131">
        <v>1</v>
      </c>
      <c r="B753" s="136">
        <v>1301002</v>
      </c>
      <c r="C753" s="128" t="s">
        <v>600</v>
      </c>
      <c r="D753" s="128" t="s">
        <v>860</v>
      </c>
      <c r="E753" s="147" t="s">
        <v>38</v>
      </c>
      <c r="F753" s="138" t="s">
        <v>57</v>
      </c>
      <c r="G753" s="147" t="s">
        <v>34</v>
      </c>
      <c r="H753" s="189">
        <f t="shared" si="12"/>
        <v>0</v>
      </c>
      <c r="I753" s="213"/>
      <c r="J753" s="149"/>
      <c r="K753" s="147">
        <v>12</v>
      </c>
      <c r="L753" s="147">
        <v>1</v>
      </c>
      <c r="M753" s="147">
        <v>13</v>
      </c>
      <c r="N753" s="275"/>
      <c r="O753" s="194"/>
      <c r="P753" s="179"/>
      <c r="Q753" s="173"/>
      <c r="R753" s="260">
        <v>0</v>
      </c>
      <c r="S753" s="167"/>
      <c r="T753" s="129" t="s">
        <v>2204</v>
      </c>
      <c r="U753" s="147" t="s">
        <v>37</v>
      </c>
      <c r="V753" s="129"/>
      <c r="W753" s="162" t="s">
        <v>54</v>
      </c>
      <c r="X753" s="205"/>
      <c r="Y753" s="251"/>
      <c r="Z753" s="155"/>
      <c r="AA753" s="230"/>
    </row>
    <row r="754" spans="1:27" s="181" customFormat="1" hidden="1" x14ac:dyDescent="0.25">
      <c r="A754" s="131">
        <v>1</v>
      </c>
      <c r="B754" s="136">
        <v>1301003</v>
      </c>
      <c r="C754" s="128" t="s">
        <v>600</v>
      </c>
      <c r="D754" s="128" t="s">
        <v>861</v>
      </c>
      <c r="E754" s="147" t="s">
        <v>38</v>
      </c>
      <c r="F754" s="138" t="s">
        <v>57</v>
      </c>
      <c r="G754" s="147" t="s">
        <v>34</v>
      </c>
      <c r="H754" s="189">
        <f t="shared" si="12"/>
        <v>0</v>
      </c>
      <c r="I754" s="213"/>
      <c r="J754" s="149"/>
      <c r="K754" s="147">
        <v>12</v>
      </c>
      <c r="L754" s="147">
        <v>1</v>
      </c>
      <c r="M754" s="147">
        <v>13</v>
      </c>
      <c r="N754" s="275"/>
      <c r="O754" s="194"/>
      <c r="P754" s="179"/>
      <c r="Q754" s="173"/>
      <c r="R754" s="260">
        <v>0</v>
      </c>
      <c r="S754" s="167"/>
      <c r="T754" s="138" t="s">
        <v>57</v>
      </c>
      <c r="U754" s="147" t="s">
        <v>37</v>
      </c>
      <c r="V754" s="129"/>
      <c r="W754" s="162" t="s">
        <v>54</v>
      </c>
      <c r="X754" s="205"/>
      <c r="Y754" s="251"/>
      <c r="Z754" s="155"/>
      <c r="AA754" s="230"/>
    </row>
    <row r="755" spans="1:27" s="181" customFormat="1" hidden="1" x14ac:dyDescent="0.25">
      <c r="A755" s="131">
        <v>1</v>
      </c>
      <c r="B755" s="136">
        <v>1301004</v>
      </c>
      <c r="C755" s="128" t="s">
        <v>600</v>
      </c>
      <c r="D755" s="128" t="s">
        <v>862</v>
      </c>
      <c r="E755" s="147" t="s">
        <v>38</v>
      </c>
      <c r="F755" s="138" t="s">
        <v>57</v>
      </c>
      <c r="G755" s="147" t="s">
        <v>34</v>
      </c>
      <c r="H755" s="189">
        <f t="shared" si="12"/>
        <v>0</v>
      </c>
      <c r="I755" s="213"/>
      <c r="J755" s="149"/>
      <c r="K755" s="147">
        <v>12</v>
      </c>
      <c r="L755" s="147">
        <v>1</v>
      </c>
      <c r="M755" s="147">
        <v>13</v>
      </c>
      <c r="N755" s="275"/>
      <c r="O755" s="194"/>
      <c r="P755" s="179"/>
      <c r="Q755" s="173"/>
      <c r="R755" s="260">
        <v>0</v>
      </c>
      <c r="S755" s="167"/>
      <c r="T755" s="138" t="s">
        <v>57</v>
      </c>
      <c r="U755" s="147" t="s">
        <v>37</v>
      </c>
      <c r="V755" s="129"/>
      <c r="W755" s="162" t="s">
        <v>54</v>
      </c>
      <c r="X755" s="205"/>
      <c r="Y755" s="251"/>
      <c r="Z755" s="155"/>
      <c r="AA755" s="230"/>
    </row>
    <row r="756" spans="1:27" s="181" customFormat="1" hidden="1" x14ac:dyDescent="0.25">
      <c r="A756" s="131">
        <v>1</v>
      </c>
      <c r="B756" s="136">
        <v>1301005</v>
      </c>
      <c r="C756" s="128" t="s">
        <v>600</v>
      </c>
      <c r="D756" s="128" t="s">
        <v>863</v>
      </c>
      <c r="E756" s="147" t="s">
        <v>38</v>
      </c>
      <c r="F756" s="138" t="s">
        <v>57</v>
      </c>
      <c r="G756" s="147" t="s">
        <v>34</v>
      </c>
      <c r="H756" s="189">
        <f t="shared" si="12"/>
        <v>0</v>
      </c>
      <c r="I756" s="213"/>
      <c r="J756" s="149"/>
      <c r="K756" s="147">
        <v>12</v>
      </c>
      <c r="L756" s="147">
        <v>1</v>
      </c>
      <c r="M756" s="147">
        <v>13</v>
      </c>
      <c r="N756" s="275"/>
      <c r="O756" s="194"/>
      <c r="P756" s="179"/>
      <c r="Q756" s="173"/>
      <c r="R756" s="260">
        <v>0</v>
      </c>
      <c r="S756" s="167"/>
      <c r="T756" s="129" t="s">
        <v>55</v>
      </c>
      <c r="U756" s="147" t="s">
        <v>37</v>
      </c>
      <c r="V756" s="129"/>
      <c r="W756" s="162" t="s">
        <v>54</v>
      </c>
      <c r="X756" s="205"/>
      <c r="Y756" s="251"/>
      <c r="Z756" s="155"/>
      <c r="AA756" s="230"/>
    </row>
    <row r="757" spans="1:27" s="181" customFormat="1" hidden="1" x14ac:dyDescent="0.25">
      <c r="A757" s="131">
        <v>1</v>
      </c>
      <c r="B757" s="136">
        <v>1301006</v>
      </c>
      <c r="C757" s="128" t="s">
        <v>600</v>
      </c>
      <c r="D757" s="128" t="s">
        <v>864</v>
      </c>
      <c r="E757" s="147" t="s">
        <v>38</v>
      </c>
      <c r="F757" s="138" t="s">
        <v>57</v>
      </c>
      <c r="G757" s="147" t="s">
        <v>34</v>
      </c>
      <c r="H757" s="189">
        <f t="shared" si="12"/>
        <v>0</v>
      </c>
      <c r="I757" s="213"/>
      <c r="J757" s="149"/>
      <c r="K757" s="147">
        <v>12</v>
      </c>
      <c r="L757" s="147">
        <v>1</v>
      </c>
      <c r="M757" s="147">
        <v>13</v>
      </c>
      <c r="N757" s="275"/>
      <c r="O757" s="194"/>
      <c r="P757" s="179"/>
      <c r="Q757" s="173"/>
      <c r="R757" s="260">
        <v>0</v>
      </c>
      <c r="S757" s="167"/>
      <c r="T757" s="129" t="s">
        <v>55</v>
      </c>
      <c r="U757" s="147" t="s">
        <v>37</v>
      </c>
      <c r="V757" s="129"/>
      <c r="W757" s="162" t="s">
        <v>54</v>
      </c>
      <c r="X757" s="205"/>
      <c r="Y757" s="251"/>
      <c r="Z757" s="155"/>
      <c r="AA757" s="230"/>
    </row>
    <row r="758" spans="1:27" s="181" customFormat="1" hidden="1" x14ac:dyDescent="0.25">
      <c r="A758" s="131">
        <v>1</v>
      </c>
      <c r="B758" s="136">
        <v>1301007</v>
      </c>
      <c r="C758" s="128" t="s">
        <v>600</v>
      </c>
      <c r="D758" s="128" t="s">
        <v>865</v>
      </c>
      <c r="E758" s="147" t="s">
        <v>38</v>
      </c>
      <c r="F758" s="138" t="s">
        <v>57</v>
      </c>
      <c r="G758" s="147" t="s">
        <v>34</v>
      </c>
      <c r="H758" s="189">
        <f t="shared" si="12"/>
        <v>0</v>
      </c>
      <c r="I758" s="213"/>
      <c r="J758" s="149"/>
      <c r="K758" s="147">
        <v>12</v>
      </c>
      <c r="L758" s="147">
        <v>1</v>
      </c>
      <c r="M758" s="147">
        <v>13</v>
      </c>
      <c r="N758" s="275"/>
      <c r="O758" s="194"/>
      <c r="P758" s="179"/>
      <c r="Q758" s="173"/>
      <c r="R758" s="260">
        <v>0</v>
      </c>
      <c r="S758" s="167"/>
      <c r="T758" s="138" t="s">
        <v>57</v>
      </c>
      <c r="U758" s="147" t="s">
        <v>37</v>
      </c>
      <c r="V758" s="129"/>
      <c r="W758" s="162" t="s">
        <v>54</v>
      </c>
      <c r="X758" s="205"/>
      <c r="Y758" s="251"/>
      <c r="Z758" s="155"/>
      <c r="AA758" s="230"/>
    </row>
    <row r="759" spans="1:27" s="181" customFormat="1" hidden="1" x14ac:dyDescent="0.25">
      <c r="A759" s="131">
        <v>1</v>
      </c>
      <c r="B759" s="136">
        <v>1301008</v>
      </c>
      <c r="C759" s="128" t="s">
        <v>600</v>
      </c>
      <c r="D759" s="128" t="s">
        <v>866</v>
      </c>
      <c r="E759" s="147" t="s">
        <v>38</v>
      </c>
      <c r="F759" s="138" t="s">
        <v>57</v>
      </c>
      <c r="G759" s="147" t="s">
        <v>34</v>
      </c>
      <c r="H759" s="189">
        <f t="shared" si="12"/>
        <v>0</v>
      </c>
      <c r="I759" s="213"/>
      <c r="J759" s="149"/>
      <c r="K759" s="147">
        <v>12</v>
      </c>
      <c r="L759" s="147">
        <v>1</v>
      </c>
      <c r="M759" s="147">
        <v>13</v>
      </c>
      <c r="N759" s="275"/>
      <c r="O759" s="194"/>
      <c r="P759" s="179"/>
      <c r="Q759" s="173"/>
      <c r="R759" s="260">
        <v>0</v>
      </c>
      <c r="S759" s="167"/>
      <c r="T759" s="129" t="s">
        <v>55</v>
      </c>
      <c r="U759" s="147" t="s">
        <v>37</v>
      </c>
      <c r="V759" s="129"/>
      <c r="W759" s="162" t="s">
        <v>54</v>
      </c>
      <c r="X759" s="205"/>
      <c r="Y759" s="251"/>
      <c r="Z759" s="155"/>
      <c r="AA759" s="230"/>
    </row>
    <row r="760" spans="1:27" s="181" customFormat="1" hidden="1" x14ac:dyDescent="0.25">
      <c r="A760" s="131">
        <v>1</v>
      </c>
      <c r="B760" s="136">
        <v>1301009</v>
      </c>
      <c r="C760" s="128" t="s">
        <v>600</v>
      </c>
      <c r="D760" s="128" t="s">
        <v>867</v>
      </c>
      <c r="E760" s="147" t="s">
        <v>38</v>
      </c>
      <c r="F760" s="138" t="s">
        <v>57</v>
      </c>
      <c r="G760" s="147" t="s">
        <v>34</v>
      </c>
      <c r="H760" s="189">
        <f t="shared" si="12"/>
        <v>0</v>
      </c>
      <c r="I760" s="213"/>
      <c r="J760" s="149"/>
      <c r="K760" s="147">
        <v>12</v>
      </c>
      <c r="L760" s="147">
        <v>1</v>
      </c>
      <c r="M760" s="147">
        <v>13</v>
      </c>
      <c r="N760" s="275"/>
      <c r="O760" s="194"/>
      <c r="P760" s="179"/>
      <c r="Q760" s="173"/>
      <c r="R760" s="260">
        <v>0</v>
      </c>
      <c r="S760" s="167"/>
      <c r="T760" s="129" t="s">
        <v>55</v>
      </c>
      <c r="U760" s="147" t="s">
        <v>37</v>
      </c>
      <c r="V760" s="129"/>
      <c r="W760" s="162" t="s">
        <v>54</v>
      </c>
      <c r="X760" s="205"/>
      <c r="Y760" s="251"/>
      <c r="Z760" s="155"/>
      <c r="AA760" s="230"/>
    </row>
    <row r="761" spans="1:27" s="181" customFormat="1" hidden="1" x14ac:dyDescent="0.25">
      <c r="A761" s="131">
        <v>1</v>
      </c>
      <c r="B761" s="136">
        <v>1301010</v>
      </c>
      <c r="C761" s="128" t="s">
        <v>600</v>
      </c>
      <c r="D761" s="128" t="s">
        <v>868</v>
      </c>
      <c r="E761" s="147" t="s">
        <v>38</v>
      </c>
      <c r="F761" s="138" t="s">
        <v>57</v>
      </c>
      <c r="G761" s="147" t="s">
        <v>34</v>
      </c>
      <c r="H761" s="189">
        <f t="shared" si="12"/>
        <v>0</v>
      </c>
      <c r="I761" s="213"/>
      <c r="J761" s="149"/>
      <c r="K761" s="147">
        <v>12</v>
      </c>
      <c r="L761" s="147">
        <v>1</v>
      </c>
      <c r="M761" s="147">
        <v>13</v>
      </c>
      <c r="N761" s="275"/>
      <c r="O761" s="194"/>
      <c r="P761" s="179"/>
      <c r="Q761" s="173"/>
      <c r="R761" s="260">
        <v>0</v>
      </c>
      <c r="S761" s="167"/>
      <c r="T761" s="129" t="s">
        <v>55</v>
      </c>
      <c r="U761" s="147" t="s">
        <v>37</v>
      </c>
      <c r="V761" s="129"/>
      <c r="W761" s="162" t="s">
        <v>54</v>
      </c>
      <c r="X761" s="205"/>
      <c r="Y761" s="251"/>
      <c r="Z761" s="155"/>
      <c r="AA761" s="230"/>
    </row>
    <row r="762" spans="1:27" s="181" customFormat="1" hidden="1" x14ac:dyDescent="0.25">
      <c r="A762" s="131">
        <v>1</v>
      </c>
      <c r="B762" s="136">
        <v>1301012</v>
      </c>
      <c r="C762" s="128" t="s">
        <v>600</v>
      </c>
      <c r="D762" s="128" t="s">
        <v>869</v>
      </c>
      <c r="E762" s="147" t="s">
        <v>38</v>
      </c>
      <c r="F762" s="138" t="s">
        <v>57</v>
      </c>
      <c r="G762" s="147" t="s">
        <v>34</v>
      </c>
      <c r="H762" s="189">
        <f t="shared" si="12"/>
        <v>0</v>
      </c>
      <c r="I762" s="213"/>
      <c r="J762" s="149"/>
      <c r="K762" s="147">
        <v>12</v>
      </c>
      <c r="L762" s="147">
        <v>1</v>
      </c>
      <c r="M762" s="147">
        <v>13</v>
      </c>
      <c r="N762" s="275"/>
      <c r="O762" s="194"/>
      <c r="P762" s="179"/>
      <c r="Q762" s="173"/>
      <c r="R762" s="260">
        <v>0</v>
      </c>
      <c r="S762" s="167"/>
      <c r="T762" s="129" t="s">
        <v>55</v>
      </c>
      <c r="U762" s="147" t="s">
        <v>37</v>
      </c>
      <c r="V762" s="129"/>
      <c r="W762" s="162" t="s">
        <v>54</v>
      </c>
      <c r="X762" s="205"/>
      <c r="Y762" s="251"/>
      <c r="Z762" s="155"/>
      <c r="AA762" s="230"/>
    </row>
    <row r="763" spans="1:27" hidden="1" x14ac:dyDescent="0.25">
      <c r="A763" s="131">
        <v>1</v>
      </c>
      <c r="B763" s="136">
        <v>1301013</v>
      </c>
      <c r="C763" s="128" t="s">
        <v>600</v>
      </c>
      <c r="D763" s="128" t="s">
        <v>870</v>
      </c>
      <c r="E763" s="147" t="s">
        <v>38</v>
      </c>
      <c r="F763" s="138" t="s">
        <v>57</v>
      </c>
      <c r="G763" s="147" t="s">
        <v>34</v>
      </c>
      <c r="H763" s="189">
        <f t="shared" si="12"/>
        <v>0</v>
      </c>
      <c r="I763" s="213"/>
      <c r="J763" s="149"/>
      <c r="K763" s="147">
        <v>12</v>
      </c>
      <c r="L763" s="147">
        <v>1</v>
      </c>
      <c r="M763" s="147">
        <v>13</v>
      </c>
      <c r="N763" s="275"/>
      <c r="O763" s="194"/>
      <c r="P763" s="179"/>
      <c r="Q763" s="173"/>
      <c r="R763" s="260">
        <v>0</v>
      </c>
      <c r="S763" s="167"/>
      <c r="T763" s="129" t="s">
        <v>55</v>
      </c>
      <c r="U763" s="147" t="s">
        <v>37</v>
      </c>
      <c r="V763" s="129"/>
      <c r="W763" s="162" t="s">
        <v>54</v>
      </c>
      <c r="X763" s="205"/>
      <c r="Y763" s="251"/>
      <c r="Z763" s="155"/>
      <c r="AA763" s="230"/>
    </row>
    <row r="764" spans="1:27" hidden="1" x14ac:dyDescent="0.25">
      <c r="A764" s="131">
        <v>1</v>
      </c>
      <c r="B764" s="136">
        <v>1301014</v>
      </c>
      <c r="C764" s="128" t="s">
        <v>600</v>
      </c>
      <c r="D764" s="128" t="s">
        <v>871</v>
      </c>
      <c r="E764" s="147" t="s">
        <v>38</v>
      </c>
      <c r="F764" s="138" t="s">
        <v>57</v>
      </c>
      <c r="G764" s="147" t="s">
        <v>34</v>
      </c>
      <c r="H764" s="189">
        <f t="shared" si="12"/>
        <v>0</v>
      </c>
      <c r="I764" s="213"/>
      <c r="J764" s="149"/>
      <c r="K764" s="147">
        <v>12</v>
      </c>
      <c r="L764" s="147">
        <v>1</v>
      </c>
      <c r="M764" s="147">
        <v>13</v>
      </c>
      <c r="N764" s="275"/>
      <c r="O764" s="194"/>
      <c r="P764" s="179"/>
      <c r="Q764" s="173"/>
      <c r="R764" s="260">
        <v>0</v>
      </c>
      <c r="S764" s="167"/>
      <c r="T764" s="129" t="s">
        <v>55</v>
      </c>
      <c r="U764" s="147" t="s">
        <v>37</v>
      </c>
      <c r="V764" s="129"/>
      <c r="W764" s="162" t="s">
        <v>54</v>
      </c>
      <c r="X764" s="205"/>
      <c r="Y764" s="251"/>
      <c r="Z764" s="155"/>
      <c r="AA764" s="230"/>
    </row>
    <row r="765" spans="1:27" hidden="1" x14ac:dyDescent="0.25">
      <c r="A765" s="131">
        <v>1</v>
      </c>
      <c r="B765" s="136">
        <v>1301015</v>
      </c>
      <c r="C765" s="128" t="s">
        <v>600</v>
      </c>
      <c r="D765" s="128" t="s">
        <v>872</v>
      </c>
      <c r="E765" s="147" t="s">
        <v>38</v>
      </c>
      <c r="F765" s="129" t="s">
        <v>873</v>
      </c>
      <c r="G765" s="147" t="s">
        <v>34</v>
      </c>
      <c r="H765" s="189">
        <f t="shared" si="12"/>
        <v>0</v>
      </c>
      <c r="I765" s="213"/>
      <c r="J765" s="149"/>
      <c r="K765" s="147">
        <v>11</v>
      </c>
      <c r="L765" s="147">
        <v>1</v>
      </c>
      <c r="M765" s="147">
        <v>12</v>
      </c>
      <c r="N765" s="275"/>
      <c r="O765" s="194"/>
      <c r="P765" s="179"/>
      <c r="Q765" s="173"/>
      <c r="R765" s="260">
        <v>0</v>
      </c>
      <c r="S765" s="167"/>
      <c r="T765" s="129" t="s">
        <v>55</v>
      </c>
      <c r="U765" s="147" t="s">
        <v>37</v>
      </c>
      <c r="V765" s="129"/>
      <c r="W765" s="162" t="s">
        <v>54</v>
      </c>
      <c r="X765" s="205"/>
      <c r="Y765" s="251"/>
      <c r="Z765" s="155"/>
      <c r="AA765" s="230"/>
    </row>
    <row r="766" spans="1:27" s="181" customFormat="1" hidden="1" x14ac:dyDescent="0.25">
      <c r="A766" s="131">
        <v>1</v>
      </c>
      <c r="B766" s="136">
        <v>1301016</v>
      </c>
      <c r="C766" s="128" t="s">
        <v>600</v>
      </c>
      <c r="D766" s="128" t="s">
        <v>874</v>
      </c>
      <c r="E766" s="147" t="s">
        <v>38</v>
      </c>
      <c r="F766" s="138" t="s">
        <v>57</v>
      </c>
      <c r="G766" s="147" t="s">
        <v>34</v>
      </c>
      <c r="H766" s="189">
        <f t="shared" si="12"/>
        <v>0</v>
      </c>
      <c r="I766" s="213"/>
      <c r="J766" s="149"/>
      <c r="K766" s="147">
        <v>12</v>
      </c>
      <c r="L766" s="147">
        <v>1</v>
      </c>
      <c r="M766" s="147">
        <v>13</v>
      </c>
      <c r="N766" s="275"/>
      <c r="O766" s="194"/>
      <c r="P766" s="179"/>
      <c r="Q766" s="173"/>
      <c r="R766" s="260">
        <v>0</v>
      </c>
      <c r="S766" s="167"/>
      <c r="T766" s="138" t="s">
        <v>57</v>
      </c>
      <c r="U766" s="147" t="s">
        <v>37</v>
      </c>
      <c r="V766" s="129"/>
      <c r="W766" s="162" t="s">
        <v>54</v>
      </c>
      <c r="X766" s="205"/>
      <c r="Y766" s="251"/>
      <c r="Z766" s="155"/>
      <c r="AA766" s="230"/>
    </row>
    <row r="767" spans="1:27" s="181" customFormat="1" hidden="1" x14ac:dyDescent="0.25">
      <c r="A767" s="131">
        <v>1</v>
      </c>
      <c r="B767" s="136">
        <v>1301017</v>
      </c>
      <c r="C767" s="128" t="s">
        <v>600</v>
      </c>
      <c r="D767" s="128" t="s">
        <v>875</v>
      </c>
      <c r="E767" s="147" t="s">
        <v>38</v>
      </c>
      <c r="F767" s="138" t="s">
        <v>57</v>
      </c>
      <c r="G767" s="147" t="s">
        <v>34</v>
      </c>
      <c r="H767" s="189">
        <f t="shared" si="12"/>
        <v>0</v>
      </c>
      <c r="I767" s="213"/>
      <c r="J767" s="149"/>
      <c r="K767" s="147">
        <v>12</v>
      </c>
      <c r="L767" s="147">
        <v>1</v>
      </c>
      <c r="M767" s="147">
        <v>13</v>
      </c>
      <c r="N767" s="275"/>
      <c r="O767" s="194"/>
      <c r="P767" s="179"/>
      <c r="Q767" s="173"/>
      <c r="R767" s="260">
        <v>0</v>
      </c>
      <c r="S767" s="167"/>
      <c r="T767" s="138" t="s">
        <v>57</v>
      </c>
      <c r="U767" s="147" t="s">
        <v>37</v>
      </c>
      <c r="V767" s="129"/>
      <c r="W767" s="162" t="s">
        <v>54</v>
      </c>
      <c r="X767" s="205"/>
      <c r="Y767" s="251"/>
      <c r="Z767" s="155"/>
      <c r="AA767" s="230"/>
    </row>
    <row r="768" spans="1:27" s="181" customFormat="1" hidden="1" x14ac:dyDescent="0.25">
      <c r="A768" s="131">
        <v>1</v>
      </c>
      <c r="B768" s="136">
        <v>1301018</v>
      </c>
      <c r="C768" s="128" t="s">
        <v>600</v>
      </c>
      <c r="D768" s="128" t="s">
        <v>876</v>
      </c>
      <c r="E768" s="147" t="s">
        <v>38</v>
      </c>
      <c r="F768" s="138" t="s">
        <v>57</v>
      </c>
      <c r="G768" s="147" t="s">
        <v>34</v>
      </c>
      <c r="H768" s="189">
        <f t="shared" si="12"/>
        <v>0</v>
      </c>
      <c r="I768" s="213"/>
      <c r="J768" s="149"/>
      <c r="K768" s="147">
        <v>12</v>
      </c>
      <c r="L768" s="147">
        <v>1</v>
      </c>
      <c r="M768" s="147">
        <v>13</v>
      </c>
      <c r="N768" s="275"/>
      <c r="O768" s="194"/>
      <c r="P768" s="179"/>
      <c r="Q768" s="173"/>
      <c r="R768" s="260">
        <v>0</v>
      </c>
      <c r="S768" s="167"/>
      <c r="T768" s="138" t="s">
        <v>57</v>
      </c>
      <c r="U768" s="147" t="s">
        <v>37</v>
      </c>
      <c r="V768" s="129"/>
      <c r="W768" s="162" t="s">
        <v>54</v>
      </c>
      <c r="X768" s="205"/>
      <c r="Y768" s="251"/>
      <c r="Z768" s="155"/>
      <c r="AA768" s="230"/>
    </row>
    <row r="769" spans="1:27" s="181" customFormat="1" x14ac:dyDescent="0.25">
      <c r="A769" s="131">
        <v>1</v>
      </c>
      <c r="B769" s="136">
        <v>1301019</v>
      </c>
      <c r="C769" s="128" t="s">
        <v>600</v>
      </c>
      <c r="D769" s="128" t="s">
        <v>877</v>
      </c>
      <c r="E769" s="147" t="s">
        <v>38</v>
      </c>
      <c r="F769" s="129" t="s">
        <v>684</v>
      </c>
      <c r="G769" s="147" t="s">
        <v>878</v>
      </c>
      <c r="H769" s="189">
        <f t="shared" si="12"/>
        <v>658.37</v>
      </c>
      <c r="I769" s="210" t="s">
        <v>2082</v>
      </c>
      <c r="J769" s="146">
        <v>0</v>
      </c>
      <c r="K769" s="147">
        <v>9</v>
      </c>
      <c r="L769" s="147">
        <v>1</v>
      </c>
      <c r="M769" s="147">
        <v>10</v>
      </c>
      <c r="N769" s="275">
        <v>2</v>
      </c>
      <c r="O769" s="193"/>
      <c r="P769" s="179">
        <v>45386</v>
      </c>
      <c r="Q769" s="173">
        <v>658.32</v>
      </c>
      <c r="R769" s="271">
        <v>0.05</v>
      </c>
      <c r="S769" s="167"/>
      <c r="T769" s="129" t="s">
        <v>36</v>
      </c>
      <c r="U769" s="147" t="s">
        <v>37</v>
      </c>
      <c r="V769" s="129"/>
      <c r="W769" s="147" t="s">
        <v>2208</v>
      </c>
      <c r="X769" s="205" t="s">
        <v>1009</v>
      </c>
      <c r="Y769" s="251"/>
      <c r="Z769" s="290"/>
      <c r="AA769" s="286"/>
    </row>
    <row r="770" spans="1:27" s="181" customFormat="1" hidden="1" x14ac:dyDescent="0.25">
      <c r="A770" s="131">
        <v>1</v>
      </c>
      <c r="B770" s="136">
        <v>1301020</v>
      </c>
      <c r="C770" s="128" t="s">
        <v>600</v>
      </c>
      <c r="D770" s="128" t="s">
        <v>879</v>
      </c>
      <c r="E770" s="147" t="s">
        <v>38</v>
      </c>
      <c r="F770" s="129" t="s">
        <v>684</v>
      </c>
      <c r="G770" s="147" t="s">
        <v>607</v>
      </c>
      <c r="H770" s="189">
        <f t="shared" si="12"/>
        <v>0</v>
      </c>
      <c r="I770" s="134" t="s">
        <v>2082</v>
      </c>
      <c r="J770" s="146">
        <v>0</v>
      </c>
      <c r="K770" s="147">
        <v>9</v>
      </c>
      <c r="L770" s="147">
        <v>1</v>
      </c>
      <c r="M770" s="147">
        <v>10</v>
      </c>
      <c r="N770" s="275"/>
      <c r="O770" s="194"/>
      <c r="P770" s="179"/>
      <c r="Q770" s="173"/>
      <c r="R770" s="260">
        <v>0</v>
      </c>
      <c r="S770" s="167"/>
      <c r="T770" s="129" t="s">
        <v>36</v>
      </c>
      <c r="U770" s="147" t="s">
        <v>37</v>
      </c>
      <c r="V770" s="129"/>
      <c r="W770" s="162" t="s">
        <v>54</v>
      </c>
      <c r="X770" s="205"/>
      <c r="Y770" s="251"/>
      <c r="Z770" s="290"/>
      <c r="AA770" s="286"/>
    </row>
    <row r="771" spans="1:27" s="181" customFormat="1" hidden="1" x14ac:dyDescent="0.25">
      <c r="A771" s="131">
        <v>1</v>
      </c>
      <c r="B771" s="136">
        <v>1301021</v>
      </c>
      <c r="C771" s="128" t="s">
        <v>600</v>
      </c>
      <c r="D771" s="128" t="s">
        <v>880</v>
      </c>
      <c r="E771" s="147" t="s">
        <v>38</v>
      </c>
      <c r="F771" s="129" t="s">
        <v>577</v>
      </c>
      <c r="G771" s="147" t="s">
        <v>34</v>
      </c>
      <c r="H771" s="189">
        <f t="shared" ref="H771:H834" si="13">Q771+R771</f>
        <v>0</v>
      </c>
      <c r="I771" s="213"/>
      <c r="J771" s="149"/>
      <c r="K771" s="147">
        <v>12</v>
      </c>
      <c r="L771" s="147">
        <v>1</v>
      </c>
      <c r="M771" s="147">
        <v>13</v>
      </c>
      <c r="N771" s="275">
        <v>33</v>
      </c>
      <c r="O771" s="194"/>
      <c r="P771" s="179"/>
      <c r="Q771" s="173"/>
      <c r="R771" s="260">
        <v>0</v>
      </c>
      <c r="S771" s="167"/>
      <c r="T771" s="129" t="s">
        <v>64</v>
      </c>
      <c r="U771" s="147" t="s">
        <v>37</v>
      </c>
      <c r="V771" s="129"/>
      <c r="W771" s="162" t="s">
        <v>54</v>
      </c>
      <c r="X771" s="205"/>
      <c r="Y771" s="251"/>
      <c r="Z771" s="155"/>
      <c r="AA771" s="230"/>
    </row>
    <row r="772" spans="1:27" s="181" customFormat="1" hidden="1" x14ac:dyDescent="0.25">
      <c r="A772" s="131">
        <v>1</v>
      </c>
      <c r="B772" s="136">
        <v>1301022</v>
      </c>
      <c r="C772" s="127" t="s">
        <v>600</v>
      </c>
      <c r="D772" s="128" t="s">
        <v>881</v>
      </c>
      <c r="E772" s="147" t="s">
        <v>38</v>
      </c>
      <c r="F772" s="129" t="s">
        <v>584</v>
      </c>
      <c r="G772" s="147" t="s">
        <v>607</v>
      </c>
      <c r="H772" s="189">
        <f t="shared" si="13"/>
        <v>30.51</v>
      </c>
      <c r="I772" s="134"/>
      <c r="J772" s="150"/>
      <c r="K772" s="147"/>
      <c r="L772" s="147"/>
      <c r="M772" s="147">
        <v>4</v>
      </c>
      <c r="N772" s="275" t="s">
        <v>608</v>
      </c>
      <c r="O772" s="194"/>
      <c r="P772" s="179"/>
      <c r="Q772" s="173">
        <v>7.84</v>
      </c>
      <c r="R772" s="271">
        <v>22.67</v>
      </c>
      <c r="S772" s="164"/>
      <c r="T772" s="129" t="s">
        <v>58</v>
      </c>
      <c r="U772" s="147" t="s">
        <v>37</v>
      </c>
      <c r="V772" s="129"/>
      <c r="W772" s="147" t="s">
        <v>2209</v>
      </c>
      <c r="X772" s="205"/>
      <c r="Y772" s="251"/>
      <c r="Z772" s="155"/>
      <c r="AA772" s="230"/>
    </row>
    <row r="773" spans="1:27" s="181" customFormat="1" hidden="1" x14ac:dyDescent="0.25">
      <c r="A773" s="131">
        <v>1</v>
      </c>
      <c r="B773" s="136">
        <v>1301023</v>
      </c>
      <c r="C773" s="128" t="s">
        <v>882</v>
      </c>
      <c r="D773" s="128" t="s">
        <v>883</v>
      </c>
      <c r="E773" s="147" t="s">
        <v>38</v>
      </c>
      <c r="F773" s="129" t="s">
        <v>584</v>
      </c>
      <c r="G773" s="147" t="s">
        <v>607</v>
      </c>
      <c r="H773" s="189">
        <f t="shared" si="13"/>
        <v>34.160000000000004</v>
      </c>
      <c r="I773" s="134"/>
      <c r="J773" s="150"/>
      <c r="K773" s="147"/>
      <c r="L773" s="147"/>
      <c r="M773" s="147">
        <v>4</v>
      </c>
      <c r="N773" s="275" t="s">
        <v>608</v>
      </c>
      <c r="O773" s="194"/>
      <c r="P773" s="179"/>
      <c r="Q773" s="173">
        <v>11.49</v>
      </c>
      <c r="R773" s="271">
        <v>22.67</v>
      </c>
      <c r="S773" s="164"/>
      <c r="T773" s="129" t="s">
        <v>58</v>
      </c>
      <c r="U773" s="147" t="s">
        <v>35</v>
      </c>
      <c r="V773" s="129"/>
      <c r="W773" s="147" t="s">
        <v>2209</v>
      </c>
      <c r="X773" s="205"/>
      <c r="Y773" s="251"/>
      <c r="Z773" s="155"/>
      <c r="AA773" s="230"/>
    </row>
    <row r="774" spans="1:27" s="181" customFormat="1" hidden="1" x14ac:dyDescent="0.25">
      <c r="A774" s="131">
        <v>1</v>
      </c>
      <c r="B774" s="136">
        <v>1301024</v>
      </c>
      <c r="C774" s="128" t="s">
        <v>567</v>
      </c>
      <c r="D774" s="128" t="s">
        <v>884</v>
      </c>
      <c r="E774" s="147" t="s">
        <v>38</v>
      </c>
      <c r="F774" s="129" t="s">
        <v>684</v>
      </c>
      <c r="G774" s="147" t="s">
        <v>738</v>
      </c>
      <c r="H774" s="189">
        <f t="shared" si="13"/>
        <v>0</v>
      </c>
      <c r="I774" s="134" t="s">
        <v>2082</v>
      </c>
      <c r="J774" s="146">
        <v>0</v>
      </c>
      <c r="K774" s="147">
        <v>9</v>
      </c>
      <c r="L774" s="147">
        <v>1</v>
      </c>
      <c r="M774" s="147">
        <v>10</v>
      </c>
      <c r="N774" s="275">
        <v>1</v>
      </c>
      <c r="O774" s="194"/>
      <c r="P774" s="179"/>
      <c r="Q774" s="173"/>
      <c r="R774" s="260">
        <v>0</v>
      </c>
      <c r="S774" s="167"/>
      <c r="T774" s="129" t="s">
        <v>64</v>
      </c>
      <c r="U774" s="147" t="s">
        <v>37</v>
      </c>
      <c r="V774" s="129"/>
      <c r="W774" s="162" t="s">
        <v>54</v>
      </c>
      <c r="X774" s="205"/>
      <c r="Y774" s="251"/>
      <c r="Z774" s="290"/>
      <c r="AA774" s="286"/>
    </row>
    <row r="775" spans="1:27" s="181" customFormat="1" hidden="1" x14ac:dyDescent="0.25">
      <c r="A775" s="131">
        <v>1</v>
      </c>
      <c r="B775" s="136">
        <v>1301025</v>
      </c>
      <c r="C775" s="128" t="s">
        <v>882</v>
      </c>
      <c r="D775" s="128" t="s">
        <v>886</v>
      </c>
      <c r="E775" s="147" t="s">
        <v>38</v>
      </c>
      <c r="F775" s="129" t="s">
        <v>684</v>
      </c>
      <c r="G775" s="147" t="s">
        <v>738</v>
      </c>
      <c r="H775" s="189">
        <f t="shared" si="13"/>
        <v>0</v>
      </c>
      <c r="I775" s="134" t="s">
        <v>2082</v>
      </c>
      <c r="J775" s="146">
        <v>0</v>
      </c>
      <c r="K775" s="147">
        <v>9</v>
      </c>
      <c r="L775" s="147">
        <v>1</v>
      </c>
      <c r="M775" s="147">
        <v>10</v>
      </c>
      <c r="N775" s="275">
        <v>1</v>
      </c>
      <c r="O775" s="194"/>
      <c r="P775" s="179"/>
      <c r="Q775" s="173"/>
      <c r="R775" s="260">
        <v>0</v>
      </c>
      <c r="S775" s="167"/>
      <c r="T775" s="129" t="s">
        <v>64</v>
      </c>
      <c r="U775" s="147" t="s">
        <v>37</v>
      </c>
      <c r="V775" s="129"/>
      <c r="W775" s="162" t="s">
        <v>54</v>
      </c>
      <c r="X775" s="205"/>
      <c r="Y775" s="251"/>
      <c r="Z775" s="290"/>
      <c r="AA775" s="286"/>
    </row>
    <row r="776" spans="1:27" s="181" customFormat="1" hidden="1" x14ac:dyDescent="0.25">
      <c r="A776" s="131">
        <v>1</v>
      </c>
      <c r="B776" s="136">
        <v>1301026</v>
      </c>
      <c r="C776" s="128" t="s">
        <v>600</v>
      </c>
      <c r="D776" s="128" t="s">
        <v>887</v>
      </c>
      <c r="E776" s="147" t="s">
        <v>38</v>
      </c>
      <c r="F776" s="129" t="s">
        <v>684</v>
      </c>
      <c r="G776" s="147" t="s">
        <v>607</v>
      </c>
      <c r="H776" s="189">
        <f t="shared" si="13"/>
        <v>0</v>
      </c>
      <c r="I776" s="134" t="s">
        <v>2082</v>
      </c>
      <c r="J776" s="146">
        <v>0</v>
      </c>
      <c r="K776" s="147">
        <v>9</v>
      </c>
      <c r="L776" s="147">
        <v>1</v>
      </c>
      <c r="M776" s="147">
        <v>10</v>
      </c>
      <c r="N776" s="275"/>
      <c r="O776" s="194"/>
      <c r="P776" s="179"/>
      <c r="Q776" s="173"/>
      <c r="R776" s="260">
        <v>0</v>
      </c>
      <c r="S776" s="167"/>
      <c r="T776" s="129" t="s">
        <v>64</v>
      </c>
      <c r="U776" s="147" t="s">
        <v>37</v>
      </c>
      <c r="V776" s="129"/>
      <c r="W776" s="162" t="s">
        <v>54</v>
      </c>
      <c r="X776" s="205"/>
      <c r="Y776" s="251"/>
      <c r="Z776" s="290"/>
      <c r="AA776" s="286"/>
    </row>
    <row r="777" spans="1:27" s="181" customFormat="1" hidden="1" x14ac:dyDescent="0.25">
      <c r="A777" s="131">
        <v>1</v>
      </c>
      <c r="B777" s="136">
        <v>1301027</v>
      </c>
      <c r="C777" s="137" t="s">
        <v>600</v>
      </c>
      <c r="D777" s="143" t="s">
        <v>890</v>
      </c>
      <c r="E777" s="147" t="s">
        <v>38</v>
      </c>
      <c r="F777" s="129" t="s">
        <v>628</v>
      </c>
      <c r="G777" s="147" t="s">
        <v>607</v>
      </c>
      <c r="H777" s="189">
        <f t="shared" si="13"/>
        <v>526</v>
      </c>
      <c r="I777" s="134"/>
      <c r="J777" s="150"/>
      <c r="K777" s="147"/>
      <c r="L777" s="147"/>
      <c r="M777" s="147">
        <v>4</v>
      </c>
      <c r="N777" s="275" t="s">
        <v>891</v>
      </c>
      <c r="O777" s="194"/>
      <c r="P777" s="179"/>
      <c r="Q777" s="173">
        <v>6</v>
      </c>
      <c r="R777" s="271">
        <v>520</v>
      </c>
      <c r="S777" s="164"/>
      <c r="T777" s="129" t="s">
        <v>277</v>
      </c>
      <c r="U777" s="147" t="s">
        <v>35</v>
      </c>
      <c r="V777" s="129"/>
      <c r="W777" s="147" t="s">
        <v>2209</v>
      </c>
      <c r="X777" s="205"/>
      <c r="Y777" s="251"/>
      <c r="Z777" s="155"/>
      <c r="AA777" s="230"/>
    </row>
    <row r="778" spans="1:27" s="181" customFormat="1" hidden="1" x14ac:dyDescent="0.25">
      <c r="A778" s="131">
        <v>1</v>
      </c>
      <c r="B778" s="136">
        <v>1301028</v>
      </c>
      <c r="C778" s="137" t="s">
        <v>600</v>
      </c>
      <c r="D778" s="143" t="s">
        <v>893</v>
      </c>
      <c r="E778" s="147" t="s">
        <v>38</v>
      </c>
      <c r="F778" s="129" t="s">
        <v>628</v>
      </c>
      <c r="G778" s="147" t="s">
        <v>607</v>
      </c>
      <c r="H778" s="189">
        <f t="shared" si="13"/>
        <v>526</v>
      </c>
      <c r="I778" s="134"/>
      <c r="J778" s="150"/>
      <c r="K778" s="147"/>
      <c r="L778" s="147"/>
      <c r="M778" s="147">
        <v>4</v>
      </c>
      <c r="N778" s="275" t="s">
        <v>891</v>
      </c>
      <c r="O778" s="194"/>
      <c r="P778" s="179"/>
      <c r="Q778" s="173">
        <v>6</v>
      </c>
      <c r="R778" s="271">
        <v>520</v>
      </c>
      <c r="S778" s="164"/>
      <c r="T778" s="129" t="s">
        <v>277</v>
      </c>
      <c r="U778" s="147" t="s">
        <v>35</v>
      </c>
      <c r="V778" s="129"/>
      <c r="W778" s="147" t="s">
        <v>2209</v>
      </c>
      <c r="X778" s="205"/>
      <c r="Y778" s="251"/>
      <c r="Z778" s="155"/>
      <c r="AA778" s="230"/>
    </row>
    <row r="779" spans="1:27" ht="24" hidden="1" x14ac:dyDescent="0.25">
      <c r="A779" s="131">
        <v>1</v>
      </c>
      <c r="B779" s="136">
        <v>1301029</v>
      </c>
      <c r="C779" s="137" t="s">
        <v>882</v>
      </c>
      <c r="D779" s="143" t="s">
        <v>894</v>
      </c>
      <c r="E779" s="147" t="s">
        <v>38</v>
      </c>
      <c r="F779" s="129" t="s">
        <v>628</v>
      </c>
      <c r="G779" s="147" t="s">
        <v>607</v>
      </c>
      <c r="H779" s="189">
        <f t="shared" si="13"/>
        <v>555</v>
      </c>
      <c r="I779" s="134"/>
      <c r="J779" s="150"/>
      <c r="K779" s="147"/>
      <c r="L779" s="147"/>
      <c r="M779" s="147">
        <v>4</v>
      </c>
      <c r="N779" s="275" t="s">
        <v>630</v>
      </c>
      <c r="O779" s="194"/>
      <c r="P779" s="179"/>
      <c r="Q779" s="173">
        <v>35</v>
      </c>
      <c r="R779" s="271">
        <v>520</v>
      </c>
      <c r="S779" s="164"/>
      <c r="T779" s="129" t="s">
        <v>277</v>
      </c>
      <c r="U779" s="147" t="s">
        <v>35</v>
      </c>
      <c r="V779" s="129"/>
      <c r="W779" s="147" t="s">
        <v>2209</v>
      </c>
      <c r="X779" s="205"/>
      <c r="Y779" s="251"/>
      <c r="Z779" s="155"/>
      <c r="AA779" s="230"/>
    </row>
    <row r="780" spans="1:27" ht="24" hidden="1" x14ac:dyDescent="0.25">
      <c r="A780" s="131">
        <v>1</v>
      </c>
      <c r="B780" s="136">
        <v>1301030</v>
      </c>
      <c r="C780" s="137" t="s">
        <v>882</v>
      </c>
      <c r="D780" s="143" t="s">
        <v>895</v>
      </c>
      <c r="E780" s="147" t="s">
        <v>38</v>
      </c>
      <c r="F780" s="129" t="s">
        <v>628</v>
      </c>
      <c r="G780" s="147" t="s">
        <v>607</v>
      </c>
      <c r="H780" s="189">
        <f t="shared" si="13"/>
        <v>555</v>
      </c>
      <c r="I780" s="134"/>
      <c r="J780" s="150"/>
      <c r="K780" s="147"/>
      <c r="L780" s="147"/>
      <c r="M780" s="147">
        <v>4</v>
      </c>
      <c r="N780" s="275" t="s">
        <v>630</v>
      </c>
      <c r="O780" s="194"/>
      <c r="P780" s="179"/>
      <c r="Q780" s="173">
        <v>35</v>
      </c>
      <c r="R780" s="271">
        <v>520</v>
      </c>
      <c r="S780" s="164"/>
      <c r="T780" s="129" t="s">
        <v>277</v>
      </c>
      <c r="U780" s="147" t="s">
        <v>35</v>
      </c>
      <c r="V780" s="129"/>
      <c r="W780" s="147" t="s">
        <v>2209</v>
      </c>
      <c r="X780" s="205"/>
      <c r="Y780" s="251"/>
      <c r="Z780" s="155"/>
      <c r="AA780" s="230"/>
    </row>
    <row r="781" spans="1:27" s="181" customFormat="1" hidden="1" x14ac:dyDescent="0.25">
      <c r="A781" s="131">
        <v>1</v>
      </c>
      <c r="B781" s="136">
        <v>1301100</v>
      </c>
      <c r="C781" s="128" t="s">
        <v>600</v>
      </c>
      <c r="D781" s="128" t="s">
        <v>896</v>
      </c>
      <c r="E781" s="147" t="s">
        <v>38</v>
      </c>
      <c r="F781" s="129" t="s">
        <v>622</v>
      </c>
      <c r="G781" s="147" t="s">
        <v>878</v>
      </c>
      <c r="H781" s="189">
        <f t="shared" si="13"/>
        <v>0</v>
      </c>
      <c r="I781" s="213"/>
      <c r="J781" s="149"/>
      <c r="K781" s="147">
        <v>11</v>
      </c>
      <c r="L781" s="147">
        <v>1</v>
      </c>
      <c r="M781" s="147">
        <v>12</v>
      </c>
      <c r="N781" s="275"/>
      <c r="O781" s="194"/>
      <c r="P781" s="179"/>
      <c r="Q781" s="173"/>
      <c r="R781" s="260">
        <v>0</v>
      </c>
      <c r="S781" s="167"/>
      <c r="T781" s="129"/>
      <c r="U781" s="147" t="s">
        <v>37</v>
      </c>
      <c r="V781" s="129"/>
      <c r="W781" s="162" t="s">
        <v>54</v>
      </c>
      <c r="X781" s="205"/>
      <c r="Y781" s="251"/>
      <c r="Z781" s="155"/>
      <c r="AA781" s="230"/>
    </row>
    <row r="782" spans="1:27" hidden="1" x14ac:dyDescent="0.25">
      <c r="A782" s="131">
        <v>1</v>
      </c>
      <c r="B782" s="136">
        <v>1301101</v>
      </c>
      <c r="C782" s="128" t="s">
        <v>600</v>
      </c>
      <c r="D782" s="128" t="s">
        <v>897</v>
      </c>
      <c r="E782" s="147" t="s">
        <v>38</v>
      </c>
      <c r="F782" s="129" t="s">
        <v>622</v>
      </c>
      <c r="G782" s="147" t="s">
        <v>878</v>
      </c>
      <c r="H782" s="189">
        <f t="shared" si="13"/>
        <v>0</v>
      </c>
      <c r="I782" s="213"/>
      <c r="J782" s="149"/>
      <c r="K782" s="147">
        <v>11</v>
      </c>
      <c r="L782" s="147">
        <v>1</v>
      </c>
      <c r="M782" s="147">
        <v>12</v>
      </c>
      <c r="N782" s="275"/>
      <c r="O782" s="194"/>
      <c r="P782" s="179"/>
      <c r="Q782" s="173"/>
      <c r="R782" s="260">
        <v>0</v>
      </c>
      <c r="S782" s="167"/>
      <c r="T782" s="129"/>
      <c r="U782" s="147" t="s">
        <v>37</v>
      </c>
      <c r="V782" s="129"/>
      <c r="W782" s="162" t="s">
        <v>54</v>
      </c>
      <c r="X782" s="205"/>
      <c r="Y782" s="251"/>
      <c r="Z782" s="155"/>
      <c r="AA782" s="230"/>
    </row>
    <row r="783" spans="1:27" s="181" customFormat="1" hidden="1" x14ac:dyDescent="0.25">
      <c r="A783" s="131">
        <v>1</v>
      </c>
      <c r="B783" s="136">
        <v>1301102</v>
      </c>
      <c r="C783" s="128" t="s">
        <v>600</v>
      </c>
      <c r="D783" s="128" t="s">
        <v>898</v>
      </c>
      <c r="E783" s="147" t="s">
        <v>38</v>
      </c>
      <c r="F783" s="129" t="s">
        <v>189</v>
      </c>
      <c r="G783" s="147" t="s">
        <v>607</v>
      </c>
      <c r="H783" s="189">
        <f t="shared" si="13"/>
        <v>0</v>
      </c>
      <c r="I783" s="213"/>
      <c r="J783" s="149"/>
      <c r="K783" s="147">
        <v>12</v>
      </c>
      <c r="L783" s="147">
        <v>1</v>
      </c>
      <c r="M783" s="147">
        <v>13</v>
      </c>
      <c r="N783" s="275"/>
      <c r="O783" s="194"/>
      <c r="P783" s="179"/>
      <c r="Q783" s="173"/>
      <c r="R783" s="260">
        <v>0</v>
      </c>
      <c r="S783" s="164"/>
      <c r="T783" s="129" t="s">
        <v>189</v>
      </c>
      <c r="U783" s="147" t="s">
        <v>35</v>
      </c>
      <c r="V783" s="129"/>
      <c r="W783" s="176" t="s">
        <v>2519</v>
      </c>
      <c r="X783" s="205"/>
      <c r="Y783" s="251"/>
      <c r="Z783" s="155"/>
      <c r="AA783" s="230"/>
    </row>
    <row r="784" spans="1:27" s="181" customFormat="1" hidden="1" x14ac:dyDescent="0.25">
      <c r="A784" s="131">
        <v>1</v>
      </c>
      <c r="B784" s="136">
        <v>1301103</v>
      </c>
      <c r="C784" s="128" t="s">
        <v>600</v>
      </c>
      <c r="D784" s="128" t="s">
        <v>899</v>
      </c>
      <c r="E784" s="147" t="s">
        <v>38</v>
      </c>
      <c r="F784" s="129" t="s">
        <v>614</v>
      </c>
      <c r="G784" s="147" t="s">
        <v>607</v>
      </c>
      <c r="H784" s="189">
        <f t="shared" si="13"/>
        <v>0</v>
      </c>
      <c r="I784" s="134"/>
      <c r="J784" s="150"/>
      <c r="K784" s="147"/>
      <c r="L784" s="147"/>
      <c r="M784" s="147">
        <v>4</v>
      </c>
      <c r="N784" s="275"/>
      <c r="O784" s="194"/>
      <c r="P784" s="179"/>
      <c r="Q784" s="173"/>
      <c r="R784" s="271">
        <v>0</v>
      </c>
      <c r="S784" s="167" t="s">
        <v>35</v>
      </c>
      <c r="T784" s="129" t="s">
        <v>272</v>
      </c>
      <c r="U784" s="147" t="s">
        <v>35</v>
      </c>
      <c r="V784" s="129"/>
      <c r="W784" s="147" t="s">
        <v>2209</v>
      </c>
      <c r="X784" s="205"/>
      <c r="Y784" s="251"/>
      <c r="Z784" s="155"/>
      <c r="AA784" s="230"/>
    </row>
    <row r="785" spans="1:27" hidden="1" x14ac:dyDescent="0.25">
      <c r="A785" s="131">
        <v>1</v>
      </c>
      <c r="B785" s="136">
        <v>1301104</v>
      </c>
      <c r="C785" s="128" t="s">
        <v>600</v>
      </c>
      <c r="D785" s="128" t="s">
        <v>900</v>
      </c>
      <c r="E785" s="147" t="s">
        <v>38</v>
      </c>
      <c r="F785" s="129" t="s">
        <v>617</v>
      </c>
      <c r="G785" s="147" t="s">
        <v>618</v>
      </c>
      <c r="H785" s="189">
        <f t="shared" si="13"/>
        <v>13.680317040951124</v>
      </c>
      <c r="I785" s="134"/>
      <c r="J785" s="150"/>
      <c r="K785" s="147"/>
      <c r="L785" s="147"/>
      <c r="M785" s="147">
        <v>2</v>
      </c>
      <c r="N785" s="275">
        <v>3.7850000000000001</v>
      </c>
      <c r="O785" s="194"/>
      <c r="P785" s="179"/>
      <c r="Q785" s="173">
        <v>13.680317040951124</v>
      </c>
      <c r="R785" s="271">
        <v>0</v>
      </c>
      <c r="S785" s="167"/>
      <c r="T785" s="129" t="s">
        <v>468</v>
      </c>
      <c r="U785" s="147" t="s">
        <v>37</v>
      </c>
      <c r="V785" s="129"/>
      <c r="W785" s="147" t="s">
        <v>2209</v>
      </c>
      <c r="X785" s="205"/>
      <c r="Y785" s="251"/>
      <c r="Z785" s="155"/>
      <c r="AA785" s="230"/>
    </row>
    <row r="786" spans="1:27" hidden="1" x14ac:dyDescent="0.25">
      <c r="A786" s="131">
        <v>1</v>
      </c>
      <c r="B786" s="136">
        <v>1301105</v>
      </c>
      <c r="C786" s="128" t="s">
        <v>600</v>
      </c>
      <c r="D786" s="128" t="s">
        <v>901</v>
      </c>
      <c r="E786" s="147" t="s">
        <v>38</v>
      </c>
      <c r="F786" s="129" t="s">
        <v>617</v>
      </c>
      <c r="G786" s="147" t="s">
        <v>618</v>
      </c>
      <c r="H786" s="189">
        <f t="shared" si="13"/>
        <v>12.697490092470279</v>
      </c>
      <c r="I786" s="134"/>
      <c r="J786" s="150"/>
      <c r="K786" s="147"/>
      <c r="L786" s="147"/>
      <c r="M786" s="147">
        <v>2</v>
      </c>
      <c r="N786" s="275">
        <v>3.7850000000000001</v>
      </c>
      <c r="O786" s="194"/>
      <c r="P786" s="179"/>
      <c r="Q786" s="173">
        <v>12.697490092470279</v>
      </c>
      <c r="R786" s="271">
        <v>0</v>
      </c>
      <c r="S786" s="167"/>
      <c r="T786" s="129" t="s">
        <v>468</v>
      </c>
      <c r="U786" s="147" t="s">
        <v>37</v>
      </c>
      <c r="V786" s="129"/>
      <c r="W786" s="147" t="s">
        <v>2209</v>
      </c>
      <c r="X786" s="205"/>
      <c r="Y786" s="251"/>
      <c r="Z786" s="155"/>
      <c r="AA786" s="230"/>
    </row>
    <row r="787" spans="1:27" s="181" customFormat="1" hidden="1" x14ac:dyDescent="0.25">
      <c r="A787" s="131">
        <v>1</v>
      </c>
      <c r="B787" s="136">
        <v>1301106</v>
      </c>
      <c r="C787" s="128" t="s">
        <v>600</v>
      </c>
      <c r="D787" s="128" t="s">
        <v>902</v>
      </c>
      <c r="E787" s="147" t="s">
        <v>38</v>
      </c>
      <c r="F787" s="129" t="s">
        <v>289</v>
      </c>
      <c r="G787" s="147"/>
      <c r="H787" s="189">
        <f t="shared" si="13"/>
        <v>0</v>
      </c>
      <c r="I787" s="134"/>
      <c r="J787" s="150"/>
      <c r="K787" s="147">
        <v>11</v>
      </c>
      <c r="L787" s="147">
        <v>1</v>
      </c>
      <c r="M787" s="147">
        <v>12</v>
      </c>
      <c r="N787" s="275"/>
      <c r="O787" s="194"/>
      <c r="P787" s="179"/>
      <c r="Q787" s="173"/>
      <c r="R787" s="271"/>
      <c r="S787" s="167"/>
      <c r="T787" s="129" t="s">
        <v>289</v>
      </c>
      <c r="U787" s="147" t="s">
        <v>37</v>
      </c>
      <c r="V787" s="129"/>
      <c r="W787" s="162" t="s">
        <v>2519</v>
      </c>
      <c r="X787" s="205"/>
      <c r="Y787" s="251"/>
      <c r="Z787" s="155"/>
      <c r="AA787" s="230"/>
    </row>
    <row r="788" spans="1:27" s="181" customFormat="1" hidden="1" x14ac:dyDescent="0.25">
      <c r="A788" s="131">
        <v>1</v>
      </c>
      <c r="B788" s="136">
        <v>1301107</v>
      </c>
      <c r="C788" s="128" t="s">
        <v>600</v>
      </c>
      <c r="D788" s="128" t="s">
        <v>903</v>
      </c>
      <c r="E788" s="147" t="s">
        <v>38</v>
      </c>
      <c r="F788" s="129" t="s">
        <v>742</v>
      </c>
      <c r="G788" s="147"/>
      <c r="H788" s="189">
        <f t="shared" si="13"/>
        <v>0</v>
      </c>
      <c r="I788" s="134"/>
      <c r="J788" s="150"/>
      <c r="K788" s="147">
        <v>11</v>
      </c>
      <c r="L788" s="147">
        <v>1</v>
      </c>
      <c r="M788" s="147">
        <v>12</v>
      </c>
      <c r="N788" s="275"/>
      <c r="O788" s="194"/>
      <c r="P788" s="179"/>
      <c r="Q788" s="173"/>
      <c r="R788" s="271"/>
      <c r="S788" s="167"/>
      <c r="T788" s="129"/>
      <c r="U788" s="147" t="s">
        <v>37</v>
      </c>
      <c r="V788" s="129"/>
      <c r="W788" s="147" t="s">
        <v>2209</v>
      </c>
      <c r="X788" s="205"/>
      <c r="Y788" s="251"/>
      <c r="Z788" s="155"/>
      <c r="AA788" s="230"/>
    </row>
    <row r="789" spans="1:27" hidden="1" x14ac:dyDescent="0.25">
      <c r="A789" s="131">
        <v>1</v>
      </c>
      <c r="B789" s="136">
        <v>1301108</v>
      </c>
      <c r="C789" s="128" t="s">
        <v>600</v>
      </c>
      <c r="D789" s="128" t="s">
        <v>1560</v>
      </c>
      <c r="E789" s="147" t="s">
        <v>38</v>
      </c>
      <c r="F789" s="129" t="s">
        <v>577</v>
      </c>
      <c r="G789" s="147" t="s">
        <v>623</v>
      </c>
      <c r="H789" s="189">
        <f t="shared" si="13"/>
        <v>25.2</v>
      </c>
      <c r="I789" s="134"/>
      <c r="J789" s="150"/>
      <c r="K789" s="147"/>
      <c r="L789" s="147"/>
      <c r="M789" s="147">
        <v>14</v>
      </c>
      <c r="N789" s="275">
        <v>5</v>
      </c>
      <c r="O789" s="194"/>
      <c r="P789" s="179"/>
      <c r="Q789" s="173">
        <v>25.2</v>
      </c>
      <c r="R789" s="271">
        <v>0</v>
      </c>
      <c r="S789" s="167"/>
      <c r="T789" s="129" t="s">
        <v>284</v>
      </c>
      <c r="U789" s="147" t="s">
        <v>37</v>
      </c>
      <c r="V789" s="129"/>
      <c r="W789" s="176" t="s">
        <v>54</v>
      </c>
      <c r="X789" s="205"/>
      <c r="Y789" s="251"/>
      <c r="Z789" s="155"/>
      <c r="AA789" s="230"/>
    </row>
    <row r="790" spans="1:27" x14ac:dyDescent="0.25">
      <c r="A790" s="131">
        <v>1</v>
      </c>
      <c r="B790" s="136">
        <v>1301109</v>
      </c>
      <c r="C790" s="128" t="s">
        <v>600</v>
      </c>
      <c r="D790" s="128" t="s">
        <v>1613</v>
      </c>
      <c r="E790" s="147" t="s">
        <v>38</v>
      </c>
      <c r="F790" s="129" t="s">
        <v>1612</v>
      </c>
      <c r="G790" s="147" t="s">
        <v>1731</v>
      </c>
      <c r="H790" s="189">
        <f t="shared" si="13"/>
        <v>99.983200000000011</v>
      </c>
      <c r="I790" s="134" t="s">
        <v>2082</v>
      </c>
      <c r="J790" s="146">
        <v>0</v>
      </c>
      <c r="K790" s="147">
        <v>1</v>
      </c>
      <c r="L790" s="147">
        <v>1</v>
      </c>
      <c r="M790" s="147">
        <v>2</v>
      </c>
      <c r="N790" s="275">
        <v>3</v>
      </c>
      <c r="O790" s="194"/>
      <c r="P790" s="179">
        <v>46148</v>
      </c>
      <c r="Q790" s="173">
        <v>56.02</v>
      </c>
      <c r="R790" s="271">
        <f>8.9632+35</f>
        <v>43.963200000000001</v>
      </c>
      <c r="S790" s="167"/>
      <c r="T790" s="129" t="s">
        <v>36</v>
      </c>
      <c r="U790" s="147" t="s">
        <v>37</v>
      </c>
      <c r="V790" s="129"/>
      <c r="W790" s="147" t="s">
        <v>2208</v>
      </c>
      <c r="X790" s="205"/>
      <c r="Y790" s="251"/>
      <c r="Z790" s="155"/>
      <c r="AA790" s="230"/>
    </row>
    <row r="791" spans="1:27" s="181" customFormat="1" ht="24" x14ac:dyDescent="0.25">
      <c r="A791" s="131"/>
      <c r="B791" s="129">
        <v>1301110</v>
      </c>
      <c r="C791" s="129" t="s">
        <v>2019</v>
      </c>
      <c r="D791" s="136" t="s">
        <v>1700</v>
      </c>
      <c r="E791" s="147" t="s">
        <v>38</v>
      </c>
      <c r="F791" s="129" t="s">
        <v>1701</v>
      </c>
      <c r="G791" s="147" t="s">
        <v>1702</v>
      </c>
      <c r="H791" s="189">
        <f t="shared" si="13"/>
        <v>11.66</v>
      </c>
      <c r="I791" s="210" t="s">
        <v>2085</v>
      </c>
      <c r="J791" s="146">
        <v>30</v>
      </c>
      <c r="K791" s="147">
        <v>2</v>
      </c>
      <c r="L791" s="147">
        <v>1</v>
      </c>
      <c r="M791" s="147">
        <v>3</v>
      </c>
      <c r="N791" s="275">
        <v>1</v>
      </c>
      <c r="O791" s="185">
        <v>14.55</v>
      </c>
      <c r="P791" s="179">
        <v>0.1</v>
      </c>
      <c r="Q791" s="175">
        <v>11.61</v>
      </c>
      <c r="R791" s="271">
        <v>0.05</v>
      </c>
      <c r="S791" s="164" t="s">
        <v>35</v>
      </c>
      <c r="T791" s="129" t="s">
        <v>1703</v>
      </c>
      <c r="U791" s="147" t="s">
        <v>35</v>
      </c>
      <c r="V791" s="129"/>
      <c r="W791" s="147" t="s">
        <v>2208</v>
      </c>
      <c r="X791" s="205" t="s">
        <v>1009</v>
      </c>
      <c r="Y791" s="251"/>
      <c r="Z791" s="290"/>
      <c r="AA791" s="286"/>
    </row>
    <row r="792" spans="1:27" s="181" customFormat="1" x14ac:dyDescent="0.25">
      <c r="A792" s="131">
        <v>1</v>
      </c>
      <c r="B792" s="136">
        <v>1302001</v>
      </c>
      <c r="C792" s="127" t="s">
        <v>882</v>
      </c>
      <c r="D792" s="128" t="s">
        <v>886</v>
      </c>
      <c r="E792" s="147" t="s">
        <v>38</v>
      </c>
      <c r="F792" s="129" t="s">
        <v>684</v>
      </c>
      <c r="G792" s="147" t="s">
        <v>1968</v>
      </c>
      <c r="H792" s="189">
        <f t="shared" si="13"/>
        <v>97.399999999999991</v>
      </c>
      <c r="I792" s="210" t="s">
        <v>2082</v>
      </c>
      <c r="J792" s="146">
        <v>0</v>
      </c>
      <c r="K792" s="147">
        <v>9</v>
      </c>
      <c r="L792" s="147">
        <v>1</v>
      </c>
      <c r="M792" s="147">
        <v>10</v>
      </c>
      <c r="N792" s="275">
        <v>1</v>
      </c>
      <c r="O792" s="193"/>
      <c r="P792" s="179">
        <v>45503</v>
      </c>
      <c r="Q792" s="173">
        <v>97.35</v>
      </c>
      <c r="R792" s="271">
        <v>0.05</v>
      </c>
      <c r="S792" s="167"/>
      <c r="T792" s="129" t="s">
        <v>36</v>
      </c>
      <c r="U792" s="147" t="s">
        <v>37</v>
      </c>
      <c r="V792" s="129"/>
      <c r="W792" s="147" t="s">
        <v>2208</v>
      </c>
      <c r="X792" s="205" t="s">
        <v>1919</v>
      </c>
      <c r="Y792" s="251"/>
      <c r="Z792" s="290"/>
      <c r="AA792" s="286"/>
    </row>
    <row r="793" spans="1:27" s="181" customFormat="1" hidden="1" x14ac:dyDescent="0.25">
      <c r="A793" s="131">
        <v>1</v>
      </c>
      <c r="B793" s="136">
        <v>1302004</v>
      </c>
      <c r="C793" s="127" t="s">
        <v>882</v>
      </c>
      <c r="D793" s="128" t="s">
        <v>906</v>
      </c>
      <c r="E793" s="147" t="s">
        <v>38</v>
      </c>
      <c r="F793" s="129" t="s">
        <v>55</v>
      </c>
      <c r="G793" s="147" t="s">
        <v>34</v>
      </c>
      <c r="H793" s="189">
        <f t="shared" si="13"/>
        <v>0</v>
      </c>
      <c r="I793" s="213"/>
      <c r="J793" s="148">
        <v>30</v>
      </c>
      <c r="K793" s="147">
        <v>11</v>
      </c>
      <c r="L793" s="147">
        <v>1</v>
      </c>
      <c r="M793" s="147">
        <v>12</v>
      </c>
      <c r="N793" s="275"/>
      <c r="O793" s="194"/>
      <c r="P793" s="179"/>
      <c r="Q793" s="173"/>
      <c r="R793" s="260">
        <v>0</v>
      </c>
      <c r="S793" s="167"/>
      <c r="T793" s="129" t="s">
        <v>55</v>
      </c>
      <c r="U793" s="147" t="s">
        <v>37</v>
      </c>
      <c r="V793" s="129"/>
      <c r="W793" s="176" t="s">
        <v>2519</v>
      </c>
      <c r="X793" s="205"/>
      <c r="Y793" s="251"/>
      <c r="Z793" s="155"/>
      <c r="AA793" s="230"/>
    </row>
    <row r="794" spans="1:27" hidden="1" x14ac:dyDescent="0.25">
      <c r="A794" s="131">
        <v>1</v>
      </c>
      <c r="B794" s="136">
        <v>1302006</v>
      </c>
      <c r="C794" s="127" t="s">
        <v>882</v>
      </c>
      <c r="D794" s="128" t="s">
        <v>907</v>
      </c>
      <c r="E794" s="147" t="s">
        <v>38</v>
      </c>
      <c r="F794" s="138" t="s">
        <v>57</v>
      </c>
      <c r="G794" s="147" t="s">
        <v>34</v>
      </c>
      <c r="H794" s="189">
        <f t="shared" si="13"/>
        <v>0</v>
      </c>
      <c r="I794" s="213"/>
      <c r="J794" s="149"/>
      <c r="K794" s="147">
        <v>12</v>
      </c>
      <c r="L794" s="147">
        <v>1</v>
      </c>
      <c r="M794" s="147">
        <v>13</v>
      </c>
      <c r="N794" s="275"/>
      <c r="O794" s="194"/>
      <c r="P794" s="179"/>
      <c r="Q794" s="173"/>
      <c r="R794" s="260">
        <v>0</v>
      </c>
      <c r="S794" s="167"/>
      <c r="T794" s="129" t="s">
        <v>55</v>
      </c>
      <c r="U794" s="147" t="s">
        <v>37</v>
      </c>
      <c r="V794" s="129"/>
      <c r="W794" s="162" t="s">
        <v>54</v>
      </c>
      <c r="X794" s="205"/>
      <c r="Y794" s="251"/>
      <c r="Z794" s="155"/>
      <c r="AA794" s="230"/>
    </row>
    <row r="795" spans="1:27" hidden="1" x14ac:dyDescent="0.25">
      <c r="A795" s="131">
        <v>1</v>
      </c>
      <c r="B795" s="136">
        <v>1302007</v>
      </c>
      <c r="C795" s="127" t="s">
        <v>882</v>
      </c>
      <c r="D795" s="128" t="s">
        <v>908</v>
      </c>
      <c r="E795" s="147" t="s">
        <v>38</v>
      </c>
      <c r="F795" s="138" t="s">
        <v>57</v>
      </c>
      <c r="G795" s="147" t="s">
        <v>34</v>
      </c>
      <c r="H795" s="189">
        <f t="shared" si="13"/>
        <v>0</v>
      </c>
      <c r="I795" s="213"/>
      <c r="J795" s="149"/>
      <c r="K795" s="147">
        <v>12</v>
      </c>
      <c r="L795" s="147">
        <v>1</v>
      </c>
      <c r="M795" s="147">
        <v>13</v>
      </c>
      <c r="N795" s="275"/>
      <c r="O795" s="194"/>
      <c r="P795" s="179"/>
      <c r="Q795" s="173"/>
      <c r="R795" s="260">
        <v>0</v>
      </c>
      <c r="S795" s="167"/>
      <c r="T795" s="129" t="s">
        <v>55</v>
      </c>
      <c r="U795" s="147" t="s">
        <v>37</v>
      </c>
      <c r="V795" s="129"/>
      <c r="W795" s="162" t="s">
        <v>54</v>
      </c>
      <c r="X795" s="205"/>
      <c r="Y795" s="251"/>
      <c r="Z795" s="155"/>
      <c r="AA795" s="230"/>
    </row>
    <row r="796" spans="1:27" s="181" customFormat="1" hidden="1" x14ac:dyDescent="0.25">
      <c r="A796" s="131">
        <v>1</v>
      </c>
      <c r="B796" s="136">
        <v>1302008</v>
      </c>
      <c r="C796" s="128" t="s">
        <v>882</v>
      </c>
      <c r="D796" s="128" t="s">
        <v>909</v>
      </c>
      <c r="E796" s="147" t="s">
        <v>38</v>
      </c>
      <c r="F796" s="138" t="s">
        <v>57</v>
      </c>
      <c r="G796" s="147" t="s">
        <v>34</v>
      </c>
      <c r="H796" s="189">
        <f t="shared" si="13"/>
        <v>0</v>
      </c>
      <c r="I796" s="213"/>
      <c r="J796" s="149"/>
      <c r="K796" s="147">
        <v>12</v>
      </c>
      <c r="L796" s="147">
        <v>1</v>
      </c>
      <c r="M796" s="147">
        <v>13</v>
      </c>
      <c r="N796" s="275"/>
      <c r="O796" s="194"/>
      <c r="P796" s="179"/>
      <c r="Q796" s="173"/>
      <c r="R796" s="260">
        <v>0</v>
      </c>
      <c r="S796" s="167"/>
      <c r="T796" s="138" t="s">
        <v>57</v>
      </c>
      <c r="U796" s="147" t="s">
        <v>37</v>
      </c>
      <c r="V796" s="129"/>
      <c r="W796" s="162" t="s">
        <v>54</v>
      </c>
      <c r="X796" s="205"/>
      <c r="Y796" s="251"/>
      <c r="Z796" s="155"/>
      <c r="AA796" s="230"/>
    </row>
    <row r="797" spans="1:27" s="181" customFormat="1" hidden="1" x14ac:dyDescent="0.25">
      <c r="A797" s="131">
        <v>1</v>
      </c>
      <c r="B797" s="136">
        <v>1302009</v>
      </c>
      <c r="C797" s="127" t="s">
        <v>882</v>
      </c>
      <c r="D797" s="128" t="s">
        <v>910</v>
      </c>
      <c r="E797" s="147" t="s">
        <v>38</v>
      </c>
      <c r="F797" s="138" t="s">
        <v>57</v>
      </c>
      <c r="G797" s="147" t="s">
        <v>34</v>
      </c>
      <c r="H797" s="189">
        <f t="shared" si="13"/>
        <v>0</v>
      </c>
      <c r="I797" s="213"/>
      <c r="J797" s="149"/>
      <c r="K797" s="147">
        <v>12</v>
      </c>
      <c r="L797" s="147">
        <v>1</v>
      </c>
      <c r="M797" s="147">
        <v>13</v>
      </c>
      <c r="N797" s="275"/>
      <c r="O797" s="194"/>
      <c r="P797" s="179"/>
      <c r="Q797" s="173"/>
      <c r="R797" s="260">
        <v>0</v>
      </c>
      <c r="S797" s="167"/>
      <c r="T797" s="129" t="s">
        <v>55</v>
      </c>
      <c r="U797" s="147" t="s">
        <v>37</v>
      </c>
      <c r="V797" s="129"/>
      <c r="W797" s="162" t="s">
        <v>54</v>
      </c>
      <c r="X797" s="205"/>
      <c r="Y797" s="251"/>
      <c r="Z797" s="155"/>
      <c r="AA797" s="230"/>
    </row>
    <row r="798" spans="1:27" s="181" customFormat="1" hidden="1" x14ac:dyDescent="0.25">
      <c r="A798" s="131">
        <v>1</v>
      </c>
      <c r="B798" s="136">
        <v>1302010</v>
      </c>
      <c r="C798" s="127" t="s">
        <v>882</v>
      </c>
      <c r="D798" s="128" t="s">
        <v>911</v>
      </c>
      <c r="E798" s="147" t="s">
        <v>38</v>
      </c>
      <c r="F798" s="138" t="s">
        <v>57</v>
      </c>
      <c r="G798" s="147" t="s">
        <v>34</v>
      </c>
      <c r="H798" s="189">
        <f t="shared" si="13"/>
        <v>0</v>
      </c>
      <c r="I798" s="213"/>
      <c r="J798" s="149"/>
      <c r="K798" s="147">
        <v>12</v>
      </c>
      <c r="L798" s="147">
        <v>1</v>
      </c>
      <c r="M798" s="147">
        <v>13</v>
      </c>
      <c r="N798" s="275"/>
      <c r="O798" s="194"/>
      <c r="P798" s="179"/>
      <c r="Q798" s="173"/>
      <c r="R798" s="260">
        <v>0</v>
      </c>
      <c r="S798" s="167"/>
      <c r="T798" s="129" t="s">
        <v>55</v>
      </c>
      <c r="U798" s="147" t="s">
        <v>37</v>
      </c>
      <c r="V798" s="129"/>
      <c r="W798" s="162" t="s">
        <v>54</v>
      </c>
      <c r="X798" s="205"/>
      <c r="Y798" s="251"/>
      <c r="Z798" s="155"/>
      <c r="AA798" s="230"/>
    </row>
    <row r="799" spans="1:27" s="181" customFormat="1" hidden="1" x14ac:dyDescent="0.25">
      <c r="A799" s="131">
        <v>1</v>
      </c>
      <c r="B799" s="136">
        <v>1302011</v>
      </c>
      <c r="C799" s="127" t="s">
        <v>882</v>
      </c>
      <c r="D799" s="128" t="s">
        <v>912</v>
      </c>
      <c r="E799" s="147" t="s">
        <v>38</v>
      </c>
      <c r="F799" s="138" t="s">
        <v>57</v>
      </c>
      <c r="G799" s="147" t="s">
        <v>34</v>
      </c>
      <c r="H799" s="189">
        <f t="shared" si="13"/>
        <v>0</v>
      </c>
      <c r="I799" s="213"/>
      <c r="J799" s="149"/>
      <c r="K799" s="147">
        <v>12</v>
      </c>
      <c r="L799" s="147">
        <v>1</v>
      </c>
      <c r="M799" s="147">
        <v>13</v>
      </c>
      <c r="N799" s="275"/>
      <c r="O799" s="194"/>
      <c r="P799" s="179"/>
      <c r="Q799" s="173"/>
      <c r="R799" s="260">
        <v>0</v>
      </c>
      <c r="S799" s="167"/>
      <c r="T799" s="138" t="s">
        <v>57</v>
      </c>
      <c r="U799" s="147" t="s">
        <v>37</v>
      </c>
      <c r="V799" s="129"/>
      <c r="W799" s="162" t="s">
        <v>54</v>
      </c>
      <c r="X799" s="205"/>
      <c r="Y799" s="251"/>
      <c r="Z799" s="155"/>
      <c r="AA799" s="230"/>
    </row>
    <row r="800" spans="1:27" s="181" customFormat="1" hidden="1" x14ac:dyDescent="0.25">
      <c r="A800" s="131">
        <v>1</v>
      </c>
      <c r="B800" s="136">
        <v>1302012</v>
      </c>
      <c r="C800" s="127" t="s">
        <v>882</v>
      </c>
      <c r="D800" s="128" t="s">
        <v>913</v>
      </c>
      <c r="E800" s="147" t="s">
        <v>38</v>
      </c>
      <c r="F800" s="138" t="s">
        <v>57</v>
      </c>
      <c r="G800" s="147" t="s">
        <v>34</v>
      </c>
      <c r="H800" s="189">
        <f t="shared" si="13"/>
        <v>0</v>
      </c>
      <c r="I800" s="213"/>
      <c r="J800" s="149"/>
      <c r="K800" s="147">
        <v>12</v>
      </c>
      <c r="L800" s="147">
        <v>1</v>
      </c>
      <c r="M800" s="147">
        <v>13</v>
      </c>
      <c r="N800" s="275"/>
      <c r="O800" s="194"/>
      <c r="P800" s="179"/>
      <c r="Q800" s="173"/>
      <c r="R800" s="260">
        <v>0</v>
      </c>
      <c r="S800" s="167"/>
      <c r="T800" s="129" t="s">
        <v>55</v>
      </c>
      <c r="U800" s="147" t="s">
        <v>37</v>
      </c>
      <c r="V800" s="129"/>
      <c r="W800" s="162" t="s">
        <v>54</v>
      </c>
      <c r="X800" s="205"/>
      <c r="Y800" s="251"/>
      <c r="Z800" s="155"/>
      <c r="AA800" s="230"/>
    </row>
    <row r="801" spans="1:27" s="181" customFormat="1" hidden="1" x14ac:dyDescent="0.25">
      <c r="A801" s="131">
        <v>1</v>
      </c>
      <c r="B801" s="136">
        <v>1302013</v>
      </c>
      <c r="C801" s="127" t="s">
        <v>882</v>
      </c>
      <c r="D801" s="128" t="s">
        <v>914</v>
      </c>
      <c r="E801" s="147" t="s">
        <v>38</v>
      </c>
      <c r="F801" s="138" t="s">
        <v>57</v>
      </c>
      <c r="G801" s="147" t="s">
        <v>34</v>
      </c>
      <c r="H801" s="189">
        <f t="shared" si="13"/>
        <v>0</v>
      </c>
      <c r="I801" s="213"/>
      <c r="J801" s="149"/>
      <c r="K801" s="147">
        <v>12</v>
      </c>
      <c r="L801" s="147">
        <v>1</v>
      </c>
      <c r="M801" s="147">
        <v>13</v>
      </c>
      <c r="N801" s="275"/>
      <c r="O801" s="194"/>
      <c r="P801" s="179"/>
      <c r="Q801" s="173"/>
      <c r="R801" s="260">
        <v>0</v>
      </c>
      <c r="S801" s="167"/>
      <c r="T801" s="138" t="s">
        <v>57</v>
      </c>
      <c r="U801" s="147" t="s">
        <v>37</v>
      </c>
      <c r="V801" s="129"/>
      <c r="W801" s="162" t="s">
        <v>54</v>
      </c>
      <c r="X801" s="205"/>
      <c r="Y801" s="251"/>
      <c r="Z801" s="155"/>
      <c r="AA801" s="230"/>
    </row>
    <row r="802" spans="1:27" hidden="1" x14ac:dyDescent="0.25">
      <c r="A802" s="131">
        <v>1</v>
      </c>
      <c r="B802" s="136">
        <v>1302014</v>
      </c>
      <c r="C802" s="127" t="s">
        <v>882</v>
      </c>
      <c r="D802" s="128" t="s">
        <v>915</v>
      </c>
      <c r="E802" s="147" t="s">
        <v>38</v>
      </c>
      <c r="F802" s="138" t="s">
        <v>57</v>
      </c>
      <c r="G802" s="147" t="s">
        <v>34</v>
      </c>
      <c r="H802" s="189">
        <f t="shared" si="13"/>
        <v>0</v>
      </c>
      <c r="I802" s="213"/>
      <c r="J802" s="149"/>
      <c r="K802" s="147">
        <v>12</v>
      </c>
      <c r="L802" s="147">
        <v>1</v>
      </c>
      <c r="M802" s="147">
        <v>13</v>
      </c>
      <c r="N802" s="275"/>
      <c r="O802" s="194"/>
      <c r="P802" s="179"/>
      <c r="Q802" s="173"/>
      <c r="R802" s="260">
        <v>0</v>
      </c>
      <c r="S802" s="167"/>
      <c r="T802" s="138" t="s">
        <v>57</v>
      </c>
      <c r="U802" s="147" t="s">
        <v>37</v>
      </c>
      <c r="V802" s="129"/>
      <c r="W802" s="162" t="s">
        <v>54</v>
      </c>
      <c r="X802" s="205"/>
      <c r="Y802" s="251"/>
      <c r="Z802" s="155"/>
      <c r="AA802" s="230"/>
    </row>
    <row r="803" spans="1:27" s="181" customFormat="1" hidden="1" x14ac:dyDescent="0.25">
      <c r="A803" s="131">
        <v>1</v>
      </c>
      <c r="B803" s="136">
        <v>1302015</v>
      </c>
      <c r="C803" s="128" t="s">
        <v>567</v>
      </c>
      <c r="D803" s="128" t="s">
        <v>916</v>
      </c>
      <c r="E803" s="147" t="s">
        <v>38</v>
      </c>
      <c r="F803" s="138" t="s">
        <v>57</v>
      </c>
      <c r="G803" s="147" t="s">
        <v>34</v>
      </c>
      <c r="H803" s="189">
        <f t="shared" si="13"/>
        <v>0</v>
      </c>
      <c r="I803" s="213"/>
      <c r="J803" s="149"/>
      <c r="K803" s="147">
        <v>12</v>
      </c>
      <c r="L803" s="147">
        <v>1</v>
      </c>
      <c r="M803" s="147">
        <v>13</v>
      </c>
      <c r="N803" s="275"/>
      <c r="O803" s="194"/>
      <c r="P803" s="179"/>
      <c r="Q803" s="173"/>
      <c r="R803" s="260">
        <v>0</v>
      </c>
      <c r="S803" s="167"/>
      <c r="T803" s="138" t="s">
        <v>57</v>
      </c>
      <c r="U803" s="147" t="s">
        <v>37</v>
      </c>
      <c r="V803" s="129"/>
      <c r="W803" s="162" t="s">
        <v>54</v>
      </c>
      <c r="X803" s="205"/>
      <c r="Y803" s="251"/>
      <c r="Z803" s="155"/>
      <c r="AA803" s="230"/>
    </row>
    <row r="804" spans="1:27" s="181" customFormat="1" hidden="1" x14ac:dyDescent="0.25">
      <c r="A804" s="131">
        <v>1</v>
      </c>
      <c r="B804" s="136">
        <v>1302016</v>
      </c>
      <c r="C804" s="128" t="s">
        <v>567</v>
      </c>
      <c r="D804" s="128" t="s">
        <v>917</v>
      </c>
      <c r="E804" s="147" t="s">
        <v>38</v>
      </c>
      <c r="F804" s="138" t="s">
        <v>57</v>
      </c>
      <c r="G804" s="147" t="s">
        <v>34</v>
      </c>
      <c r="H804" s="189">
        <f t="shared" si="13"/>
        <v>0</v>
      </c>
      <c r="I804" s="213"/>
      <c r="J804" s="149"/>
      <c r="K804" s="147">
        <v>12</v>
      </c>
      <c r="L804" s="147">
        <v>1</v>
      </c>
      <c r="M804" s="147">
        <v>13</v>
      </c>
      <c r="N804" s="275"/>
      <c r="O804" s="194"/>
      <c r="P804" s="179"/>
      <c r="Q804" s="173"/>
      <c r="R804" s="260">
        <v>0</v>
      </c>
      <c r="S804" s="167"/>
      <c r="T804" s="138" t="s">
        <v>57</v>
      </c>
      <c r="U804" s="147" t="s">
        <v>37</v>
      </c>
      <c r="V804" s="129"/>
      <c r="W804" s="162" t="s">
        <v>54</v>
      </c>
      <c r="X804" s="205"/>
      <c r="Y804" s="251"/>
      <c r="Z804" s="155"/>
      <c r="AA804" s="230"/>
    </row>
    <row r="805" spans="1:27" s="181" customFormat="1" hidden="1" x14ac:dyDescent="0.25">
      <c r="A805" s="131">
        <v>1</v>
      </c>
      <c r="B805" s="136">
        <v>1302017</v>
      </c>
      <c r="C805" s="128" t="s">
        <v>600</v>
      </c>
      <c r="D805" s="128" t="s">
        <v>918</v>
      </c>
      <c r="E805" s="147" t="s">
        <v>38</v>
      </c>
      <c r="F805" s="138" t="s">
        <v>57</v>
      </c>
      <c r="G805" s="147" t="s">
        <v>34</v>
      </c>
      <c r="H805" s="189">
        <f t="shared" si="13"/>
        <v>0</v>
      </c>
      <c r="I805" s="213"/>
      <c r="J805" s="149"/>
      <c r="K805" s="147">
        <v>12</v>
      </c>
      <c r="L805" s="147">
        <v>1</v>
      </c>
      <c r="M805" s="147">
        <v>13</v>
      </c>
      <c r="N805" s="275"/>
      <c r="O805" s="194"/>
      <c r="P805" s="179"/>
      <c r="Q805" s="173"/>
      <c r="R805" s="260">
        <v>0</v>
      </c>
      <c r="S805" s="167"/>
      <c r="T805" s="138" t="s">
        <v>57</v>
      </c>
      <c r="U805" s="147" t="s">
        <v>37</v>
      </c>
      <c r="V805" s="129"/>
      <c r="W805" s="162" t="s">
        <v>54</v>
      </c>
      <c r="X805" s="205"/>
      <c r="Y805" s="251"/>
      <c r="Z805" s="155"/>
      <c r="AA805" s="230"/>
    </row>
    <row r="806" spans="1:27" hidden="1" x14ac:dyDescent="0.25">
      <c r="A806" s="131">
        <v>1</v>
      </c>
      <c r="B806" s="136">
        <v>1302018</v>
      </c>
      <c r="C806" s="128" t="s">
        <v>882</v>
      </c>
      <c r="D806" s="128" t="s">
        <v>919</v>
      </c>
      <c r="E806" s="147" t="s">
        <v>38</v>
      </c>
      <c r="F806" s="129" t="s">
        <v>577</v>
      </c>
      <c r="G806" s="147" t="s">
        <v>34</v>
      </c>
      <c r="H806" s="189">
        <f t="shared" si="13"/>
        <v>0</v>
      </c>
      <c r="I806" s="213"/>
      <c r="J806" s="149"/>
      <c r="K806" s="147">
        <v>12</v>
      </c>
      <c r="L806" s="147">
        <v>1</v>
      </c>
      <c r="M806" s="147">
        <v>13</v>
      </c>
      <c r="N806" s="275" t="s">
        <v>920</v>
      </c>
      <c r="O806" s="194"/>
      <c r="P806" s="179"/>
      <c r="Q806" s="173"/>
      <c r="R806" s="260">
        <v>0</v>
      </c>
      <c r="S806" s="167"/>
      <c r="T806" s="129" t="s">
        <v>64</v>
      </c>
      <c r="U806" s="147" t="s">
        <v>37</v>
      </c>
      <c r="V806" s="129"/>
      <c r="W806" s="162" t="s">
        <v>54</v>
      </c>
      <c r="X806" s="205"/>
      <c r="Y806" s="251"/>
      <c r="Z806" s="155"/>
      <c r="AA806" s="230"/>
    </row>
    <row r="807" spans="1:27" s="181" customFormat="1" ht="24" hidden="1" x14ac:dyDescent="0.25">
      <c r="A807" s="131">
        <v>1</v>
      </c>
      <c r="B807" s="136">
        <v>1302019</v>
      </c>
      <c r="C807" s="128" t="s">
        <v>882</v>
      </c>
      <c r="D807" s="128" t="s">
        <v>921</v>
      </c>
      <c r="E807" s="147" t="s">
        <v>38</v>
      </c>
      <c r="F807" s="129" t="s">
        <v>614</v>
      </c>
      <c r="G807" s="147" t="s">
        <v>607</v>
      </c>
      <c r="H807" s="189">
        <f t="shared" si="13"/>
        <v>0</v>
      </c>
      <c r="I807" s="134"/>
      <c r="J807" s="150"/>
      <c r="K807" s="147"/>
      <c r="L807" s="147"/>
      <c r="M807" s="147">
        <v>4</v>
      </c>
      <c r="N807" s="275">
        <v>1.62</v>
      </c>
      <c r="O807" s="194"/>
      <c r="P807" s="179"/>
      <c r="Q807" s="173"/>
      <c r="R807" s="271">
        <v>0</v>
      </c>
      <c r="S807" s="167" t="s">
        <v>35</v>
      </c>
      <c r="T807" s="129" t="s">
        <v>272</v>
      </c>
      <c r="U807" s="147" t="s">
        <v>35</v>
      </c>
      <c r="V807" s="129"/>
      <c r="W807" s="147" t="s">
        <v>2209</v>
      </c>
      <c r="X807" s="205"/>
      <c r="Y807" s="251"/>
      <c r="Z807" s="155"/>
      <c r="AA807" s="230"/>
    </row>
    <row r="808" spans="1:27" s="181" customFormat="1" hidden="1" x14ac:dyDescent="0.25">
      <c r="A808" s="131">
        <v>1</v>
      </c>
      <c r="B808" s="136">
        <v>1302020</v>
      </c>
      <c r="C808" s="128" t="s">
        <v>882</v>
      </c>
      <c r="D808" s="128" t="s">
        <v>922</v>
      </c>
      <c r="E808" s="147" t="s">
        <v>38</v>
      </c>
      <c r="F808" s="129" t="s">
        <v>617</v>
      </c>
      <c r="G808" s="147" t="s">
        <v>618</v>
      </c>
      <c r="H808" s="189">
        <f t="shared" si="13"/>
        <v>40.570824524312897</v>
      </c>
      <c r="I808" s="134"/>
      <c r="J808" s="150"/>
      <c r="K808" s="147"/>
      <c r="L808" s="147"/>
      <c r="M808" s="147">
        <v>2</v>
      </c>
      <c r="N808" s="275">
        <v>0.94599999999999995</v>
      </c>
      <c r="O808" s="194"/>
      <c r="P808" s="179"/>
      <c r="Q808" s="173">
        <v>40.570824524312897</v>
      </c>
      <c r="R808" s="271">
        <v>0</v>
      </c>
      <c r="S808" s="167"/>
      <c r="T808" s="129" t="s">
        <v>468</v>
      </c>
      <c r="U808" s="147" t="s">
        <v>37</v>
      </c>
      <c r="V808" s="129"/>
      <c r="W808" s="147" t="s">
        <v>2209</v>
      </c>
      <c r="X808" s="205"/>
      <c r="Y808" s="251"/>
      <c r="Z808" s="155"/>
      <c r="AA808" s="230"/>
    </row>
    <row r="809" spans="1:27" s="181" customFormat="1" hidden="1" x14ac:dyDescent="0.25">
      <c r="A809" s="131">
        <v>1</v>
      </c>
      <c r="B809" s="136">
        <v>1302021</v>
      </c>
      <c r="C809" s="128" t="s">
        <v>882</v>
      </c>
      <c r="D809" s="128" t="s">
        <v>924</v>
      </c>
      <c r="E809" s="147" t="s">
        <v>38</v>
      </c>
      <c r="F809" s="129" t="s">
        <v>617</v>
      </c>
      <c r="G809" s="147" t="s">
        <v>618</v>
      </c>
      <c r="H809" s="189">
        <f t="shared" si="13"/>
        <v>0</v>
      </c>
      <c r="I809" s="134"/>
      <c r="J809" s="150"/>
      <c r="K809" s="147"/>
      <c r="L809" s="147"/>
      <c r="M809" s="147">
        <v>2</v>
      </c>
      <c r="N809" s="275">
        <v>0.5</v>
      </c>
      <c r="O809" s="194"/>
      <c r="P809" s="179"/>
      <c r="Q809" s="173"/>
      <c r="R809" s="271">
        <v>0</v>
      </c>
      <c r="S809" s="167"/>
      <c r="T809" s="129" t="s">
        <v>468</v>
      </c>
      <c r="U809" s="147" t="s">
        <v>37</v>
      </c>
      <c r="V809" s="129"/>
      <c r="W809" s="147" t="s">
        <v>2209</v>
      </c>
      <c r="X809" s="205"/>
      <c r="Y809" s="251"/>
      <c r="Z809" s="155"/>
      <c r="AA809" s="230"/>
    </row>
    <row r="810" spans="1:27" s="181" customFormat="1" hidden="1" x14ac:dyDescent="0.25">
      <c r="A810" s="131">
        <v>1</v>
      </c>
      <c r="B810" s="136">
        <v>1302021</v>
      </c>
      <c r="C810" s="128" t="s">
        <v>882</v>
      </c>
      <c r="D810" s="128" t="s">
        <v>883</v>
      </c>
      <c r="E810" s="147" t="s">
        <v>38</v>
      </c>
      <c r="F810" s="129" t="s">
        <v>289</v>
      </c>
      <c r="G810" s="147"/>
      <c r="H810" s="189">
        <f t="shared" si="13"/>
        <v>0</v>
      </c>
      <c r="I810" s="134"/>
      <c r="J810" s="150"/>
      <c r="K810" s="147">
        <v>11</v>
      </c>
      <c r="L810" s="147">
        <v>1</v>
      </c>
      <c r="M810" s="147">
        <v>12</v>
      </c>
      <c r="N810" s="275"/>
      <c r="O810" s="194"/>
      <c r="P810" s="179"/>
      <c r="Q810" s="173"/>
      <c r="R810" s="271"/>
      <c r="S810" s="167"/>
      <c r="T810" s="129" t="s">
        <v>289</v>
      </c>
      <c r="U810" s="147" t="s">
        <v>37</v>
      </c>
      <c r="V810" s="129"/>
      <c r="W810" s="162" t="s">
        <v>2519</v>
      </c>
      <c r="X810" s="205"/>
      <c r="Y810" s="251"/>
      <c r="Z810" s="155"/>
      <c r="AA810" s="230"/>
    </row>
    <row r="811" spans="1:27" s="181" customFormat="1" hidden="1" x14ac:dyDescent="0.25">
      <c r="A811" s="131">
        <v>1</v>
      </c>
      <c r="B811" s="136">
        <v>1302022</v>
      </c>
      <c r="C811" s="128" t="s">
        <v>882</v>
      </c>
      <c r="D811" s="128" t="s">
        <v>923</v>
      </c>
      <c r="E811" s="147" t="s">
        <v>38</v>
      </c>
      <c r="F811" s="129" t="s">
        <v>742</v>
      </c>
      <c r="G811" s="147"/>
      <c r="H811" s="189">
        <f t="shared" si="13"/>
        <v>0</v>
      </c>
      <c r="I811" s="134"/>
      <c r="J811" s="150"/>
      <c r="K811" s="147">
        <v>11</v>
      </c>
      <c r="L811" s="147">
        <v>1</v>
      </c>
      <c r="M811" s="147">
        <v>12</v>
      </c>
      <c r="N811" s="275"/>
      <c r="O811" s="194"/>
      <c r="P811" s="179"/>
      <c r="Q811" s="173"/>
      <c r="R811" s="271"/>
      <c r="S811" s="167"/>
      <c r="T811" s="129"/>
      <c r="U811" s="147" t="s">
        <v>37</v>
      </c>
      <c r="V811" s="129"/>
      <c r="W811" s="147" t="s">
        <v>2209</v>
      </c>
      <c r="X811" s="205"/>
      <c r="Y811" s="251"/>
      <c r="Z811" s="155"/>
      <c r="AA811" s="230"/>
    </row>
    <row r="812" spans="1:27" s="181" customFormat="1" hidden="1" x14ac:dyDescent="0.25">
      <c r="A812" s="131">
        <v>1</v>
      </c>
      <c r="B812" s="136">
        <v>1302023</v>
      </c>
      <c r="C812" s="128" t="s">
        <v>882</v>
      </c>
      <c r="D812" s="128" t="s">
        <v>1559</v>
      </c>
      <c r="E812" s="147" t="s">
        <v>38</v>
      </c>
      <c r="F812" s="129" t="s">
        <v>577</v>
      </c>
      <c r="G812" s="147" t="s">
        <v>623</v>
      </c>
      <c r="H812" s="189">
        <f t="shared" si="13"/>
        <v>132.69999999999999</v>
      </c>
      <c r="I812" s="134"/>
      <c r="J812" s="150"/>
      <c r="K812" s="147"/>
      <c r="L812" s="147"/>
      <c r="M812" s="147">
        <v>14</v>
      </c>
      <c r="N812" s="275">
        <v>5</v>
      </c>
      <c r="O812" s="194"/>
      <c r="P812" s="179"/>
      <c r="Q812" s="173">
        <v>132.69999999999999</v>
      </c>
      <c r="R812" s="271">
        <v>0</v>
      </c>
      <c r="S812" s="167"/>
      <c r="T812" s="129" t="s">
        <v>284</v>
      </c>
      <c r="U812" s="147" t="s">
        <v>37</v>
      </c>
      <c r="V812" s="129"/>
      <c r="W812" s="176" t="s">
        <v>54</v>
      </c>
      <c r="X812" s="205"/>
      <c r="Y812" s="251"/>
      <c r="Z812" s="155"/>
      <c r="AA812" s="230"/>
    </row>
    <row r="813" spans="1:27" s="181" customFormat="1" x14ac:dyDescent="0.25">
      <c r="A813" s="131">
        <v>1</v>
      </c>
      <c r="B813" s="136">
        <v>1302024</v>
      </c>
      <c r="C813" s="128" t="s">
        <v>882</v>
      </c>
      <c r="D813" s="128" t="s">
        <v>1615</v>
      </c>
      <c r="E813" s="147" t="s">
        <v>38</v>
      </c>
      <c r="F813" s="129" t="s">
        <v>1612</v>
      </c>
      <c r="G813" s="147" t="s">
        <v>1731</v>
      </c>
      <c r="H813" s="189">
        <f t="shared" si="13"/>
        <v>164.95480000000001</v>
      </c>
      <c r="I813" s="210" t="s">
        <v>2218</v>
      </c>
      <c r="J813" s="146">
        <v>0</v>
      </c>
      <c r="K813" s="147">
        <v>1</v>
      </c>
      <c r="L813" s="147">
        <v>1</v>
      </c>
      <c r="M813" s="147">
        <v>2</v>
      </c>
      <c r="N813" s="275">
        <v>3</v>
      </c>
      <c r="O813" s="194"/>
      <c r="P813" s="179">
        <v>46148</v>
      </c>
      <c r="Q813" s="173">
        <v>112.03</v>
      </c>
      <c r="R813" s="271">
        <f>17.9248+35</f>
        <v>52.924800000000005</v>
      </c>
      <c r="S813" s="167"/>
      <c r="T813" s="129" t="s">
        <v>36</v>
      </c>
      <c r="U813" s="147" t="s">
        <v>37</v>
      </c>
      <c r="V813" s="129"/>
      <c r="W813" s="147" t="s">
        <v>2208</v>
      </c>
      <c r="X813" s="205"/>
      <c r="Y813" s="251"/>
      <c r="Z813" s="155"/>
      <c r="AA813" s="230"/>
    </row>
    <row r="814" spans="1:27" s="181" customFormat="1" ht="24" hidden="1" x14ac:dyDescent="0.25">
      <c r="A814" s="131">
        <v>1</v>
      </c>
      <c r="B814" s="136">
        <v>1304001</v>
      </c>
      <c r="C814" s="128" t="s">
        <v>925</v>
      </c>
      <c r="D814" s="128" t="s">
        <v>926</v>
      </c>
      <c r="E814" s="147" t="s">
        <v>38</v>
      </c>
      <c r="F814" s="129" t="s">
        <v>289</v>
      </c>
      <c r="G814" s="147"/>
      <c r="H814" s="189">
        <f t="shared" si="13"/>
        <v>0</v>
      </c>
      <c r="I814" s="134"/>
      <c r="J814" s="150"/>
      <c r="K814" s="147">
        <v>11</v>
      </c>
      <c r="L814" s="147">
        <v>1</v>
      </c>
      <c r="M814" s="147">
        <v>12</v>
      </c>
      <c r="N814" s="275"/>
      <c r="O814" s="194"/>
      <c r="P814" s="179"/>
      <c r="Q814" s="173"/>
      <c r="R814" s="271"/>
      <c r="S814" s="167"/>
      <c r="T814" s="129" t="s">
        <v>289</v>
      </c>
      <c r="U814" s="147" t="s">
        <v>37</v>
      </c>
      <c r="V814" s="129"/>
      <c r="W814" s="162" t="s">
        <v>2519</v>
      </c>
      <c r="X814" s="205"/>
      <c r="Y814" s="251"/>
      <c r="Z814" s="155"/>
      <c r="AA814" s="230"/>
    </row>
    <row r="815" spans="1:27" s="181" customFormat="1" hidden="1" x14ac:dyDescent="0.25">
      <c r="A815" s="131">
        <v>1</v>
      </c>
      <c r="B815" s="129">
        <v>1305001</v>
      </c>
      <c r="C815" s="128" t="s">
        <v>600</v>
      </c>
      <c r="D815" s="128" t="s">
        <v>927</v>
      </c>
      <c r="E815" s="147" t="s">
        <v>38</v>
      </c>
      <c r="F815" s="129" t="s">
        <v>55</v>
      </c>
      <c r="G815" s="147" t="s">
        <v>34</v>
      </c>
      <c r="H815" s="189">
        <f t="shared" si="13"/>
        <v>0</v>
      </c>
      <c r="I815" s="213"/>
      <c r="J815" s="148">
        <v>30</v>
      </c>
      <c r="K815" s="147"/>
      <c r="L815" s="147"/>
      <c r="M815" s="147">
        <v>1</v>
      </c>
      <c r="N815" s="275"/>
      <c r="O815" s="194"/>
      <c r="P815" s="179"/>
      <c r="Q815" s="173"/>
      <c r="R815" s="260">
        <v>0</v>
      </c>
      <c r="S815" s="167"/>
      <c r="T815" s="129" t="s">
        <v>55</v>
      </c>
      <c r="U815" s="147" t="s">
        <v>37</v>
      </c>
      <c r="V815" s="129"/>
      <c r="W815" s="176" t="s">
        <v>2519</v>
      </c>
      <c r="X815" s="205"/>
      <c r="Y815" s="251"/>
      <c r="Z815" s="155"/>
      <c r="AA815" s="230"/>
    </row>
    <row r="816" spans="1:27" s="181" customFormat="1" hidden="1" x14ac:dyDescent="0.25">
      <c r="A816" s="131">
        <v>1</v>
      </c>
      <c r="B816" s="129">
        <v>1306001</v>
      </c>
      <c r="C816" s="128" t="s">
        <v>600</v>
      </c>
      <c r="D816" s="128" t="s">
        <v>928</v>
      </c>
      <c r="E816" s="147" t="s">
        <v>38</v>
      </c>
      <c r="F816" s="129" t="s">
        <v>929</v>
      </c>
      <c r="G816" s="147" t="s">
        <v>930</v>
      </c>
      <c r="H816" s="189">
        <f t="shared" si="13"/>
        <v>0</v>
      </c>
      <c r="I816" s="213"/>
      <c r="J816" s="149"/>
      <c r="K816" s="147"/>
      <c r="L816" s="147"/>
      <c r="M816" s="147">
        <v>1</v>
      </c>
      <c r="N816" s="275"/>
      <c r="O816" s="194"/>
      <c r="P816" s="179"/>
      <c r="Q816" s="173"/>
      <c r="R816" s="260">
        <v>0</v>
      </c>
      <c r="S816" s="167"/>
      <c r="T816" s="129" t="s">
        <v>36</v>
      </c>
      <c r="U816" s="147" t="s">
        <v>37</v>
      </c>
      <c r="V816" s="129"/>
      <c r="W816" s="162" t="s">
        <v>54</v>
      </c>
      <c r="X816" s="205"/>
      <c r="Y816" s="251"/>
      <c r="Z816" s="155"/>
      <c r="AA816" s="230"/>
    </row>
    <row r="817" spans="1:27" s="181" customFormat="1" ht="24" hidden="1" x14ac:dyDescent="0.25">
      <c r="A817" s="131">
        <v>1</v>
      </c>
      <c r="B817" s="129">
        <v>1306002</v>
      </c>
      <c r="C817" s="127" t="s">
        <v>931</v>
      </c>
      <c r="D817" s="128" t="s">
        <v>932</v>
      </c>
      <c r="E817" s="147" t="s">
        <v>38</v>
      </c>
      <c r="F817" s="129" t="s">
        <v>614</v>
      </c>
      <c r="G817" s="147" t="s">
        <v>607</v>
      </c>
      <c r="H817" s="189">
        <f t="shared" si="13"/>
        <v>0</v>
      </c>
      <c r="I817" s="134"/>
      <c r="J817" s="150"/>
      <c r="K817" s="147"/>
      <c r="L817" s="147"/>
      <c r="M817" s="147">
        <v>4</v>
      </c>
      <c r="N817" s="275"/>
      <c r="O817" s="194"/>
      <c r="P817" s="179"/>
      <c r="Q817" s="173"/>
      <c r="R817" s="271">
        <v>0</v>
      </c>
      <c r="S817" s="167" t="s">
        <v>35</v>
      </c>
      <c r="T817" s="129" t="s">
        <v>272</v>
      </c>
      <c r="U817" s="147" t="s">
        <v>35</v>
      </c>
      <c r="V817" s="129"/>
      <c r="W817" s="147" t="s">
        <v>2209</v>
      </c>
      <c r="X817" s="205"/>
      <c r="Y817" s="251"/>
      <c r="Z817" s="155"/>
      <c r="AA817" s="230"/>
    </row>
    <row r="818" spans="1:27" s="181" customFormat="1" hidden="1" x14ac:dyDescent="0.25">
      <c r="A818" s="131">
        <v>1</v>
      </c>
      <c r="B818" s="129">
        <v>1306003</v>
      </c>
      <c r="C818" s="127" t="s">
        <v>931</v>
      </c>
      <c r="D818" s="128" t="s">
        <v>933</v>
      </c>
      <c r="E818" s="147" t="s">
        <v>38</v>
      </c>
      <c r="F818" s="129" t="s">
        <v>742</v>
      </c>
      <c r="G818" s="147"/>
      <c r="H818" s="189">
        <f t="shared" si="13"/>
        <v>0</v>
      </c>
      <c r="I818" s="134"/>
      <c r="J818" s="150"/>
      <c r="K818" s="147">
        <v>11</v>
      </c>
      <c r="L818" s="147">
        <v>1</v>
      </c>
      <c r="M818" s="147">
        <v>12</v>
      </c>
      <c r="N818" s="275"/>
      <c r="O818" s="194"/>
      <c r="P818" s="179"/>
      <c r="Q818" s="173"/>
      <c r="R818" s="271"/>
      <c r="S818" s="167"/>
      <c r="T818" s="129"/>
      <c r="U818" s="147" t="s">
        <v>37</v>
      </c>
      <c r="V818" s="129"/>
      <c r="W818" s="147" t="s">
        <v>2209</v>
      </c>
      <c r="X818" s="205"/>
      <c r="Y818" s="251"/>
      <c r="Z818" s="155"/>
      <c r="AA818" s="230"/>
    </row>
    <row r="819" spans="1:27" s="181" customFormat="1" ht="24" x14ac:dyDescent="0.25">
      <c r="A819" s="131"/>
      <c r="B819" s="129">
        <v>1306004</v>
      </c>
      <c r="C819" s="128" t="s">
        <v>882</v>
      </c>
      <c r="D819" s="136" t="s">
        <v>1825</v>
      </c>
      <c r="E819" s="147" t="s">
        <v>38</v>
      </c>
      <c r="F819" s="129" t="s">
        <v>1824</v>
      </c>
      <c r="G819" s="147" t="s">
        <v>1731</v>
      </c>
      <c r="H819" s="189">
        <f t="shared" si="13"/>
        <v>1018.48</v>
      </c>
      <c r="I819" s="226" t="s">
        <v>2230</v>
      </c>
      <c r="J819" s="146">
        <v>30</v>
      </c>
      <c r="K819" s="147">
        <v>2</v>
      </c>
      <c r="L819" s="147">
        <v>1</v>
      </c>
      <c r="M819" s="147">
        <v>3</v>
      </c>
      <c r="N819" s="275">
        <v>3</v>
      </c>
      <c r="O819" s="196"/>
      <c r="P819" s="179">
        <v>45321</v>
      </c>
      <c r="Q819" s="175">
        <f>728+116.48</f>
        <v>844.48</v>
      </c>
      <c r="R819" s="271">
        <f>522/N819</f>
        <v>174</v>
      </c>
      <c r="S819" s="164"/>
      <c r="T819" s="129" t="s">
        <v>2206</v>
      </c>
      <c r="U819" s="147" t="s">
        <v>37</v>
      </c>
      <c r="V819" s="147">
        <v>3500296</v>
      </c>
      <c r="W819" s="147" t="s">
        <v>2208</v>
      </c>
      <c r="X819" s="205" t="s">
        <v>1904</v>
      </c>
      <c r="Y819" s="251"/>
      <c r="Z819" s="290"/>
      <c r="AA819" s="286"/>
    </row>
    <row r="820" spans="1:27" s="181" customFormat="1" ht="24" x14ac:dyDescent="0.25">
      <c r="A820" s="131"/>
      <c r="B820" s="157">
        <v>1306005</v>
      </c>
      <c r="C820" s="128" t="s">
        <v>600</v>
      </c>
      <c r="D820" s="136" t="s">
        <v>1826</v>
      </c>
      <c r="E820" s="147" t="s">
        <v>38</v>
      </c>
      <c r="F820" s="129" t="s">
        <v>1824</v>
      </c>
      <c r="G820" s="147" t="s">
        <v>618</v>
      </c>
      <c r="H820" s="189">
        <f t="shared" si="13"/>
        <v>1424.1320000000001</v>
      </c>
      <c r="I820" s="226" t="s">
        <v>2230</v>
      </c>
      <c r="J820" s="146">
        <v>30</v>
      </c>
      <c r="K820" s="147">
        <v>2</v>
      </c>
      <c r="L820" s="147">
        <v>1</v>
      </c>
      <c r="M820" s="147">
        <v>3</v>
      </c>
      <c r="N820" s="275">
        <v>3</v>
      </c>
      <c r="O820" s="196"/>
      <c r="P820" s="179">
        <v>45321</v>
      </c>
      <c r="Q820" s="175">
        <f>1077.7+172.432</f>
        <v>1250.1320000000001</v>
      </c>
      <c r="R820" s="271">
        <f>522/N820</f>
        <v>174</v>
      </c>
      <c r="S820" s="164"/>
      <c r="T820" s="129" t="s">
        <v>2206</v>
      </c>
      <c r="U820" s="147" t="s">
        <v>37</v>
      </c>
      <c r="V820" s="147">
        <v>3500296</v>
      </c>
      <c r="W820" s="147" t="s">
        <v>2208</v>
      </c>
      <c r="X820" s="205" t="s">
        <v>1904</v>
      </c>
      <c r="Y820" s="251"/>
      <c r="Z820" s="290"/>
      <c r="AA820" s="286"/>
    </row>
    <row r="821" spans="1:27" s="181" customFormat="1" ht="24" x14ac:dyDescent="0.25">
      <c r="A821" s="131">
        <v>1</v>
      </c>
      <c r="B821" s="136">
        <v>1401001</v>
      </c>
      <c r="C821" s="128" t="s">
        <v>934</v>
      </c>
      <c r="D821" s="128" t="s">
        <v>935</v>
      </c>
      <c r="E821" s="147" t="s">
        <v>38</v>
      </c>
      <c r="F821" s="129" t="s">
        <v>936</v>
      </c>
      <c r="G821" s="147" t="s">
        <v>1731</v>
      </c>
      <c r="H821" s="189">
        <f t="shared" si="13"/>
        <v>0.51130000000000009</v>
      </c>
      <c r="I821" s="210" t="s">
        <v>2222</v>
      </c>
      <c r="J821" s="146">
        <v>30</v>
      </c>
      <c r="K821" s="147">
        <v>15</v>
      </c>
      <c r="L821" s="147">
        <v>1</v>
      </c>
      <c r="M821" s="147">
        <v>16</v>
      </c>
      <c r="N821" s="275">
        <v>8640</v>
      </c>
      <c r="O821" s="193">
        <v>0.44130000000000003</v>
      </c>
      <c r="P821" s="179">
        <v>45299</v>
      </c>
      <c r="Q821" s="173">
        <v>0.44130000000000003</v>
      </c>
      <c r="R821" s="271">
        <f>0.02+0.05</f>
        <v>7.0000000000000007E-2</v>
      </c>
      <c r="S821" s="164" t="s">
        <v>35</v>
      </c>
      <c r="T821" s="129" t="s">
        <v>36</v>
      </c>
      <c r="U821" s="147" t="s">
        <v>37</v>
      </c>
      <c r="V821" s="129"/>
      <c r="W821" s="147" t="s">
        <v>2208</v>
      </c>
      <c r="X821" s="205" t="s">
        <v>1854</v>
      </c>
      <c r="Y821" s="251"/>
      <c r="Z821" s="290"/>
      <c r="AA821" s="286"/>
    </row>
    <row r="822" spans="1:27" s="181" customFormat="1" hidden="1" x14ac:dyDescent="0.25">
      <c r="A822" s="131">
        <v>1</v>
      </c>
      <c r="B822" s="129">
        <v>1401002</v>
      </c>
      <c r="C822" s="127" t="s">
        <v>940</v>
      </c>
      <c r="D822" s="128" t="s">
        <v>941</v>
      </c>
      <c r="E822" s="147" t="s">
        <v>38</v>
      </c>
      <c r="F822" s="129" t="s">
        <v>942</v>
      </c>
      <c r="G822" s="147" t="s">
        <v>1731</v>
      </c>
      <c r="H822" s="189">
        <f t="shared" si="13"/>
        <v>0</v>
      </c>
      <c r="I822" s="213"/>
      <c r="J822" s="149"/>
      <c r="K822" s="147"/>
      <c r="L822" s="147"/>
      <c r="M822" s="147">
        <v>4</v>
      </c>
      <c r="N822" s="275"/>
      <c r="O822" s="194"/>
      <c r="P822" s="179"/>
      <c r="Q822" s="173"/>
      <c r="R822" s="260">
        <v>0</v>
      </c>
      <c r="S822" s="167"/>
      <c r="T822" s="129" t="s">
        <v>36</v>
      </c>
      <c r="U822" s="147" t="s">
        <v>37</v>
      </c>
      <c r="V822" s="129"/>
      <c r="W822" s="162" t="s">
        <v>54</v>
      </c>
      <c r="X822" s="205"/>
      <c r="Y822" s="251"/>
      <c r="Z822" s="155"/>
      <c r="AA822" s="230"/>
    </row>
    <row r="823" spans="1:27" s="181" customFormat="1" ht="24" hidden="1" x14ac:dyDescent="0.25">
      <c r="A823" s="131">
        <v>1</v>
      </c>
      <c r="B823" s="129">
        <v>1401003</v>
      </c>
      <c r="C823" s="127" t="s">
        <v>940</v>
      </c>
      <c r="D823" s="128" t="s">
        <v>943</v>
      </c>
      <c r="E823" s="147" t="s">
        <v>38</v>
      </c>
      <c r="F823" s="129" t="s">
        <v>942</v>
      </c>
      <c r="G823" s="147" t="s">
        <v>1731</v>
      </c>
      <c r="H823" s="189">
        <f t="shared" si="13"/>
        <v>0</v>
      </c>
      <c r="I823" s="213"/>
      <c r="J823" s="149"/>
      <c r="K823" s="147"/>
      <c r="L823" s="147"/>
      <c r="M823" s="147">
        <v>4</v>
      </c>
      <c r="N823" s="275"/>
      <c r="O823" s="194"/>
      <c r="P823" s="179"/>
      <c r="Q823" s="173"/>
      <c r="R823" s="260">
        <v>0</v>
      </c>
      <c r="S823" s="167"/>
      <c r="T823" s="129" t="s">
        <v>36</v>
      </c>
      <c r="U823" s="147" t="s">
        <v>37</v>
      </c>
      <c r="V823" s="129"/>
      <c r="W823" s="162" t="s">
        <v>54</v>
      </c>
      <c r="X823" s="205"/>
      <c r="Y823" s="251"/>
      <c r="Z823" s="155"/>
      <c r="AA823" s="230"/>
    </row>
    <row r="824" spans="1:27" s="181" customFormat="1" ht="24" hidden="1" x14ac:dyDescent="0.25">
      <c r="A824" s="131">
        <v>1</v>
      </c>
      <c r="B824" s="129">
        <v>1401004</v>
      </c>
      <c r="C824" s="127" t="s">
        <v>940</v>
      </c>
      <c r="D824" s="128" t="s">
        <v>944</v>
      </c>
      <c r="E824" s="147" t="s">
        <v>38</v>
      </c>
      <c r="F824" s="129" t="s">
        <v>942</v>
      </c>
      <c r="G824" s="147" t="s">
        <v>1731</v>
      </c>
      <c r="H824" s="189">
        <f t="shared" si="13"/>
        <v>0</v>
      </c>
      <c r="I824" s="213"/>
      <c r="J824" s="149"/>
      <c r="K824" s="147"/>
      <c r="L824" s="147"/>
      <c r="M824" s="147">
        <v>4</v>
      </c>
      <c r="N824" s="275"/>
      <c r="O824" s="194"/>
      <c r="P824" s="179"/>
      <c r="Q824" s="173"/>
      <c r="R824" s="260">
        <v>0</v>
      </c>
      <c r="S824" s="167"/>
      <c r="T824" s="129" t="s">
        <v>36</v>
      </c>
      <c r="U824" s="147" t="s">
        <v>37</v>
      </c>
      <c r="V824" s="129"/>
      <c r="W824" s="162" t="s">
        <v>54</v>
      </c>
      <c r="X824" s="205"/>
      <c r="Y824" s="251"/>
      <c r="Z824" s="155"/>
      <c r="AA824" s="230"/>
    </row>
    <row r="825" spans="1:27" s="181" customFormat="1" ht="24" hidden="1" x14ac:dyDescent="0.25">
      <c r="A825" s="131">
        <v>1</v>
      </c>
      <c r="B825" s="129">
        <v>1401005</v>
      </c>
      <c r="C825" s="127" t="s">
        <v>940</v>
      </c>
      <c r="D825" s="128" t="s">
        <v>945</v>
      </c>
      <c r="E825" s="147" t="s">
        <v>38</v>
      </c>
      <c r="F825" s="129" t="s">
        <v>946</v>
      </c>
      <c r="G825" s="147" t="s">
        <v>1731</v>
      </c>
      <c r="H825" s="189">
        <f t="shared" si="13"/>
        <v>0.15309999999999999</v>
      </c>
      <c r="I825" s="134"/>
      <c r="J825" s="150"/>
      <c r="K825" s="147"/>
      <c r="L825" s="147"/>
      <c r="M825" s="147">
        <v>4</v>
      </c>
      <c r="N825" s="275">
        <v>100000</v>
      </c>
      <c r="O825" s="194"/>
      <c r="P825" s="179"/>
      <c r="Q825" s="173">
        <v>0.15</v>
      </c>
      <c r="R825" s="271">
        <v>3.0999999999999999E-3</v>
      </c>
      <c r="S825" s="169"/>
      <c r="T825" s="129" t="s">
        <v>36</v>
      </c>
      <c r="U825" s="147" t="s">
        <v>37</v>
      </c>
      <c r="V825" s="129"/>
      <c r="W825" s="162" t="s">
        <v>54</v>
      </c>
      <c r="X825" s="205"/>
      <c r="Y825" s="251"/>
      <c r="Z825" s="155"/>
      <c r="AA825" s="230"/>
    </row>
    <row r="826" spans="1:27" s="181" customFormat="1" hidden="1" x14ac:dyDescent="0.25">
      <c r="A826" s="131">
        <v>1</v>
      </c>
      <c r="B826" s="136">
        <v>1401006</v>
      </c>
      <c r="C826" s="127" t="s">
        <v>940</v>
      </c>
      <c r="D826" s="128" t="s">
        <v>950</v>
      </c>
      <c r="E826" s="147" t="s">
        <v>38</v>
      </c>
      <c r="F826" s="129" t="s">
        <v>951</v>
      </c>
      <c r="G826" s="147" t="s">
        <v>1731</v>
      </c>
      <c r="H826" s="189">
        <f t="shared" si="13"/>
        <v>0</v>
      </c>
      <c r="I826" s="213"/>
      <c r="J826" s="149"/>
      <c r="K826" s="147"/>
      <c r="L826" s="147"/>
      <c r="M826" s="147">
        <v>4</v>
      </c>
      <c r="N826" s="275">
        <v>1000</v>
      </c>
      <c r="O826" s="194"/>
      <c r="P826" s="179"/>
      <c r="Q826" s="173"/>
      <c r="R826" s="260">
        <v>0</v>
      </c>
      <c r="S826" s="167"/>
      <c r="T826" s="129" t="s">
        <v>36</v>
      </c>
      <c r="U826" s="147" t="s">
        <v>37</v>
      </c>
      <c r="V826" s="129"/>
      <c r="W826" s="162" t="s">
        <v>54</v>
      </c>
      <c r="X826" s="205"/>
      <c r="Y826" s="251"/>
      <c r="Z826" s="155"/>
      <c r="AA826" s="230"/>
    </row>
    <row r="827" spans="1:27" s="181" customFormat="1" ht="24" hidden="1" x14ac:dyDescent="0.25">
      <c r="A827" s="131">
        <v>1</v>
      </c>
      <c r="B827" s="136">
        <v>1401007</v>
      </c>
      <c r="C827" s="127" t="s">
        <v>940</v>
      </c>
      <c r="D827" s="128" t="s">
        <v>955</v>
      </c>
      <c r="E827" s="147" t="s">
        <v>38</v>
      </c>
      <c r="F827" s="129" t="s">
        <v>946</v>
      </c>
      <c r="G827" s="147" t="s">
        <v>1731</v>
      </c>
      <c r="H827" s="189">
        <f t="shared" si="13"/>
        <v>0.1051</v>
      </c>
      <c r="I827" s="134"/>
      <c r="J827" s="150"/>
      <c r="K827" s="147"/>
      <c r="L827" s="147"/>
      <c r="M827" s="147">
        <v>4</v>
      </c>
      <c r="N827" s="275">
        <v>15000</v>
      </c>
      <c r="O827" s="194"/>
      <c r="P827" s="179"/>
      <c r="Q827" s="173">
        <v>0.10199999999999999</v>
      </c>
      <c r="R827" s="271">
        <v>3.0999999999999999E-3</v>
      </c>
      <c r="S827" s="167"/>
      <c r="T827" s="129" t="s">
        <v>36</v>
      </c>
      <c r="U827" s="147" t="s">
        <v>37</v>
      </c>
      <c r="V827" s="129"/>
      <c r="W827" s="162" t="s">
        <v>54</v>
      </c>
      <c r="X827" s="205"/>
      <c r="Y827" s="251"/>
      <c r="Z827" s="155"/>
      <c r="AA827" s="230"/>
    </row>
    <row r="828" spans="1:27" s="181" customFormat="1" ht="36" hidden="1" x14ac:dyDescent="0.25">
      <c r="A828" s="131">
        <v>1</v>
      </c>
      <c r="B828" s="129">
        <v>1402001</v>
      </c>
      <c r="C828" s="128" t="s">
        <v>934</v>
      </c>
      <c r="D828" s="128" t="s">
        <v>957</v>
      </c>
      <c r="E828" s="147" t="s">
        <v>38</v>
      </c>
      <c r="F828" s="129" t="s">
        <v>958</v>
      </c>
      <c r="G828" s="147" t="s">
        <v>1731</v>
      </c>
      <c r="H828" s="189">
        <f t="shared" si="13"/>
        <v>0</v>
      </c>
      <c r="I828" s="213"/>
      <c r="J828" s="149"/>
      <c r="K828" s="147"/>
      <c r="L828" s="147"/>
      <c r="M828" s="147">
        <v>4</v>
      </c>
      <c r="N828" s="275" t="s">
        <v>959</v>
      </c>
      <c r="O828" s="194"/>
      <c r="P828" s="179"/>
      <c r="Q828" s="173"/>
      <c r="R828" s="260">
        <v>0</v>
      </c>
      <c r="S828" s="167"/>
      <c r="T828" s="129" t="s">
        <v>960</v>
      </c>
      <c r="U828" s="147" t="s">
        <v>37</v>
      </c>
      <c r="V828" s="129"/>
      <c r="W828" s="162" t="s">
        <v>54</v>
      </c>
      <c r="X828" s="205"/>
      <c r="Y828" s="251"/>
      <c r="Z828" s="155"/>
      <c r="AA828" s="230"/>
    </row>
    <row r="829" spans="1:27" s="181" customFormat="1" hidden="1" x14ac:dyDescent="0.25">
      <c r="A829" s="131">
        <v>1</v>
      </c>
      <c r="B829" s="136">
        <v>1402002</v>
      </c>
      <c r="C829" s="128" t="s">
        <v>934</v>
      </c>
      <c r="D829" s="128" t="s">
        <v>961</v>
      </c>
      <c r="E829" s="147" t="s">
        <v>38</v>
      </c>
      <c r="F829" s="129" t="s">
        <v>962</v>
      </c>
      <c r="G829" s="147" t="s">
        <v>1731</v>
      </c>
      <c r="H829" s="189">
        <f t="shared" si="13"/>
        <v>0</v>
      </c>
      <c r="I829" s="213"/>
      <c r="J829" s="149"/>
      <c r="K829" s="147"/>
      <c r="L829" s="147"/>
      <c r="M829" s="147">
        <v>1</v>
      </c>
      <c r="N829" s="275">
        <v>100</v>
      </c>
      <c r="O829" s="194"/>
      <c r="P829" s="179"/>
      <c r="Q829" s="173"/>
      <c r="R829" s="260">
        <v>0</v>
      </c>
      <c r="S829" s="167"/>
      <c r="T829" s="129" t="s">
        <v>292</v>
      </c>
      <c r="U829" s="147" t="s">
        <v>37</v>
      </c>
      <c r="V829" s="129"/>
      <c r="W829" s="162" t="s">
        <v>54</v>
      </c>
      <c r="X829" s="205"/>
      <c r="Y829" s="251"/>
      <c r="Z829" s="155"/>
      <c r="AA829" s="230"/>
    </row>
    <row r="830" spans="1:27" s="181" customFormat="1" ht="24" hidden="1" x14ac:dyDescent="0.25">
      <c r="A830" s="131">
        <v>1</v>
      </c>
      <c r="B830" s="136">
        <v>1402003</v>
      </c>
      <c r="C830" s="128" t="s">
        <v>934</v>
      </c>
      <c r="D830" s="128" t="s">
        <v>963</v>
      </c>
      <c r="E830" s="147" t="s">
        <v>38</v>
      </c>
      <c r="F830" s="129" t="s">
        <v>962</v>
      </c>
      <c r="G830" s="147" t="s">
        <v>1731</v>
      </c>
      <c r="H830" s="189">
        <f t="shared" si="13"/>
        <v>0</v>
      </c>
      <c r="I830" s="213"/>
      <c r="J830" s="149"/>
      <c r="K830" s="147"/>
      <c r="L830" s="147"/>
      <c r="M830" s="147">
        <v>1</v>
      </c>
      <c r="N830" s="275">
        <v>100</v>
      </c>
      <c r="O830" s="194"/>
      <c r="P830" s="179"/>
      <c r="Q830" s="173"/>
      <c r="R830" s="260">
        <v>0</v>
      </c>
      <c r="S830" s="167"/>
      <c r="T830" s="129" t="s">
        <v>292</v>
      </c>
      <c r="U830" s="147" t="s">
        <v>37</v>
      </c>
      <c r="V830" s="129"/>
      <c r="W830" s="162" t="s">
        <v>54</v>
      </c>
      <c r="X830" s="205"/>
      <c r="Y830" s="251"/>
      <c r="Z830" s="155"/>
      <c r="AA830" s="230"/>
    </row>
    <row r="831" spans="1:27" s="181" customFormat="1" ht="24" hidden="1" x14ac:dyDescent="0.25">
      <c r="A831" s="131">
        <v>1</v>
      </c>
      <c r="B831" s="136">
        <v>1402004</v>
      </c>
      <c r="C831" s="128" t="s">
        <v>934</v>
      </c>
      <c r="D831" s="128" t="s">
        <v>964</v>
      </c>
      <c r="E831" s="147" t="s">
        <v>38</v>
      </c>
      <c r="F831" s="129" t="s">
        <v>962</v>
      </c>
      <c r="G831" s="147" t="s">
        <v>1731</v>
      </c>
      <c r="H831" s="189">
        <f t="shared" si="13"/>
        <v>0</v>
      </c>
      <c r="I831" s="213"/>
      <c r="J831" s="149"/>
      <c r="K831" s="147">
        <v>11</v>
      </c>
      <c r="L831" s="147">
        <v>1</v>
      </c>
      <c r="M831" s="147">
        <v>12</v>
      </c>
      <c r="N831" s="275"/>
      <c r="O831" s="194"/>
      <c r="P831" s="179"/>
      <c r="Q831" s="173"/>
      <c r="R831" s="260">
        <v>0</v>
      </c>
      <c r="S831" s="167"/>
      <c r="T831" s="129" t="s">
        <v>292</v>
      </c>
      <c r="U831" s="147" t="s">
        <v>37</v>
      </c>
      <c r="V831" s="129"/>
      <c r="W831" s="162" t="s">
        <v>54</v>
      </c>
      <c r="X831" s="205"/>
      <c r="Y831" s="251"/>
      <c r="Z831" s="155"/>
      <c r="AA831" s="230"/>
    </row>
    <row r="832" spans="1:27" s="181" customFormat="1" hidden="1" x14ac:dyDescent="0.25">
      <c r="A832" s="131">
        <v>1</v>
      </c>
      <c r="B832" s="136">
        <v>1402005</v>
      </c>
      <c r="C832" s="128" t="s">
        <v>934</v>
      </c>
      <c r="D832" s="128" t="s">
        <v>965</v>
      </c>
      <c r="E832" s="147" t="s">
        <v>38</v>
      </c>
      <c r="F832" s="129" t="s">
        <v>966</v>
      </c>
      <c r="G832" s="147" t="s">
        <v>1731</v>
      </c>
      <c r="H832" s="189">
        <f t="shared" si="13"/>
        <v>0</v>
      </c>
      <c r="I832" s="213"/>
      <c r="J832" s="149"/>
      <c r="K832" s="147">
        <v>11</v>
      </c>
      <c r="L832" s="147">
        <v>1</v>
      </c>
      <c r="M832" s="147">
        <v>12</v>
      </c>
      <c r="N832" s="275"/>
      <c r="O832" s="194"/>
      <c r="P832" s="179"/>
      <c r="Q832" s="173"/>
      <c r="R832" s="260">
        <v>0</v>
      </c>
      <c r="S832" s="167"/>
      <c r="T832" s="129" t="s">
        <v>2205</v>
      </c>
      <c r="U832" s="147" t="s">
        <v>37</v>
      </c>
      <c r="V832" s="129"/>
      <c r="W832" s="162" t="s">
        <v>2519</v>
      </c>
      <c r="X832" s="205"/>
      <c r="Y832" s="251"/>
      <c r="Z832" s="155"/>
      <c r="AA832" s="230"/>
    </row>
    <row r="833" spans="1:27" s="181" customFormat="1" hidden="1" x14ac:dyDescent="0.25">
      <c r="A833" s="131">
        <v>1</v>
      </c>
      <c r="B833" s="136">
        <v>1402006</v>
      </c>
      <c r="C833" s="128" t="s">
        <v>934</v>
      </c>
      <c r="D833" s="128" t="s">
        <v>967</v>
      </c>
      <c r="E833" s="147" t="s">
        <v>38</v>
      </c>
      <c r="F833" s="129" t="s">
        <v>962</v>
      </c>
      <c r="G833" s="147" t="s">
        <v>1731</v>
      </c>
      <c r="H833" s="189">
        <f t="shared" si="13"/>
        <v>0</v>
      </c>
      <c r="I833" s="213"/>
      <c r="J833" s="149"/>
      <c r="K833" s="147">
        <v>11</v>
      </c>
      <c r="L833" s="147">
        <v>1</v>
      </c>
      <c r="M833" s="147">
        <v>12</v>
      </c>
      <c r="N833" s="275">
        <v>16500</v>
      </c>
      <c r="O833" s="194"/>
      <c r="P833" s="179"/>
      <c r="Q833" s="173"/>
      <c r="R833" s="260">
        <v>0</v>
      </c>
      <c r="S833" s="167"/>
      <c r="T833" s="129" t="s">
        <v>968</v>
      </c>
      <c r="U833" s="147" t="s">
        <v>37</v>
      </c>
      <c r="V833" s="129"/>
      <c r="W833" s="162" t="s">
        <v>54</v>
      </c>
      <c r="X833" s="205"/>
      <c r="Y833" s="251"/>
      <c r="Z833" s="155"/>
      <c r="AA833" s="230"/>
    </row>
    <row r="834" spans="1:27" hidden="1" x14ac:dyDescent="0.25">
      <c r="A834" s="131">
        <v>1</v>
      </c>
      <c r="B834" s="136">
        <v>1402007</v>
      </c>
      <c r="C834" s="128" t="s">
        <v>934</v>
      </c>
      <c r="D834" s="128" t="s">
        <v>969</v>
      </c>
      <c r="E834" s="147" t="s">
        <v>38</v>
      </c>
      <c r="F834" s="129" t="s">
        <v>962</v>
      </c>
      <c r="G834" s="147" t="s">
        <v>1731</v>
      </c>
      <c r="H834" s="189">
        <f t="shared" si="13"/>
        <v>0</v>
      </c>
      <c r="I834" s="213"/>
      <c r="J834" s="149"/>
      <c r="K834" s="147">
        <v>11</v>
      </c>
      <c r="L834" s="147">
        <v>1</v>
      </c>
      <c r="M834" s="147">
        <v>12</v>
      </c>
      <c r="N834" s="275">
        <v>16500</v>
      </c>
      <c r="O834" s="194"/>
      <c r="P834" s="179"/>
      <c r="Q834" s="173"/>
      <c r="R834" s="260">
        <v>0</v>
      </c>
      <c r="S834" s="167"/>
      <c r="T834" s="129" t="s">
        <v>968</v>
      </c>
      <c r="U834" s="147" t="s">
        <v>37</v>
      </c>
      <c r="V834" s="129"/>
      <c r="W834" s="162" t="s">
        <v>54</v>
      </c>
      <c r="X834" s="205"/>
      <c r="Y834" s="251"/>
      <c r="Z834" s="155"/>
      <c r="AA834" s="230"/>
    </row>
    <row r="835" spans="1:27" hidden="1" x14ac:dyDescent="0.25">
      <c r="A835" s="131">
        <v>1</v>
      </c>
      <c r="B835" s="136">
        <v>1402008</v>
      </c>
      <c r="C835" s="128" t="s">
        <v>934</v>
      </c>
      <c r="D835" s="128" t="s">
        <v>970</v>
      </c>
      <c r="E835" s="147" t="s">
        <v>38</v>
      </c>
      <c r="F835" s="129" t="s">
        <v>36</v>
      </c>
      <c r="G835" s="147" t="s">
        <v>1731</v>
      </c>
      <c r="H835" s="189">
        <f t="shared" ref="H835:H898" si="14">Q835+R835</f>
        <v>0.1479</v>
      </c>
      <c r="I835" s="180" t="s">
        <v>2213</v>
      </c>
      <c r="J835" s="150"/>
      <c r="K835" s="147"/>
      <c r="L835" s="147"/>
      <c r="M835" s="147">
        <v>10</v>
      </c>
      <c r="N835" s="275"/>
      <c r="O835" s="194"/>
      <c r="P835" s="179"/>
      <c r="Q835" s="173">
        <v>0.1479</v>
      </c>
      <c r="R835" s="260">
        <v>0</v>
      </c>
      <c r="S835" s="164"/>
      <c r="T835" s="129" t="s">
        <v>36</v>
      </c>
      <c r="U835" s="147" t="s">
        <v>37</v>
      </c>
      <c r="V835" s="129"/>
      <c r="W835" s="162" t="s">
        <v>2519</v>
      </c>
      <c r="X835" s="205"/>
      <c r="Y835" s="251"/>
      <c r="Z835" s="290"/>
      <c r="AA835" s="286"/>
    </row>
    <row r="836" spans="1:27" s="181" customFormat="1" x14ac:dyDescent="0.25">
      <c r="A836" s="131">
        <v>1</v>
      </c>
      <c r="B836" s="136">
        <v>1402009</v>
      </c>
      <c r="C836" s="128" t="s">
        <v>934</v>
      </c>
      <c r="D836" s="128" t="s">
        <v>1500</v>
      </c>
      <c r="E836" s="147" t="s">
        <v>38</v>
      </c>
      <c r="F836" s="129" t="s">
        <v>976</v>
      </c>
      <c r="G836" s="147" t="s">
        <v>1731</v>
      </c>
      <c r="H836" s="189">
        <f t="shared" si="14"/>
        <v>0.15060000000000001</v>
      </c>
      <c r="I836" s="210" t="s">
        <v>2082</v>
      </c>
      <c r="J836" s="150"/>
      <c r="K836" s="147">
        <v>8</v>
      </c>
      <c r="L836" s="147">
        <v>1</v>
      </c>
      <c r="M836" s="147">
        <v>9</v>
      </c>
      <c r="N836" s="275">
        <v>10000</v>
      </c>
      <c r="O836" s="193">
        <v>9.2499999999999999E-2</v>
      </c>
      <c r="P836" s="179">
        <v>45663</v>
      </c>
      <c r="Q836" s="173">
        <v>0.10059999999999999</v>
      </c>
      <c r="R836" s="271">
        <v>0.05</v>
      </c>
      <c r="S836" s="164"/>
      <c r="T836" s="129" t="s">
        <v>2441</v>
      </c>
      <c r="U836" s="147" t="s">
        <v>37</v>
      </c>
      <c r="V836" s="129"/>
      <c r="W836" s="147" t="s">
        <v>2208</v>
      </c>
      <c r="X836" s="205" t="s">
        <v>1910</v>
      </c>
      <c r="Y836" s="251"/>
      <c r="Z836" s="290"/>
      <c r="AA836" s="286"/>
    </row>
    <row r="837" spans="1:27" s="181" customFormat="1" ht="24" hidden="1" x14ac:dyDescent="0.25">
      <c r="A837" s="131">
        <v>1</v>
      </c>
      <c r="B837" s="136">
        <v>1402020</v>
      </c>
      <c r="C837" s="128" t="s">
        <v>934</v>
      </c>
      <c r="D837" s="128" t="s">
        <v>977</v>
      </c>
      <c r="E837" s="147" t="s">
        <v>38</v>
      </c>
      <c r="F837" s="138" t="s">
        <v>57</v>
      </c>
      <c r="G837" s="147" t="s">
        <v>1731</v>
      </c>
      <c r="H837" s="189">
        <f t="shared" si="14"/>
        <v>0</v>
      </c>
      <c r="I837" s="213"/>
      <c r="J837" s="149"/>
      <c r="K837" s="147">
        <v>12</v>
      </c>
      <c r="L837" s="147">
        <v>1</v>
      </c>
      <c r="M837" s="147">
        <v>13</v>
      </c>
      <c r="N837" s="275"/>
      <c r="O837" s="194"/>
      <c r="P837" s="179"/>
      <c r="Q837" s="173"/>
      <c r="R837" s="260">
        <v>0</v>
      </c>
      <c r="S837" s="167"/>
      <c r="T837" s="138" t="s">
        <v>57</v>
      </c>
      <c r="U837" s="147" t="s">
        <v>37</v>
      </c>
      <c r="V837" s="129"/>
      <c r="W837" s="162" t="s">
        <v>54</v>
      </c>
      <c r="X837" s="205"/>
      <c r="Y837" s="251"/>
      <c r="Z837" s="155"/>
      <c r="AA837" s="230"/>
    </row>
    <row r="838" spans="1:27" s="181" customFormat="1" x14ac:dyDescent="0.25">
      <c r="A838" s="131">
        <v>1</v>
      </c>
      <c r="B838" s="129">
        <v>1403001</v>
      </c>
      <c r="C838" s="127" t="s">
        <v>934</v>
      </c>
      <c r="D838" s="128" t="s">
        <v>978</v>
      </c>
      <c r="E838" s="147" t="s">
        <v>38</v>
      </c>
      <c r="F838" s="129" t="s">
        <v>1578</v>
      </c>
      <c r="G838" s="147" t="s">
        <v>1731</v>
      </c>
      <c r="H838" s="189">
        <f t="shared" si="14"/>
        <v>5.2500000000000005E-2</v>
      </c>
      <c r="I838" s="210" t="s">
        <v>2082</v>
      </c>
      <c r="J838" s="146">
        <v>30</v>
      </c>
      <c r="K838" s="147">
        <v>8</v>
      </c>
      <c r="L838" s="147">
        <v>2</v>
      </c>
      <c r="M838" s="147">
        <v>10</v>
      </c>
      <c r="N838" s="275">
        <v>100000</v>
      </c>
      <c r="O838" s="193">
        <v>4.5400000000000003E-2</v>
      </c>
      <c r="P838" s="179">
        <v>44690</v>
      </c>
      <c r="Q838" s="173">
        <v>4.2000000000000003E-2</v>
      </c>
      <c r="R838" s="271">
        <v>1.0500000000000001E-2</v>
      </c>
      <c r="S838" s="164" t="s">
        <v>35</v>
      </c>
      <c r="T838" s="129" t="s">
        <v>36</v>
      </c>
      <c r="U838" s="147" t="s">
        <v>37</v>
      </c>
      <c r="V838" s="129"/>
      <c r="W838" s="147" t="s">
        <v>2208</v>
      </c>
      <c r="X838" s="205" t="s">
        <v>1920</v>
      </c>
      <c r="Y838" s="251"/>
      <c r="Z838" s="290"/>
      <c r="AA838" s="286"/>
    </row>
    <row r="839" spans="1:27" s="181" customFormat="1" ht="24" hidden="1" x14ac:dyDescent="0.25">
      <c r="A839" s="131">
        <v>1</v>
      </c>
      <c r="B839" s="129">
        <v>1403002</v>
      </c>
      <c r="C839" s="127" t="s">
        <v>934</v>
      </c>
      <c r="D839" s="128" t="s">
        <v>982</v>
      </c>
      <c r="E839" s="147" t="s">
        <v>38</v>
      </c>
      <c r="F839" s="138" t="s">
        <v>57</v>
      </c>
      <c r="G839" s="147" t="s">
        <v>1731</v>
      </c>
      <c r="H839" s="189">
        <f t="shared" si="14"/>
        <v>0</v>
      </c>
      <c r="I839" s="213"/>
      <c r="J839" s="149"/>
      <c r="K839" s="147"/>
      <c r="L839" s="147"/>
      <c r="M839" s="147">
        <v>6</v>
      </c>
      <c r="N839" s="275"/>
      <c r="O839" s="194"/>
      <c r="P839" s="179"/>
      <c r="Q839" s="173"/>
      <c r="R839" s="260">
        <v>0</v>
      </c>
      <c r="S839" s="167"/>
      <c r="T839" s="129" t="s">
        <v>55</v>
      </c>
      <c r="U839" s="147" t="s">
        <v>37</v>
      </c>
      <c r="V839" s="129"/>
      <c r="W839" s="162" t="s">
        <v>54</v>
      </c>
      <c r="X839" s="205"/>
      <c r="Y839" s="251"/>
      <c r="Z839" s="155"/>
      <c r="AA839" s="230"/>
    </row>
    <row r="840" spans="1:27" s="181" customFormat="1" hidden="1" x14ac:dyDescent="0.25">
      <c r="A840" s="131">
        <v>1</v>
      </c>
      <c r="B840" s="136">
        <v>1403003</v>
      </c>
      <c r="C840" s="128" t="s">
        <v>934</v>
      </c>
      <c r="D840" s="128" t="s">
        <v>983</v>
      </c>
      <c r="E840" s="147" t="s">
        <v>38</v>
      </c>
      <c r="F840" s="138" t="s">
        <v>57</v>
      </c>
      <c r="G840" s="147" t="s">
        <v>1731</v>
      </c>
      <c r="H840" s="189">
        <f t="shared" si="14"/>
        <v>0</v>
      </c>
      <c r="I840" s="213"/>
      <c r="J840" s="149"/>
      <c r="K840" s="147">
        <v>12</v>
      </c>
      <c r="L840" s="147">
        <v>1</v>
      </c>
      <c r="M840" s="147">
        <v>13</v>
      </c>
      <c r="N840" s="275"/>
      <c r="O840" s="194"/>
      <c r="P840" s="179"/>
      <c r="Q840" s="173"/>
      <c r="R840" s="260">
        <v>0</v>
      </c>
      <c r="S840" s="167"/>
      <c r="T840" s="138" t="s">
        <v>57</v>
      </c>
      <c r="U840" s="147" t="s">
        <v>37</v>
      </c>
      <c r="V840" s="129"/>
      <c r="W840" s="162" t="s">
        <v>54</v>
      </c>
      <c r="X840" s="205"/>
      <c r="Y840" s="251"/>
      <c r="Z840" s="155"/>
      <c r="AA840" s="230"/>
    </row>
    <row r="841" spans="1:27" s="181" customFormat="1" x14ac:dyDescent="0.25">
      <c r="A841" s="131">
        <v>1</v>
      </c>
      <c r="B841" s="136">
        <v>1403004</v>
      </c>
      <c r="C841" s="128" t="s">
        <v>934</v>
      </c>
      <c r="D841" s="128" t="s">
        <v>984</v>
      </c>
      <c r="E841" s="147" t="s">
        <v>38</v>
      </c>
      <c r="F841" s="129" t="s">
        <v>1578</v>
      </c>
      <c r="G841" s="147" t="s">
        <v>1731</v>
      </c>
      <c r="H841" s="189">
        <f t="shared" si="14"/>
        <v>0.12525</v>
      </c>
      <c r="I841" s="210" t="s">
        <v>2082</v>
      </c>
      <c r="J841" s="146">
        <v>30</v>
      </c>
      <c r="K841" s="147">
        <v>8</v>
      </c>
      <c r="L841" s="147">
        <v>2</v>
      </c>
      <c r="M841" s="147">
        <v>10</v>
      </c>
      <c r="N841" s="275">
        <v>50000</v>
      </c>
      <c r="O841" s="193">
        <v>0.10469999999999999</v>
      </c>
      <c r="P841" s="179">
        <v>44690</v>
      </c>
      <c r="Q841" s="173">
        <v>0.109</v>
      </c>
      <c r="R841" s="271">
        <v>1.6250000000000001E-2</v>
      </c>
      <c r="S841" s="164" t="s">
        <v>35</v>
      </c>
      <c r="T841" s="129" t="s">
        <v>36</v>
      </c>
      <c r="U841" s="147" t="s">
        <v>37</v>
      </c>
      <c r="V841" s="129"/>
      <c r="W841" s="147" t="s">
        <v>2208</v>
      </c>
      <c r="X841" s="205" t="s">
        <v>1920</v>
      </c>
      <c r="Y841" s="251"/>
      <c r="Z841" s="290"/>
      <c r="AA841" s="286"/>
    </row>
    <row r="842" spans="1:27" s="181" customFormat="1" ht="24" x14ac:dyDescent="0.25">
      <c r="A842" s="131">
        <v>1</v>
      </c>
      <c r="B842" s="136">
        <v>1403005</v>
      </c>
      <c r="C842" s="128" t="s">
        <v>934</v>
      </c>
      <c r="D842" s="128" t="s">
        <v>985</v>
      </c>
      <c r="E842" s="147" t="s">
        <v>38</v>
      </c>
      <c r="F842" s="129" t="s">
        <v>1578</v>
      </c>
      <c r="G842" s="147" t="s">
        <v>1731</v>
      </c>
      <c r="H842" s="189">
        <f t="shared" si="14"/>
        <v>0.11700000000000001</v>
      </c>
      <c r="I842" s="210" t="s">
        <v>2082</v>
      </c>
      <c r="J842" s="146">
        <v>30</v>
      </c>
      <c r="K842" s="147">
        <v>8</v>
      </c>
      <c r="L842" s="147">
        <v>2</v>
      </c>
      <c r="M842" s="147">
        <v>10</v>
      </c>
      <c r="N842" s="275">
        <v>100000</v>
      </c>
      <c r="O842" s="193">
        <v>0.06</v>
      </c>
      <c r="P842" s="179">
        <v>44690</v>
      </c>
      <c r="Q842" s="173">
        <v>6.7000000000000004E-2</v>
      </c>
      <c r="R842" s="271">
        <v>0.05</v>
      </c>
      <c r="S842" s="164" t="s">
        <v>35</v>
      </c>
      <c r="T842" s="129" t="s">
        <v>36</v>
      </c>
      <c r="U842" s="147" t="s">
        <v>37</v>
      </c>
      <c r="V842" s="129"/>
      <c r="W842" s="147" t="s">
        <v>2208</v>
      </c>
      <c r="X842" s="205" t="s">
        <v>1920</v>
      </c>
      <c r="Y842" s="251"/>
      <c r="Z842" s="290"/>
      <c r="AA842" s="286"/>
    </row>
    <row r="843" spans="1:27" s="181" customFormat="1" ht="24" hidden="1" x14ac:dyDescent="0.25">
      <c r="A843" s="131">
        <v>1</v>
      </c>
      <c r="B843" s="136">
        <v>1403006</v>
      </c>
      <c r="C843" s="128" t="s">
        <v>934</v>
      </c>
      <c r="D843" s="128" t="s">
        <v>986</v>
      </c>
      <c r="E843" s="147" t="s">
        <v>38</v>
      </c>
      <c r="F843" s="129" t="s">
        <v>987</v>
      </c>
      <c r="G843" s="147" t="s">
        <v>1731</v>
      </c>
      <c r="H843" s="189">
        <f t="shared" si="14"/>
        <v>0</v>
      </c>
      <c r="I843" s="213"/>
      <c r="J843" s="149"/>
      <c r="K843" s="147"/>
      <c r="L843" s="147"/>
      <c r="M843" s="147">
        <v>7</v>
      </c>
      <c r="N843" s="275">
        <v>75000</v>
      </c>
      <c r="O843" s="194"/>
      <c r="P843" s="179"/>
      <c r="Q843" s="173"/>
      <c r="R843" s="260">
        <v>0</v>
      </c>
      <c r="S843" s="164" t="s">
        <v>35</v>
      </c>
      <c r="T843" s="129" t="s">
        <v>517</v>
      </c>
      <c r="U843" s="147" t="s">
        <v>35</v>
      </c>
      <c r="V843" s="129"/>
      <c r="W843" s="162" t="s">
        <v>54</v>
      </c>
      <c r="X843" s="205"/>
      <c r="Y843" s="251"/>
      <c r="Z843" s="155"/>
      <c r="AA843" s="230"/>
    </row>
    <row r="844" spans="1:27" s="181" customFormat="1" ht="24" hidden="1" x14ac:dyDescent="0.25">
      <c r="A844" s="131">
        <v>1</v>
      </c>
      <c r="B844" s="136">
        <v>1403007</v>
      </c>
      <c r="C844" s="128" t="s">
        <v>934</v>
      </c>
      <c r="D844" s="128" t="s">
        <v>992</v>
      </c>
      <c r="E844" s="147" t="s">
        <v>38</v>
      </c>
      <c r="F844" s="129" t="s">
        <v>993</v>
      </c>
      <c r="G844" s="147" t="s">
        <v>1731</v>
      </c>
      <c r="H844" s="189">
        <f t="shared" si="14"/>
        <v>5.8810000000000001E-2</v>
      </c>
      <c r="I844" s="134"/>
      <c r="J844" s="150"/>
      <c r="K844" s="147"/>
      <c r="L844" s="147"/>
      <c r="M844" s="147">
        <v>10</v>
      </c>
      <c r="N844" s="275">
        <v>30000</v>
      </c>
      <c r="O844" s="194"/>
      <c r="P844" s="179"/>
      <c r="Q844" s="173">
        <v>5.6300000000000003E-2</v>
      </c>
      <c r="R844" s="271">
        <v>2.5100000000000001E-3</v>
      </c>
      <c r="S844" s="164"/>
      <c r="T844" s="129" t="s">
        <v>517</v>
      </c>
      <c r="U844" s="147" t="s">
        <v>35</v>
      </c>
      <c r="V844" s="129"/>
      <c r="W844" s="162" t="s">
        <v>54</v>
      </c>
      <c r="X844" s="205"/>
      <c r="Y844" s="251"/>
      <c r="Z844" s="155"/>
      <c r="AA844" s="230"/>
    </row>
    <row r="845" spans="1:27" s="181" customFormat="1" x14ac:dyDescent="0.25">
      <c r="A845" s="131">
        <v>1</v>
      </c>
      <c r="B845" s="136">
        <v>1403008</v>
      </c>
      <c r="C845" s="128" t="s">
        <v>934</v>
      </c>
      <c r="D845" s="128" t="s">
        <v>997</v>
      </c>
      <c r="E845" s="147" t="s">
        <v>38</v>
      </c>
      <c r="F845" s="129" t="s">
        <v>998</v>
      </c>
      <c r="G845" s="147" t="s">
        <v>1731</v>
      </c>
      <c r="H845" s="189">
        <f t="shared" si="14"/>
        <v>0.46499999999999997</v>
      </c>
      <c r="I845" s="210" t="s">
        <v>2082</v>
      </c>
      <c r="J845" s="146">
        <v>30</v>
      </c>
      <c r="K845" s="147">
        <v>16</v>
      </c>
      <c r="L845" s="147">
        <v>9</v>
      </c>
      <c r="M845" s="147">
        <v>25</v>
      </c>
      <c r="N845" s="275">
        <v>20000</v>
      </c>
      <c r="O845" s="193">
        <v>0.44</v>
      </c>
      <c r="P845" s="179">
        <v>45084</v>
      </c>
      <c r="Q845" s="173">
        <v>0.41499999999999998</v>
      </c>
      <c r="R845" s="271">
        <v>0.05</v>
      </c>
      <c r="S845" s="164" t="s">
        <v>35</v>
      </c>
      <c r="T845" s="129" t="s">
        <v>36</v>
      </c>
      <c r="U845" s="147" t="s">
        <v>37</v>
      </c>
      <c r="V845" s="129"/>
      <c r="W845" s="147" t="s">
        <v>2208</v>
      </c>
      <c r="X845" s="205" t="s">
        <v>1909</v>
      </c>
      <c r="Y845" s="251"/>
      <c r="Z845" s="290"/>
      <c r="AA845" s="286"/>
    </row>
    <row r="846" spans="1:27" s="181" customFormat="1" x14ac:dyDescent="0.25">
      <c r="A846" s="131">
        <v>1</v>
      </c>
      <c r="B846" s="136">
        <v>1403009</v>
      </c>
      <c r="C846" s="128" t="s">
        <v>934</v>
      </c>
      <c r="D846" s="128" t="s">
        <v>1002</v>
      </c>
      <c r="E846" s="147" t="s">
        <v>38</v>
      </c>
      <c r="F846" s="129" t="s">
        <v>998</v>
      </c>
      <c r="G846" s="147" t="s">
        <v>1731</v>
      </c>
      <c r="H846" s="189">
        <f t="shared" si="14"/>
        <v>0.46499999999999997</v>
      </c>
      <c r="I846" s="210" t="s">
        <v>2082</v>
      </c>
      <c r="J846" s="146">
        <v>30</v>
      </c>
      <c r="K846" s="147">
        <v>16</v>
      </c>
      <c r="L846" s="147">
        <v>9</v>
      </c>
      <c r="M846" s="147">
        <v>25</v>
      </c>
      <c r="N846" s="275">
        <v>40000</v>
      </c>
      <c r="O846" s="193">
        <v>0.44</v>
      </c>
      <c r="P846" s="179">
        <v>45084</v>
      </c>
      <c r="Q846" s="173">
        <v>0.41499999999999998</v>
      </c>
      <c r="R846" s="271">
        <v>0.05</v>
      </c>
      <c r="S846" s="164" t="s">
        <v>35</v>
      </c>
      <c r="T846" s="129" t="s">
        <v>36</v>
      </c>
      <c r="U846" s="147" t="s">
        <v>37</v>
      </c>
      <c r="V846" s="129"/>
      <c r="W846" s="147" t="s">
        <v>2208</v>
      </c>
      <c r="X846" s="205" t="s">
        <v>1909</v>
      </c>
      <c r="Y846" s="251"/>
      <c r="Z846" s="290"/>
      <c r="AA846" s="286"/>
    </row>
    <row r="847" spans="1:27" s="181" customFormat="1" hidden="1" x14ac:dyDescent="0.25">
      <c r="A847" s="131">
        <v>1</v>
      </c>
      <c r="B847" s="139">
        <v>1403011</v>
      </c>
      <c r="C847" s="128" t="s">
        <v>934</v>
      </c>
      <c r="D847" s="341" t="s">
        <v>1003</v>
      </c>
      <c r="E847" s="147" t="s">
        <v>38</v>
      </c>
      <c r="F847" s="139" t="s">
        <v>1004</v>
      </c>
      <c r="G847" s="147" t="s">
        <v>1731</v>
      </c>
      <c r="H847" s="189">
        <f t="shared" si="14"/>
        <v>0.11838</v>
      </c>
      <c r="I847" s="134" t="s">
        <v>2082</v>
      </c>
      <c r="J847" s="146">
        <v>0</v>
      </c>
      <c r="K847" s="159">
        <v>12</v>
      </c>
      <c r="L847" s="159">
        <v>1</v>
      </c>
      <c r="M847" s="147">
        <v>13</v>
      </c>
      <c r="N847" s="275">
        <v>25000</v>
      </c>
      <c r="O847" s="194">
        <v>6.966E-2</v>
      </c>
      <c r="P847" s="179">
        <v>45712</v>
      </c>
      <c r="Q847" s="173">
        <v>6.8379999999999996E-2</v>
      </c>
      <c r="R847" s="349">
        <v>0.05</v>
      </c>
      <c r="S847" s="170"/>
      <c r="T847" s="139" t="s">
        <v>284</v>
      </c>
      <c r="U847" s="159" t="s">
        <v>35</v>
      </c>
      <c r="V847" s="129"/>
      <c r="W847" s="147" t="s">
        <v>2209</v>
      </c>
      <c r="X847" s="205" t="s">
        <v>1854</v>
      </c>
      <c r="Y847" s="251"/>
      <c r="Z847" s="155"/>
      <c r="AA847" s="230"/>
    </row>
    <row r="848" spans="1:27" s="181" customFormat="1" hidden="1" x14ac:dyDescent="0.25">
      <c r="A848" s="131">
        <v>1</v>
      </c>
      <c r="B848" s="129">
        <v>1404001</v>
      </c>
      <c r="C848" s="128" t="s">
        <v>934</v>
      </c>
      <c r="D848" s="128" t="s">
        <v>1008</v>
      </c>
      <c r="E848" s="147" t="s">
        <v>38</v>
      </c>
      <c r="F848" s="129" t="s">
        <v>55</v>
      </c>
      <c r="G848" s="147" t="s">
        <v>1731</v>
      </c>
      <c r="H848" s="189">
        <f t="shared" si="14"/>
        <v>0</v>
      </c>
      <c r="I848" s="213"/>
      <c r="J848" s="148">
        <v>30</v>
      </c>
      <c r="K848" s="147"/>
      <c r="L848" s="147"/>
      <c r="M848" s="147">
        <v>1</v>
      </c>
      <c r="N848" s="275"/>
      <c r="O848" s="194"/>
      <c r="P848" s="179"/>
      <c r="Q848" s="173"/>
      <c r="R848" s="260">
        <v>0</v>
      </c>
      <c r="S848" s="167"/>
      <c r="T848" s="129" t="s">
        <v>55</v>
      </c>
      <c r="U848" s="147" t="s">
        <v>37</v>
      </c>
      <c r="V848" s="129"/>
      <c r="W848" s="176" t="s">
        <v>2519</v>
      </c>
      <c r="X848" s="205"/>
      <c r="Y848" s="251"/>
      <c r="Z848" s="155"/>
      <c r="AA848" s="230"/>
    </row>
    <row r="849" spans="1:27" s="181" customFormat="1" hidden="1" x14ac:dyDescent="0.25">
      <c r="A849" s="131">
        <v>1</v>
      </c>
      <c r="B849" s="129">
        <v>1404002</v>
      </c>
      <c r="C849" s="128" t="s">
        <v>934</v>
      </c>
      <c r="D849" s="128" t="s">
        <v>1010</v>
      </c>
      <c r="E849" s="147" t="s">
        <v>38</v>
      </c>
      <c r="F849" s="129" t="s">
        <v>55</v>
      </c>
      <c r="G849" s="147" t="s">
        <v>1731</v>
      </c>
      <c r="H849" s="189">
        <f t="shared" si="14"/>
        <v>0</v>
      </c>
      <c r="I849" s="213"/>
      <c r="J849" s="148">
        <v>30</v>
      </c>
      <c r="K849" s="147"/>
      <c r="L849" s="147"/>
      <c r="M849" s="147">
        <v>1</v>
      </c>
      <c r="N849" s="275"/>
      <c r="O849" s="194"/>
      <c r="P849" s="179"/>
      <c r="Q849" s="173"/>
      <c r="R849" s="260">
        <v>0</v>
      </c>
      <c r="S849" s="167"/>
      <c r="T849" s="129" t="s">
        <v>55</v>
      </c>
      <c r="U849" s="147" t="s">
        <v>37</v>
      </c>
      <c r="V849" s="129"/>
      <c r="W849" s="176" t="s">
        <v>2519</v>
      </c>
      <c r="X849" s="205"/>
      <c r="Y849" s="251"/>
      <c r="Z849" s="155"/>
      <c r="AA849" s="230"/>
    </row>
    <row r="850" spans="1:27" s="181" customFormat="1" hidden="1" x14ac:dyDescent="0.25">
      <c r="A850" s="131">
        <v>1</v>
      </c>
      <c r="B850" s="136">
        <v>1404003</v>
      </c>
      <c r="C850" s="128" t="s">
        <v>934</v>
      </c>
      <c r="D850" s="128" t="s">
        <v>1012</v>
      </c>
      <c r="E850" s="147" t="s">
        <v>38</v>
      </c>
      <c r="F850" s="129" t="s">
        <v>36</v>
      </c>
      <c r="G850" s="147" t="s">
        <v>1731</v>
      </c>
      <c r="H850" s="189">
        <f t="shared" si="14"/>
        <v>0</v>
      </c>
      <c r="I850" s="180" t="s">
        <v>2213</v>
      </c>
      <c r="J850" s="149"/>
      <c r="K850" s="147">
        <v>2</v>
      </c>
      <c r="L850" s="147">
        <v>1</v>
      </c>
      <c r="M850" s="147">
        <v>3</v>
      </c>
      <c r="N850" s="275"/>
      <c r="O850" s="194"/>
      <c r="P850" s="179"/>
      <c r="Q850" s="173"/>
      <c r="R850" s="260">
        <v>0</v>
      </c>
      <c r="S850" s="167"/>
      <c r="T850" s="129" t="s">
        <v>36</v>
      </c>
      <c r="U850" s="147" t="s">
        <v>37</v>
      </c>
      <c r="V850" s="129"/>
      <c r="W850" s="162" t="s">
        <v>2519</v>
      </c>
      <c r="X850" s="205"/>
      <c r="Y850" s="251"/>
      <c r="Z850" s="290"/>
      <c r="AA850" s="286"/>
    </row>
    <row r="851" spans="1:27" s="181" customFormat="1" hidden="1" x14ac:dyDescent="0.25">
      <c r="A851" s="131">
        <v>1</v>
      </c>
      <c r="B851" s="136">
        <v>1404004</v>
      </c>
      <c r="C851" s="128" t="s">
        <v>934</v>
      </c>
      <c r="D851" s="128" t="s">
        <v>1014</v>
      </c>
      <c r="E851" s="147" t="s">
        <v>38</v>
      </c>
      <c r="F851" s="129" t="s">
        <v>36</v>
      </c>
      <c r="G851" s="147" t="s">
        <v>1731</v>
      </c>
      <c r="H851" s="189">
        <f t="shared" si="14"/>
        <v>0</v>
      </c>
      <c r="I851" s="180" t="s">
        <v>2213</v>
      </c>
      <c r="J851" s="149"/>
      <c r="K851" s="147">
        <v>2</v>
      </c>
      <c r="L851" s="147">
        <v>1</v>
      </c>
      <c r="M851" s="147">
        <v>3</v>
      </c>
      <c r="N851" s="275"/>
      <c r="O851" s="194"/>
      <c r="P851" s="179"/>
      <c r="Q851" s="173"/>
      <c r="R851" s="260">
        <v>0</v>
      </c>
      <c r="S851" s="167"/>
      <c r="T851" s="129" t="s">
        <v>36</v>
      </c>
      <c r="U851" s="147" t="s">
        <v>37</v>
      </c>
      <c r="V851" s="129"/>
      <c r="W851" s="162" t="s">
        <v>2519</v>
      </c>
      <c r="X851" s="205"/>
      <c r="Y851" s="251"/>
      <c r="Z851" s="290"/>
      <c r="AA851" s="286"/>
    </row>
    <row r="852" spans="1:27" s="181" customFormat="1" ht="24" hidden="1" x14ac:dyDescent="0.25">
      <c r="A852" s="131">
        <v>1</v>
      </c>
      <c r="B852" s="136">
        <v>1404005</v>
      </c>
      <c r="C852" s="128" t="s">
        <v>934</v>
      </c>
      <c r="D852" s="136" t="s">
        <v>1015</v>
      </c>
      <c r="E852" s="147" t="s">
        <v>38</v>
      </c>
      <c r="F852" s="129" t="s">
        <v>1016</v>
      </c>
      <c r="G852" s="147" t="s">
        <v>1731</v>
      </c>
      <c r="H852" s="189">
        <f t="shared" si="14"/>
        <v>0</v>
      </c>
      <c r="I852" s="213"/>
      <c r="J852" s="149"/>
      <c r="K852" s="147">
        <v>11</v>
      </c>
      <c r="L852" s="147">
        <v>1</v>
      </c>
      <c r="M852" s="147">
        <v>12</v>
      </c>
      <c r="N852" s="275"/>
      <c r="O852" s="194"/>
      <c r="P852" s="179"/>
      <c r="Q852" s="173"/>
      <c r="R852" s="260">
        <v>0</v>
      </c>
      <c r="S852" s="167"/>
      <c r="T852" s="129"/>
      <c r="U852" s="147" t="s">
        <v>37</v>
      </c>
      <c r="V852" s="129"/>
      <c r="W852" s="162" t="s">
        <v>54</v>
      </c>
      <c r="X852" s="205"/>
      <c r="Y852" s="251"/>
      <c r="Z852" s="155"/>
      <c r="AA852" s="230"/>
    </row>
    <row r="853" spans="1:27" s="181" customFormat="1" ht="24" hidden="1" x14ac:dyDescent="0.25">
      <c r="A853" s="131">
        <v>1</v>
      </c>
      <c r="B853" s="136">
        <v>1404006</v>
      </c>
      <c r="C853" s="128" t="s">
        <v>934</v>
      </c>
      <c r="D853" s="136" t="s">
        <v>1017</v>
      </c>
      <c r="E853" s="147" t="s">
        <v>38</v>
      </c>
      <c r="F853" s="129" t="s">
        <v>1018</v>
      </c>
      <c r="G853" s="147" t="s">
        <v>1731</v>
      </c>
      <c r="H853" s="189">
        <f t="shared" si="14"/>
        <v>0</v>
      </c>
      <c r="I853" s="213"/>
      <c r="J853" s="149"/>
      <c r="K853" s="147">
        <v>11</v>
      </c>
      <c r="L853" s="147">
        <v>1</v>
      </c>
      <c r="M853" s="147">
        <v>12</v>
      </c>
      <c r="N853" s="275"/>
      <c r="O853" s="194"/>
      <c r="P853" s="179"/>
      <c r="Q853" s="173"/>
      <c r="R853" s="260">
        <v>0</v>
      </c>
      <c r="S853" s="167"/>
      <c r="T853" s="129"/>
      <c r="U853" s="147" t="s">
        <v>37</v>
      </c>
      <c r="V853" s="129"/>
      <c r="W853" s="162" t="s">
        <v>54</v>
      </c>
      <c r="X853" s="205"/>
      <c r="Y853" s="251"/>
      <c r="Z853" s="155"/>
      <c r="AA853" s="230"/>
    </row>
    <row r="854" spans="1:27" s="181" customFormat="1" hidden="1" x14ac:dyDescent="0.25">
      <c r="A854" s="131">
        <v>1</v>
      </c>
      <c r="B854" s="136">
        <v>1404007</v>
      </c>
      <c r="C854" s="128" t="s">
        <v>934</v>
      </c>
      <c r="D854" s="136" t="s">
        <v>1019</v>
      </c>
      <c r="E854" s="147" t="s">
        <v>38</v>
      </c>
      <c r="F854" s="129" t="s">
        <v>1018</v>
      </c>
      <c r="G854" s="147" t="s">
        <v>1731</v>
      </c>
      <c r="H854" s="189">
        <f t="shared" si="14"/>
        <v>0</v>
      </c>
      <c r="I854" s="213"/>
      <c r="J854" s="149"/>
      <c r="K854" s="147">
        <v>11</v>
      </c>
      <c r="L854" s="147">
        <v>1</v>
      </c>
      <c r="M854" s="147">
        <v>12</v>
      </c>
      <c r="N854" s="275"/>
      <c r="O854" s="194"/>
      <c r="P854" s="179"/>
      <c r="Q854" s="173"/>
      <c r="R854" s="260">
        <v>0</v>
      </c>
      <c r="S854" s="167"/>
      <c r="T854" s="129"/>
      <c r="U854" s="147" t="s">
        <v>37</v>
      </c>
      <c r="V854" s="129"/>
      <c r="W854" s="162" t="s">
        <v>54</v>
      </c>
      <c r="X854" s="205"/>
      <c r="Y854" s="251"/>
      <c r="Z854" s="155"/>
      <c r="AA854" s="230"/>
    </row>
    <row r="855" spans="1:27" s="181" customFormat="1" ht="24" hidden="1" x14ac:dyDescent="0.25">
      <c r="A855" s="131">
        <v>1</v>
      </c>
      <c r="B855" s="136">
        <v>1404008</v>
      </c>
      <c r="C855" s="128" t="s">
        <v>934</v>
      </c>
      <c r="D855" s="136" t="s">
        <v>1020</v>
      </c>
      <c r="E855" s="147" t="s">
        <v>38</v>
      </c>
      <c r="F855" s="129" t="s">
        <v>1018</v>
      </c>
      <c r="G855" s="147" t="s">
        <v>1731</v>
      </c>
      <c r="H855" s="189">
        <f t="shared" si="14"/>
        <v>0</v>
      </c>
      <c r="I855" s="213"/>
      <c r="J855" s="149"/>
      <c r="K855" s="147">
        <v>11</v>
      </c>
      <c r="L855" s="147">
        <v>1</v>
      </c>
      <c r="M855" s="147">
        <v>12</v>
      </c>
      <c r="N855" s="275"/>
      <c r="O855" s="194"/>
      <c r="P855" s="179"/>
      <c r="Q855" s="173"/>
      <c r="R855" s="260">
        <v>0</v>
      </c>
      <c r="S855" s="167"/>
      <c r="T855" s="129"/>
      <c r="U855" s="147" t="s">
        <v>37</v>
      </c>
      <c r="V855" s="129"/>
      <c r="W855" s="162" t="s">
        <v>54</v>
      </c>
      <c r="X855" s="205"/>
      <c r="Y855" s="251"/>
      <c r="Z855" s="155"/>
      <c r="AA855" s="230"/>
    </row>
    <row r="856" spans="1:27" s="181" customFormat="1" ht="24" hidden="1" x14ac:dyDescent="0.25">
      <c r="A856" s="131">
        <v>1</v>
      </c>
      <c r="B856" s="136">
        <v>1404009</v>
      </c>
      <c r="C856" s="128" t="s">
        <v>934</v>
      </c>
      <c r="D856" s="136" t="s">
        <v>1021</v>
      </c>
      <c r="E856" s="147" t="s">
        <v>38</v>
      </c>
      <c r="F856" s="129" t="s">
        <v>1016</v>
      </c>
      <c r="G856" s="147" t="s">
        <v>1731</v>
      </c>
      <c r="H856" s="189">
        <f t="shared" si="14"/>
        <v>0</v>
      </c>
      <c r="I856" s="213"/>
      <c r="J856" s="149"/>
      <c r="K856" s="147">
        <v>11</v>
      </c>
      <c r="L856" s="147">
        <v>1</v>
      </c>
      <c r="M856" s="147">
        <v>12</v>
      </c>
      <c r="N856" s="275"/>
      <c r="O856" s="194"/>
      <c r="P856" s="179"/>
      <c r="Q856" s="173"/>
      <c r="R856" s="260">
        <v>0</v>
      </c>
      <c r="S856" s="167"/>
      <c r="T856" s="129"/>
      <c r="U856" s="147" t="s">
        <v>37</v>
      </c>
      <c r="V856" s="129"/>
      <c r="W856" s="162" t="s">
        <v>54</v>
      </c>
      <c r="X856" s="205"/>
      <c r="Y856" s="251"/>
      <c r="Z856" s="155"/>
      <c r="AA856" s="230"/>
    </row>
    <row r="857" spans="1:27" s="181" customFormat="1" hidden="1" x14ac:dyDescent="0.25">
      <c r="A857" s="131">
        <v>1</v>
      </c>
      <c r="B857" s="129">
        <v>1404010</v>
      </c>
      <c r="C857" s="128" t="s">
        <v>934</v>
      </c>
      <c r="D857" s="128" t="s">
        <v>1022</v>
      </c>
      <c r="E857" s="147" t="s">
        <v>38</v>
      </c>
      <c r="F857" s="129" t="s">
        <v>1023</v>
      </c>
      <c r="G857" s="147" t="s">
        <v>1731</v>
      </c>
      <c r="H857" s="189">
        <f t="shared" si="14"/>
        <v>0</v>
      </c>
      <c r="I857" s="213"/>
      <c r="J857" s="149"/>
      <c r="K857" s="147"/>
      <c r="L857" s="147"/>
      <c r="M857" s="147">
        <v>6</v>
      </c>
      <c r="N857" s="275">
        <v>5076</v>
      </c>
      <c r="O857" s="194"/>
      <c r="P857" s="179"/>
      <c r="Q857" s="173"/>
      <c r="R857" s="260">
        <v>0</v>
      </c>
      <c r="S857" s="167"/>
      <c r="T857" s="129" t="s">
        <v>36</v>
      </c>
      <c r="U857" s="147" t="s">
        <v>37</v>
      </c>
      <c r="V857" s="129"/>
      <c r="W857" s="162" t="s">
        <v>54</v>
      </c>
      <c r="X857" s="205"/>
      <c r="Y857" s="251"/>
      <c r="Z857" s="155"/>
      <c r="AA857" s="230"/>
    </row>
    <row r="858" spans="1:27" s="181" customFormat="1" ht="24" hidden="1" x14ac:dyDescent="0.25">
      <c r="A858" s="131"/>
      <c r="B858" s="129">
        <v>1404013</v>
      </c>
      <c r="C858" s="128" t="s">
        <v>934</v>
      </c>
      <c r="D858" s="128" t="s">
        <v>1030</v>
      </c>
      <c r="E858" s="147" t="s">
        <v>38</v>
      </c>
      <c r="F858" s="129" t="s">
        <v>1796</v>
      </c>
      <c r="G858" s="147" t="s">
        <v>1731</v>
      </c>
      <c r="H858" s="189">
        <f t="shared" si="14"/>
        <v>0.39999999999999997</v>
      </c>
      <c r="I858" s="223" t="s">
        <v>2082</v>
      </c>
      <c r="J858" s="148">
        <v>30</v>
      </c>
      <c r="K858" s="147">
        <v>2</v>
      </c>
      <c r="L858" s="147">
        <v>2</v>
      </c>
      <c r="M858" s="147">
        <v>4</v>
      </c>
      <c r="N858" s="275"/>
      <c r="O858" s="194">
        <v>0.33</v>
      </c>
      <c r="P858" s="179">
        <v>45359</v>
      </c>
      <c r="Q858" s="173">
        <v>0.35</v>
      </c>
      <c r="R858" s="271">
        <v>0.05</v>
      </c>
      <c r="S858" s="167"/>
      <c r="T858" s="129"/>
      <c r="U858" s="147" t="s">
        <v>37</v>
      </c>
      <c r="V858" s="129"/>
      <c r="W858" s="147" t="s">
        <v>2209</v>
      </c>
      <c r="X858" s="205"/>
      <c r="Y858" s="251"/>
      <c r="Z858" s="290"/>
      <c r="AA858" s="286"/>
    </row>
    <row r="859" spans="1:27" s="181" customFormat="1" hidden="1" x14ac:dyDescent="0.25">
      <c r="A859" s="131">
        <v>1</v>
      </c>
      <c r="B859" s="129">
        <v>1404015</v>
      </c>
      <c r="C859" s="128" t="s">
        <v>934</v>
      </c>
      <c r="D859" s="128" t="s">
        <v>1032</v>
      </c>
      <c r="E859" s="147" t="s">
        <v>38</v>
      </c>
      <c r="F859" s="129" t="s">
        <v>1033</v>
      </c>
      <c r="G859" s="147" t="s">
        <v>1731</v>
      </c>
      <c r="H859" s="189">
        <f t="shared" si="14"/>
        <v>0</v>
      </c>
      <c r="I859" s="213"/>
      <c r="J859" s="149"/>
      <c r="K859" s="147"/>
      <c r="L859" s="147"/>
      <c r="M859" s="147">
        <v>1</v>
      </c>
      <c r="N859" s="275">
        <v>50000</v>
      </c>
      <c r="O859" s="194"/>
      <c r="P859" s="179"/>
      <c r="Q859" s="173"/>
      <c r="R859" s="260">
        <v>0</v>
      </c>
      <c r="S859" s="171"/>
      <c r="T859" s="129" t="s">
        <v>36</v>
      </c>
      <c r="U859" s="147" t="s">
        <v>37</v>
      </c>
      <c r="V859" s="129"/>
      <c r="W859" s="162" t="s">
        <v>54</v>
      </c>
      <c r="X859" s="205"/>
      <c r="Y859" s="251"/>
      <c r="Z859" s="155"/>
      <c r="AA859" s="230"/>
    </row>
    <row r="860" spans="1:27" s="181" customFormat="1" ht="24" hidden="1" x14ac:dyDescent="0.25">
      <c r="A860" s="131">
        <v>1</v>
      </c>
      <c r="B860" s="129">
        <v>1404016</v>
      </c>
      <c r="C860" s="128" t="s">
        <v>934</v>
      </c>
      <c r="D860" s="136" t="s">
        <v>1034</v>
      </c>
      <c r="E860" s="147" t="s">
        <v>38</v>
      </c>
      <c r="F860" s="129" t="s">
        <v>1018</v>
      </c>
      <c r="G860" s="147" t="s">
        <v>1731</v>
      </c>
      <c r="H860" s="189">
        <f t="shared" si="14"/>
        <v>0</v>
      </c>
      <c r="I860" s="213"/>
      <c r="J860" s="149"/>
      <c r="K860" s="147">
        <v>11</v>
      </c>
      <c r="L860" s="147">
        <v>1</v>
      </c>
      <c r="M860" s="147">
        <v>12</v>
      </c>
      <c r="N860" s="275"/>
      <c r="O860" s="194"/>
      <c r="P860" s="179"/>
      <c r="Q860" s="173"/>
      <c r="R860" s="260">
        <v>0</v>
      </c>
      <c r="S860" s="167"/>
      <c r="T860" s="129"/>
      <c r="U860" s="147" t="s">
        <v>37</v>
      </c>
      <c r="V860" s="129"/>
      <c r="W860" s="162" t="s">
        <v>54</v>
      </c>
      <c r="X860" s="205"/>
      <c r="Y860" s="251"/>
      <c r="Z860" s="155"/>
      <c r="AA860" s="230"/>
    </row>
    <row r="861" spans="1:27" s="181" customFormat="1" hidden="1" x14ac:dyDescent="0.25">
      <c r="A861" s="131">
        <v>1</v>
      </c>
      <c r="B861" s="129">
        <v>1404020</v>
      </c>
      <c r="C861" s="128" t="s">
        <v>934</v>
      </c>
      <c r="D861" s="136" t="s">
        <v>1035</v>
      </c>
      <c r="E861" s="147" t="s">
        <v>38</v>
      </c>
      <c r="F861" s="129" t="s">
        <v>206</v>
      </c>
      <c r="G861" s="147" t="s">
        <v>1731</v>
      </c>
      <c r="H861" s="189">
        <f t="shared" si="14"/>
        <v>0</v>
      </c>
      <c r="I861" s="213"/>
      <c r="J861" s="149"/>
      <c r="K861" s="147">
        <v>11</v>
      </c>
      <c r="L861" s="147">
        <v>1</v>
      </c>
      <c r="M861" s="147">
        <v>12</v>
      </c>
      <c r="N861" s="275"/>
      <c r="O861" s="194"/>
      <c r="P861" s="179"/>
      <c r="Q861" s="173"/>
      <c r="R861" s="260">
        <v>0</v>
      </c>
      <c r="S861" s="167"/>
      <c r="T861" s="129"/>
      <c r="U861" s="147" t="s">
        <v>37</v>
      </c>
      <c r="V861" s="129"/>
      <c r="W861" s="162" t="s">
        <v>54</v>
      </c>
      <c r="X861" s="205"/>
      <c r="Y861" s="251"/>
      <c r="Z861" s="155"/>
      <c r="AA861" s="230"/>
    </row>
    <row r="862" spans="1:27" s="181" customFormat="1" ht="24" hidden="1" x14ac:dyDescent="0.25">
      <c r="A862" s="131">
        <v>1</v>
      </c>
      <c r="B862" s="129">
        <v>1404021</v>
      </c>
      <c r="C862" s="128" t="s">
        <v>934</v>
      </c>
      <c r="D862" s="136" t="s">
        <v>1036</v>
      </c>
      <c r="E862" s="147" t="s">
        <v>38</v>
      </c>
      <c r="F862" s="129" t="s">
        <v>1796</v>
      </c>
      <c r="G862" s="147" t="s">
        <v>1731</v>
      </c>
      <c r="H862" s="189">
        <f t="shared" si="14"/>
        <v>0</v>
      </c>
      <c r="I862" s="134" t="s">
        <v>2082</v>
      </c>
      <c r="J862" s="148">
        <v>30</v>
      </c>
      <c r="K862" s="147">
        <v>16</v>
      </c>
      <c r="L862" s="147">
        <v>1</v>
      </c>
      <c r="M862" s="147">
        <v>17</v>
      </c>
      <c r="N862" s="275"/>
      <c r="O862" s="194"/>
      <c r="P862" s="179"/>
      <c r="Q862" s="173"/>
      <c r="R862" s="260">
        <v>0</v>
      </c>
      <c r="S862" s="167"/>
      <c r="T862" s="129"/>
      <c r="U862" s="147" t="s">
        <v>37</v>
      </c>
      <c r="V862" s="129"/>
      <c r="W862" s="162" t="s">
        <v>54</v>
      </c>
      <c r="X862" s="205"/>
      <c r="Y862" s="251"/>
      <c r="Z862" s="290"/>
      <c r="AA862" s="286"/>
    </row>
    <row r="863" spans="1:27" s="181" customFormat="1" ht="24" hidden="1" x14ac:dyDescent="0.25">
      <c r="A863" s="131">
        <v>1</v>
      </c>
      <c r="B863" s="129">
        <v>1404022</v>
      </c>
      <c r="C863" s="128" t="s">
        <v>934</v>
      </c>
      <c r="D863" s="136" t="s">
        <v>1593</v>
      </c>
      <c r="E863" s="147" t="s">
        <v>38</v>
      </c>
      <c r="F863" s="129" t="s">
        <v>1585</v>
      </c>
      <c r="G863" s="147" t="s">
        <v>34</v>
      </c>
      <c r="H863" s="189">
        <f t="shared" si="14"/>
        <v>0</v>
      </c>
      <c r="I863" s="134"/>
      <c r="J863" s="150"/>
      <c r="K863" s="147"/>
      <c r="L863" s="147"/>
      <c r="M863" s="147">
        <v>2</v>
      </c>
      <c r="N863" s="275"/>
      <c r="O863" s="194"/>
      <c r="P863" s="179"/>
      <c r="Q863" s="173"/>
      <c r="R863" s="271">
        <v>0</v>
      </c>
      <c r="S863" s="164" t="s">
        <v>35</v>
      </c>
      <c r="T863" s="128" t="s">
        <v>1588</v>
      </c>
      <c r="U863" s="147" t="s">
        <v>37</v>
      </c>
      <c r="V863" s="129"/>
      <c r="W863" s="147" t="s">
        <v>2209</v>
      </c>
      <c r="X863" s="205"/>
      <c r="Y863" s="251"/>
      <c r="Z863" s="155"/>
      <c r="AA863" s="230"/>
    </row>
    <row r="864" spans="1:27" s="181" customFormat="1" ht="24" hidden="1" x14ac:dyDescent="0.25">
      <c r="A864" s="131">
        <v>1</v>
      </c>
      <c r="B864" s="129">
        <v>1404023</v>
      </c>
      <c r="C864" s="128" t="s">
        <v>934</v>
      </c>
      <c r="D864" s="136" t="s">
        <v>1595</v>
      </c>
      <c r="E864" s="147" t="s">
        <v>38</v>
      </c>
      <c r="F864" s="129" t="s">
        <v>1585</v>
      </c>
      <c r="G864" s="147" t="s">
        <v>34</v>
      </c>
      <c r="H864" s="189">
        <f t="shared" si="14"/>
        <v>0</v>
      </c>
      <c r="I864" s="134"/>
      <c r="J864" s="150"/>
      <c r="K864" s="147"/>
      <c r="L864" s="147"/>
      <c r="M864" s="147">
        <v>2</v>
      </c>
      <c r="N864" s="275"/>
      <c r="O864" s="194"/>
      <c r="P864" s="179"/>
      <c r="Q864" s="173"/>
      <c r="R864" s="271">
        <v>0</v>
      </c>
      <c r="S864" s="164" t="s">
        <v>35</v>
      </c>
      <c r="T864" s="128" t="s">
        <v>1588</v>
      </c>
      <c r="U864" s="147" t="s">
        <v>37</v>
      </c>
      <c r="V864" s="129"/>
      <c r="W864" s="147" t="s">
        <v>2209</v>
      </c>
      <c r="X864" s="205"/>
      <c r="Y864" s="251"/>
      <c r="Z864" s="155"/>
      <c r="AA864" s="230"/>
    </row>
    <row r="865" spans="1:27" s="181" customFormat="1" ht="24" hidden="1" x14ac:dyDescent="0.25">
      <c r="A865" s="131">
        <v>1</v>
      </c>
      <c r="B865" s="129">
        <v>1404024</v>
      </c>
      <c r="C865" s="128" t="s">
        <v>934</v>
      </c>
      <c r="D865" s="136" t="s">
        <v>1594</v>
      </c>
      <c r="E865" s="147" t="s">
        <v>38</v>
      </c>
      <c r="F865" s="129" t="s">
        <v>1585</v>
      </c>
      <c r="G865" s="147" t="s">
        <v>34</v>
      </c>
      <c r="H865" s="189">
        <f t="shared" si="14"/>
        <v>0</v>
      </c>
      <c r="I865" s="134"/>
      <c r="J865" s="150"/>
      <c r="K865" s="147"/>
      <c r="L865" s="147"/>
      <c r="M865" s="147">
        <v>2</v>
      </c>
      <c r="N865" s="275"/>
      <c r="O865" s="194"/>
      <c r="P865" s="179"/>
      <c r="Q865" s="173"/>
      <c r="R865" s="271">
        <v>0</v>
      </c>
      <c r="S865" s="164" t="s">
        <v>35</v>
      </c>
      <c r="T865" s="128" t="s">
        <v>1588</v>
      </c>
      <c r="U865" s="147" t="s">
        <v>37</v>
      </c>
      <c r="V865" s="129"/>
      <c r="W865" s="147" t="s">
        <v>2209</v>
      </c>
      <c r="X865" s="205"/>
      <c r="Y865" s="251"/>
      <c r="Z865" s="155"/>
      <c r="AA865" s="230"/>
    </row>
    <row r="866" spans="1:27" s="181" customFormat="1" ht="24" hidden="1" x14ac:dyDescent="0.25">
      <c r="A866" s="131">
        <v>1</v>
      </c>
      <c r="B866" s="129">
        <v>1404025</v>
      </c>
      <c r="C866" s="128" t="s">
        <v>934</v>
      </c>
      <c r="D866" s="136" t="s">
        <v>1596</v>
      </c>
      <c r="E866" s="147" t="s">
        <v>38</v>
      </c>
      <c r="F866" s="129" t="s">
        <v>1585</v>
      </c>
      <c r="G866" s="147" t="s">
        <v>34</v>
      </c>
      <c r="H866" s="189">
        <f t="shared" si="14"/>
        <v>0</v>
      </c>
      <c r="I866" s="134"/>
      <c r="J866" s="150"/>
      <c r="K866" s="147"/>
      <c r="L866" s="147"/>
      <c r="M866" s="147">
        <v>2</v>
      </c>
      <c r="N866" s="275"/>
      <c r="O866" s="194"/>
      <c r="P866" s="179"/>
      <c r="Q866" s="173"/>
      <c r="R866" s="271">
        <v>0</v>
      </c>
      <c r="S866" s="164" t="s">
        <v>35</v>
      </c>
      <c r="T866" s="128" t="s">
        <v>1588</v>
      </c>
      <c r="U866" s="147" t="s">
        <v>37</v>
      </c>
      <c r="V866" s="129"/>
      <c r="W866" s="147" t="s">
        <v>2209</v>
      </c>
      <c r="X866" s="205"/>
      <c r="Y866" s="251"/>
      <c r="Z866" s="155"/>
      <c r="AA866" s="230"/>
    </row>
    <row r="867" spans="1:27" s="181" customFormat="1" hidden="1" x14ac:dyDescent="0.25">
      <c r="A867" s="131">
        <v>1</v>
      </c>
      <c r="B867" s="136">
        <v>1405000</v>
      </c>
      <c r="C867" s="128" t="s">
        <v>934</v>
      </c>
      <c r="D867" s="136" t="s">
        <v>1038</v>
      </c>
      <c r="E867" s="147" t="s">
        <v>38</v>
      </c>
      <c r="F867" s="129" t="s">
        <v>1039</v>
      </c>
      <c r="G867" s="147" t="s">
        <v>1731</v>
      </c>
      <c r="H867" s="189">
        <f t="shared" si="14"/>
        <v>0</v>
      </c>
      <c r="I867" s="213"/>
      <c r="J867" s="149"/>
      <c r="K867" s="147">
        <v>11</v>
      </c>
      <c r="L867" s="147">
        <v>1</v>
      </c>
      <c r="M867" s="147">
        <v>12</v>
      </c>
      <c r="N867" s="275"/>
      <c r="O867" s="194"/>
      <c r="P867" s="179"/>
      <c r="Q867" s="173"/>
      <c r="R867" s="260">
        <v>0</v>
      </c>
      <c r="S867" s="167"/>
      <c r="T867" s="129" t="s">
        <v>64</v>
      </c>
      <c r="U867" s="147" t="s">
        <v>37</v>
      </c>
      <c r="V867" s="129"/>
      <c r="W867" s="176" t="s">
        <v>2519</v>
      </c>
      <c r="X867" s="205"/>
      <c r="Y867" s="251"/>
      <c r="Z867" s="155"/>
      <c r="AA867" s="230"/>
    </row>
    <row r="868" spans="1:27" s="181" customFormat="1" hidden="1" x14ac:dyDescent="0.25">
      <c r="A868" s="131">
        <v>1</v>
      </c>
      <c r="B868" s="136">
        <v>1405001</v>
      </c>
      <c r="C868" s="128" t="s">
        <v>934</v>
      </c>
      <c r="D868" s="128" t="s">
        <v>1042</v>
      </c>
      <c r="E868" s="147" t="s">
        <v>38</v>
      </c>
      <c r="F868" s="129" t="s">
        <v>1043</v>
      </c>
      <c r="G868" s="147" t="s">
        <v>1731</v>
      </c>
      <c r="H868" s="189">
        <f t="shared" si="14"/>
        <v>0</v>
      </c>
      <c r="I868" s="213"/>
      <c r="J868" s="149"/>
      <c r="K868" s="147">
        <v>11</v>
      </c>
      <c r="L868" s="147">
        <v>1</v>
      </c>
      <c r="M868" s="147">
        <v>12</v>
      </c>
      <c r="N868" s="275"/>
      <c r="O868" s="194"/>
      <c r="P868" s="179"/>
      <c r="Q868" s="173"/>
      <c r="R868" s="260">
        <v>0</v>
      </c>
      <c r="S868" s="167"/>
      <c r="T868" s="129" t="s">
        <v>64</v>
      </c>
      <c r="U868" s="147" t="s">
        <v>37</v>
      </c>
      <c r="V868" s="129"/>
      <c r="W868" s="162" t="s">
        <v>54</v>
      </c>
      <c r="X868" s="205"/>
      <c r="Y868" s="251"/>
      <c r="Z868" s="155"/>
      <c r="AA868" s="230"/>
    </row>
    <row r="869" spans="1:27" s="181" customFormat="1" hidden="1" x14ac:dyDescent="0.25">
      <c r="A869" s="131">
        <v>1</v>
      </c>
      <c r="B869" s="136">
        <v>1405002</v>
      </c>
      <c r="C869" s="128" t="s">
        <v>934</v>
      </c>
      <c r="D869" s="128" t="s">
        <v>1047</v>
      </c>
      <c r="E869" s="147" t="s">
        <v>38</v>
      </c>
      <c r="F869" s="129" t="s">
        <v>64</v>
      </c>
      <c r="G869" s="147" t="s">
        <v>1731</v>
      </c>
      <c r="H869" s="189">
        <f t="shared" si="14"/>
        <v>0</v>
      </c>
      <c r="I869" s="213"/>
      <c r="J869" s="149"/>
      <c r="K869" s="147">
        <v>11</v>
      </c>
      <c r="L869" s="147">
        <v>1</v>
      </c>
      <c r="M869" s="147">
        <v>12</v>
      </c>
      <c r="N869" s="275"/>
      <c r="O869" s="194"/>
      <c r="P869" s="179"/>
      <c r="Q869" s="173"/>
      <c r="R869" s="260">
        <v>0</v>
      </c>
      <c r="S869" s="167"/>
      <c r="T869" s="129" t="s">
        <v>64</v>
      </c>
      <c r="U869" s="147" t="s">
        <v>37</v>
      </c>
      <c r="V869" s="129"/>
      <c r="W869" s="176" t="s">
        <v>2519</v>
      </c>
      <c r="X869" s="205"/>
      <c r="Y869" s="251"/>
      <c r="Z869" s="155"/>
      <c r="AA869" s="230"/>
    </row>
    <row r="870" spans="1:27" s="181" customFormat="1" hidden="1" x14ac:dyDescent="0.25">
      <c r="A870" s="131">
        <v>1</v>
      </c>
      <c r="B870" s="136">
        <v>1405003</v>
      </c>
      <c r="C870" s="128" t="s">
        <v>934</v>
      </c>
      <c r="D870" s="128" t="s">
        <v>1048</v>
      </c>
      <c r="E870" s="147" t="s">
        <v>38</v>
      </c>
      <c r="F870" s="129" t="s">
        <v>1043</v>
      </c>
      <c r="G870" s="147" t="s">
        <v>1731</v>
      </c>
      <c r="H870" s="189">
        <f t="shared" si="14"/>
        <v>0</v>
      </c>
      <c r="I870" s="213"/>
      <c r="J870" s="149"/>
      <c r="K870" s="147">
        <v>11</v>
      </c>
      <c r="L870" s="147">
        <v>1</v>
      </c>
      <c r="M870" s="147">
        <v>12</v>
      </c>
      <c r="N870" s="275"/>
      <c r="O870" s="194"/>
      <c r="P870" s="179"/>
      <c r="Q870" s="173"/>
      <c r="R870" s="260">
        <v>0</v>
      </c>
      <c r="S870" s="167"/>
      <c r="T870" s="129" t="s">
        <v>64</v>
      </c>
      <c r="U870" s="147" t="s">
        <v>37</v>
      </c>
      <c r="V870" s="129"/>
      <c r="W870" s="162" t="s">
        <v>54</v>
      </c>
      <c r="X870" s="205"/>
      <c r="Y870" s="251"/>
      <c r="Z870" s="155"/>
      <c r="AA870" s="230"/>
    </row>
    <row r="871" spans="1:27" s="181" customFormat="1" hidden="1" x14ac:dyDescent="0.25">
      <c r="A871" s="131">
        <v>1</v>
      </c>
      <c r="B871" s="136">
        <v>1405004</v>
      </c>
      <c r="C871" s="128" t="s">
        <v>934</v>
      </c>
      <c r="D871" s="128" t="s">
        <v>1050</v>
      </c>
      <c r="E871" s="147" t="s">
        <v>38</v>
      </c>
      <c r="F871" s="129" t="s">
        <v>1043</v>
      </c>
      <c r="G871" s="147" t="s">
        <v>1731</v>
      </c>
      <c r="H871" s="189">
        <f t="shared" si="14"/>
        <v>0</v>
      </c>
      <c r="I871" s="213"/>
      <c r="J871" s="149"/>
      <c r="K871" s="147">
        <v>11</v>
      </c>
      <c r="L871" s="147">
        <v>1</v>
      </c>
      <c r="M871" s="147">
        <v>12</v>
      </c>
      <c r="N871" s="275"/>
      <c r="O871" s="194"/>
      <c r="P871" s="179"/>
      <c r="Q871" s="173"/>
      <c r="R871" s="260">
        <v>0</v>
      </c>
      <c r="S871" s="167"/>
      <c r="T871" s="129" t="s">
        <v>64</v>
      </c>
      <c r="U871" s="147" t="s">
        <v>37</v>
      </c>
      <c r="V871" s="129"/>
      <c r="W871" s="162" t="s">
        <v>54</v>
      </c>
      <c r="X871" s="205"/>
      <c r="Y871" s="251"/>
      <c r="Z871" s="155"/>
      <c r="AA871" s="230"/>
    </row>
    <row r="872" spans="1:27" s="181" customFormat="1" hidden="1" x14ac:dyDescent="0.25">
      <c r="A872" s="131">
        <v>1</v>
      </c>
      <c r="B872" s="136">
        <v>1405005</v>
      </c>
      <c r="C872" s="128" t="s">
        <v>934</v>
      </c>
      <c r="D872" s="128" t="s">
        <v>1051</v>
      </c>
      <c r="E872" s="147" t="s">
        <v>38</v>
      </c>
      <c r="F872" s="138" t="s">
        <v>57</v>
      </c>
      <c r="G872" s="147" t="s">
        <v>1731</v>
      </c>
      <c r="H872" s="189">
        <f t="shared" si="14"/>
        <v>0</v>
      </c>
      <c r="I872" s="213"/>
      <c r="J872" s="149"/>
      <c r="K872" s="147">
        <v>12</v>
      </c>
      <c r="L872" s="147">
        <v>1</v>
      </c>
      <c r="M872" s="147">
        <v>13</v>
      </c>
      <c r="N872" s="275"/>
      <c r="O872" s="194"/>
      <c r="P872" s="179"/>
      <c r="Q872" s="173"/>
      <c r="R872" s="260">
        <v>0</v>
      </c>
      <c r="S872" s="167"/>
      <c r="T872" s="138" t="s">
        <v>57</v>
      </c>
      <c r="U872" s="147" t="s">
        <v>37</v>
      </c>
      <c r="V872" s="129"/>
      <c r="W872" s="162" t="s">
        <v>54</v>
      </c>
      <c r="X872" s="205"/>
      <c r="Y872" s="251"/>
      <c r="Z872" s="155"/>
      <c r="AA872" s="230"/>
    </row>
    <row r="873" spans="1:27" s="181" customFormat="1" hidden="1" x14ac:dyDescent="0.25">
      <c r="A873" s="131">
        <v>1</v>
      </c>
      <c r="B873" s="136">
        <v>1405006</v>
      </c>
      <c r="C873" s="128" t="s">
        <v>934</v>
      </c>
      <c r="D873" s="128" t="s">
        <v>1052</v>
      </c>
      <c r="E873" s="147" t="s">
        <v>38</v>
      </c>
      <c r="F873" s="129" t="s">
        <v>966</v>
      </c>
      <c r="G873" s="147" t="s">
        <v>1731</v>
      </c>
      <c r="H873" s="189">
        <f t="shared" si="14"/>
        <v>0</v>
      </c>
      <c r="I873" s="213"/>
      <c r="J873" s="149"/>
      <c r="K873" s="147">
        <v>11</v>
      </c>
      <c r="L873" s="147">
        <v>1</v>
      </c>
      <c r="M873" s="147">
        <v>12</v>
      </c>
      <c r="N873" s="275"/>
      <c r="O873" s="194"/>
      <c r="P873" s="179"/>
      <c r="Q873" s="173"/>
      <c r="R873" s="260">
        <v>0</v>
      </c>
      <c r="S873" s="167"/>
      <c r="T873" s="129" t="s">
        <v>2205</v>
      </c>
      <c r="U873" s="147" t="s">
        <v>37</v>
      </c>
      <c r="V873" s="129"/>
      <c r="W873" s="162" t="s">
        <v>2519</v>
      </c>
      <c r="X873" s="205"/>
      <c r="Y873" s="251"/>
      <c r="Z873" s="155"/>
      <c r="AA873" s="230"/>
    </row>
    <row r="874" spans="1:27" s="181" customFormat="1" ht="24" hidden="1" x14ac:dyDescent="0.25">
      <c r="A874" s="131">
        <v>1</v>
      </c>
      <c r="B874" s="136">
        <v>1405007</v>
      </c>
      <c r="C874" s="128" t="s">
        <v>934</v>
      </c>
      <c r="D874" s="128" t="s">
        <v>1053</v>
      </c>
      <c r="E874" s="147" t="s">
        <v>38</v>
      </c>
      <c r="F874" s="129" t="s">
        <v>1043</v>
      </c>
      <c r="G874" s="147" t="s">
        <v>1731</v>
      </c>
      <c r="H874" s="189">
        <f t="shared" si="14"/>
        <v>0</v>
      </c>
      <c r="I874" s="213"/>
      <c r="J874" s="149"/>
      <c r="K874" s="147">
        <v>11</v>
      </c>
      <c r="L874" s="147">
        <v>1</v>
      </c>
      <c r="M874" s="147">
        <v>12</v>
      </c>
      <c r="N874" s="275"/>
      <c r="O874" s="194"/>
      <c r="P874" s="179"/>
      <c r="Q874" s="173"/>
      <c r="R874" s="260">
        <v>0</v>
      </c>
      <c r="S874" s="167"/>
      <c r="T874" s="129" t="s">
        <v>64</v>
      </c>
      <c r="U874" s="147" t="s">
        <v>37</v>
      </c>
      <c r="V874" s="129"/>
      <c r="W874" s="162" t="s">
        <v>54</v>
      </c>
      <c r="X874" s="205"/>
      <c r="Y874" s="251"/>
      <c r="Z874" s="155"/>
      <c r="AA874" s="230"/>
    </row>
    <row r="875" spans="1:27" s="181" customFormat="1" ht="24" hidden="1" x14ac:dyDescent="0.25">
      <c r="A875" s="131">
        <v>1</v>
      </c>
      <c r="B875" s="136">
        <v>1405008</v>
      </c>
      <c r="C875" s="128" t="s">
        <v>934</v>
      </c>
      <c r="D875" s="128" t="s">
        <v>1055</v>
      </c>
      <c r="E875" s="147" t="s">
        <v>38</v>
      </c>
      <c r="F875" s="129" t="s">
        <v>1043</v>
      </c>
      <c r="G875" s="147" t="s">
        <v>1731</v>
      </c>
      <c r="H875" s="189">
        <f t="shared" si="14"/>
        <v>0</v>
      </c>
      <c r="I875" s="213"/>
      <c r="J875" s="149"/>
      <c r="K875" s="147">
        <v>11</v>
      </c>
      <c r="L875" s="147">
        <v>1</v>
      </c>
      <c r="M875" s="147">
        <v>12</v>
      </c>
      <c r="N875" s="275"/>
      <c r="O875" s="194"/>
      <c r="P875" s="179"/>
      <c r="Q875" s="173"/>
      <c r="R875" s="260">
        <v>0</v>
      </c>
      <c r="S875" s="167"/>
      <c r="T875" s="129" t="s">
        <v>64</v>
      </c>
      <c r="U875" s="147" t="s">
        <v>37</v>
      </c>
      <c r="V875" s="129"/>
      <c r="W875" s="162" t="s">
        <v>54</v>
      </c>
      <c r="X875" s="205"/>
      <c r="Y875" s="251"/>
      <c r="Z875" s="155"/>
      <c r="AA875" s="230"/>
    </row>
    <row r="876" spans="1:27" s="181" customFormat="1" ht="24" hidden="1" x14ac:dyDescent="0.25">
      <c r="A876" s="131">
        <v>1</v>
      </c>
      <c r="B876" s="136">
        <v>1405009</v>
      </c>
      <c r="C876" s="128" t="s">
        <v>934</v>
      </c>
      <c r="D876" s="128" t="s">
        <v>1056</v>
      </c>
      <c r="E876" s="147" t="s">
        <v>38</v>
      </c>
      <c r="F876" s="129" t="s">
        <v>1043</v>
      </c>
      <c r="G876" s="147" t="s">
        <v>1731</v>
      </c>
      <c r="H876" s="189">
        <f t="shared" si="14"/>
        <v>0</v>
      </c>
      <c r="I876" s="213"/>
      <c r="J876" s="149"/>
      <c r="K876" s="147">
        <v>11</v>
      </c>
      <c r="L876" s="147">
        <v>1</v>
      </c>
      <c r="M876" s="147">
        <v>12</v>
      </c>
      <c r="N876" s="275"/>
      <c r="O876" s="194"/>
      <c r="P876" s="179"/>
      <c r="Q876" s="173"/>
      <c r="R876" s="260">
        <v>0</v>
      </c>
      <c r="S876" s="167"/>
      <c r="T876" s="129" t="s">
        <v>64</v>
      </c>
      <c r="U876" s="147" t="s">
        <v>37</v>
      </c>
      <c r="V876" s="129"/>
      <c r="W876" s="162" t="s">
        <v>54</v>
      </c>
      <c r="X876" s="205"/>
      <c r="Y876" s="251"/>
      <c r="Z876" s="155"/>
      <c r="AA876" s="230"/>
    </row>
    <row r="877" spans="1:27" s="181" customFormat="1" ht="24" hidden="1" x14ac:dyDescent="0.25">
      <c r="A877" s="131">
        <v>1</v>
      </c>
      <c r="B877" s="136">
        <v>1405010</v>
      </c>
      <c r="C877" s="128" t="s">
        <v>934</v>
      </c>
      <c r="D877" s="128" t="s">
        <v>1057</v>
      </c>
      <c r="E877" s="147" t="s">
        <v>38</v>
      </c>
      <c r="F877" s="129" t="s">
        <v>1043</v>
      </c>
      <c r="G877" s="147" t="s">
        <v>1731</v>
      </c>
      <c r="H877" s="189">
        <f t="shared" si="14"/>
        <v>0</v>
      </c>
      <c r="I877" s="213"/>
      <c r="J877" s="149"/>
      <c r="K877" s="147">
        <v>11</v>
      </c>
      <c r="L877" s="147">
        <v>1</v>
      </c>
      <c r="M877" s="147">
        <v>12</v>
      </c>
      <c r="N877" s="275"/>
      <c r="O877" s="194"/>
      <c r="P877" s="179"/>
      <c r="Q877" s="173"/>
      <c r="R877" s="260">
        <v>0</v>
      </c>
      <c r="S877" s="167"/>
      <c r="T877" s="129" t="s">
        <v>64</v>
      </c>
      <c r="U877" s="147" t="s">
        <v>37</v>
      </c>
      <c r="V877" s="129"/>
      <c r="W877" s="162" t="s">
        <v>54</v>
      </c>
      <c r="X877" s="205"/>
      <c r="Y877" s="251"/>
      <c r="Z877" s="155"/>
      <c r="AA877" s="230"/>
    </row>
    <row r="878" spans="1:27" s="181" customFormat="1" ht="24" hidden="1" x14ac:dyDescent="0.25">
      <c r="A878" s="131">
        <v>1</v>
      </c>
      <c r="B878" s="136">
        <v>1405011</v>
      </c>
      <c r="C878" s="128" t="s">
        <v>934</v>
      </c>
      <c r="D878" s="128" t="s">
        <v>1058</v>
      </c>
      <c r="E878" s="147" t="s">
        <v>38</v>
      </c>
      <c r="F878" s="129" t="s">
        <v>1043</v>
      </c>
      <c r="G878" s="147" t="s">
        <v>1731</v>
      </c>
      <c r="H878" s="189">
        <f t="shared" si="14"/>
        <v>0</v>
      </c>
      <c r="I878" s="213"/>
      <c r="J878" s="149"/>
      <c r="K878" s="147">
        <v>11</v>
      </c>
      <c r="L878" s="147">
        <v>1</v>
      </c>
      <c r="M878" s="147">
        <v>12</v>
      </c>
      <c r="N878" s="275"/>
      <c r="O878" s="194"/>
      <c r="P878" s="179"/>
      <c r="Q878" s="173"/>
      <c r="R878" s="260">
        <v>0</v>
      </c>
      <c r="S878" s="167"/>
      <c r="T878" s="129" t="s">
        <v>64</v>
      </c>
      <c r="U878" s="147" t="s">
        <v>37</v>
      </c>
      <c r="V878" s="129"/>
      <c r="W878" s="162" t="s">
        <v>54</v>
      </c>
      <c r="X878" s="205"/>
      <c r="Y878" s="251"/>
      <c r="Z878" s="155"/>
      <c r="AA878" s="230"/>
    </row>
    <row r="879" spans="1:27" s="181" customFormat="1" ht="24" hidden="1" x14ac:dyDescent="0.25">
      <c r="A879" s="131">
        <v>1</v>
      </c>
      <c r="B879" s="136">
        <v>1405012</v>
      </c>
      <c r="C879" s="128" t="s">
        <v>934</v>
      </c>
      <c r="D879" s="128" t="s">
        <v>1059</v>
      </c>
      <c r="E879" s="147" t="s">
        <v>38</v>
      </c>
      <c r="F879" s="129" t="s">
        <v>1043</v>
      </c>
      <c r="G879" s="147" t="s">
        <v>1731</v>
      </c>
      <c r="H879" s="189">
        <f t="shared" si="14"/>
        <v>0</v>
      </c>
      <c r="I879" s="213"/>
      <c r="J879" s="149"/>
      <c r="K879" s="147">
        <v>11</v>
      </c>
      <c r="L879" s="147">
        <v>1</v>
      </c>
      <c r="M879" s="147">
        <v>12</v>
      </c>
      <c r="N879" s="275"/>
      <c r="O879" s="194"/>
      <c r="P879" s="179"/>
      <c r="Q879" s="173"/>
      <c r="R879" s="260">
        <v>0</v>
      </c>
      <c r="S879" s="167"/>
      <c r="T879" s="129" t="s">
        <v>64</v>
      </c>
      <c r="U879" s="147" t="s">
        <v>37</v>
      </c>
      <c r="V879" s="129"/>
      <c r="W879" s="162" t="s">
        <v>54</v>
      </c>
      <c r="X879" s="205"/>
      <c r="Y879" s="251"/>
      <c r="Z879" s="155"/>
      <c r="AA879" s="230"/>
    </row>
    <row r="880" spans="1:27" s="181" customFormat="1" hidden="1" x14ac:dyDescent="0.25">
      <c r="A880" s="131">
        <v>1</v>
      </c>
      <c r="B880" s="136">
        <v>1405013</v>
      </c>
      <c r="C880" s="128" t="s">
        <v>934</v>
      </c>
      <c r="D880" s="128" t="s">
        <v>1060</v>
      </c>
      <c r="E880" s="147" t="s">
        <v>38</v>
      </c>
      <c r="F880" s="129" t="s">
        <v>1062</v>
      </c>
      <c r="G880" s="147" t="s">
        <v>1731</v>
      </c>
      <c r="H880" s="189">
        <f t="shared" si="14"/>
        <v>0</v>
      </c>
      <c r="I880" s="213"/>
      <c r="J880" s="149"/>
      <c r="K880" s="147"/>
      <c r="L880" s="147"/>
      <c r="M880" s="147">
        <v>6</v>
      </c>
      <c r="N880" s="275">
        <v>600</v>
      </c>
      <c r="O880" s="194"/>
      <c r="P880" s="179"/>
      <c r="Q880" s="173"/>
      <c r="R880" s="260">
        <v>0</v>
      </c>
      <c r="S880" s="167"/>
      <c r="T880" s="129" t="s">
        <v>64</v>
      </c>
      <c r="U880" s="147" t="s">
        <v>37</v>
      </c>
      <c r="V880" s="129"/>
      <c r="W880" s="162" t="s">
        <v>54</v>
      </c>
      <c r="X880" s="205"/>
      <c r="Y880" s="251"/>
      <c r="Z880" s="155"/>
      <c r="AA880" s="230"/>
    </row>
    <row r="881" spans="1:27" s="181" customFormat="1" ht="24" hidden="1" x14ac:dyDescent="0.25">
      <c r="A881" s="131">
        <v>1</v>
      </c>
      <c r="B881" s="136">
        <v>1405015</v>
      </c>
      <c r="C881" s="128" t="s">
        <v>934</v>
      </c>
      <c r="D881" s="128" t="s">
        <v>1063</v>
      </c>
      <c r="E881" s="147" t="s">
        <v>38</v>
      </c>
      <c r="F881" s="129" t="s">
        <v>1043</v>
      </c>
      <c r="G881" s="147" t="s">
        <v>1731</v>
      </c>
      <c r="H881" s="189">
        <f t="shared" si="14"/>
        <v>0</v>
      </c>
      <c r="I881" s="213"/>
      <c r="J881" s="149"/>
      <c r="K881" s="147">
        <v>11</v>
      </c>
      <c r="L881" s="147">
        <v>1</v>
      </c>
      <c r="M881" s="147">
        <v>12</v>
      </c>
      <c r="N881" s="275"/>
      <c r="O881" s="194"/>
      <c r="P881" s="179"/>
      <c r="Q881" s="173"/>
      <c r="R881" s="260">
        <v>0</v>
      </c>
      <c r="S881" s="167"/>
      <c r="T881" s="129" t="s">
        <v>64</v>
      </c>
      <c r="U881" s="147" t="s">
        <v>37</v>
      </c>
      <c r="V881" s="129"/>
      <c r="W881" s="162" t="s">
        <v>54</v>
      </c>
      <c r="X881" s="205"/>
      <c r="Y881" s="251"/>
      <c r="Z881" s="155"/>
      <c r="AA881" s="230"/>
    </row>
    <row r="882" spans="1:27" s="181" customFormat="1" ht="24" hidden="1" x14ac:dyDescent="0.25">
      <c r="A882" s="131">
        <v>1</v>
      </c>
      <c r="B882" s="136">
        <v>1405016</v>
      </c>
      <c r="C882" s="128" t="s">
        <v>934</v>
      </c>
      <c r="D882" s="128" t="s">
        <v>1065</v>
      </c>
      <c r="E882" s="147" t="s">
        <v>38</v>
      </c>
      <c r="F882" s="129" t="s">
        <v>1043</v>
      </c>
      <c r="G882" s="147" t="s">
        <v>1731</v>
      </c>
      <c r="H882" s="189">
        <f t="shared" si="14"/>
        <v>0</v>
      </c>
      <c r="I882" s="213"/>
      <c r="J882" s="149"/>
      <c r="K882" s="147">
        <v>11</v>
      </c>
      <c r="L882" s="147">
        <v>1</v>
      </c>
      <c r="M882" s="147">
        <v>12</v>
      </c>
      <c r="N882" s="275"/>
      <c r="O882" s="194"/>
      <c r="P882" s="179"/>
      <c r="Q882" s="173"/>
      <c r="R882" s="260">
        <v>0</v>
      </c>
      <c r="S882" s="167"/>
      <c r="T882" s="129" t="s">
        <v>64</v>
      </c>
      <c r="U882" s="147" t="s">
        <v>37</v>
      </c>
      <c r="V882" s="129"/>
      <c r="W882" s="162" t="s">
        <v>54</v>
      </c>
      <c r="X882" s="205"/>
      <c r="Y882" s="251"/>
      <c r="Z882" s="155"/>
      <c r="AA882" s="230"/>
    </row>
    <row r="883" spans="1:27" s="181" customFormat="1" ht="24" hidden="1" x14ac:dyDescent="0.25">
      <c r="A883" s="131">
        <v>1</v>
      </c>
      <c r="B883" s="136">
        <v>1405017</v>
      </c>
      <c r="C883" s="128" t="s">
        <v>934</v>
      </c>
      <c r="D883" s="128" t="s">
        <v>1066</v>
      </c>
      <c r="E883" s="147" t="s">
        <v>38</v>
      </c>
      <c r="F883" s="129" t="s">
        <v>1043</v>
      </c>
      <c r="G883" s="147" t="s">
        <v>1731</v>
      </c>
      <c r="H883" s="189">
        <f t="shared" si="14"/>
        <v>0</v>
      </c>
      <c r="I883" s="213"/>
      <c r="J883" s="149"/>
      <c r="K883" s="147">
        <v>11</v>
      </c>
      <c r="L883" s="147">
        <v>1</v>
      </c>
      <c r="M883" s="147">
        <v>12</v>
      </c>
      <c r="N883" s="275"/>
      <c r="O883" s="194"/>
      <c r="P883" s="179"/>
      <c r="Q883" s="173"/>
      <c r="R883" s="260">
        <v>0</v>
      </c>
      <c r="S883" s="167"/>
      <c r="T883" s="129" t="s">
        <v>64</v>
      </c>
      <c r="U883" s="147" t="s">
        <v>37</v>
      </c>
      <c r="V883" s="129"/>
      <c r="W883" s="162" t="s">
        <v>54</v>
      </c>
      <c r="X883" s="205"/>
      <c r="Y883" s="251"/>
      <c r="Z883" s="155"/>
      <c r="AA883" s="230"/>
    </row>
    <row r="884" spans="1:27" s="181" customFormat="1" ht="24" hidden="1" x14ac:dyDescent="0.25">
      <c r="A884" s="131">
        <v>1</v>
      </c>
      <c r="B884" s="136">
        <v>1405018</v>
      </c>
      <c r="C884" s="128" t="s">
        <v>934</v>
      </c>
      <c r="D884" s="128" t="s">
        <v>1067</v>
      </c>
      <c r="E884" s="147" t="s">
        <v>38</v>
      </c>
      <c r="F884" s="129" t="s">
        <v>1043</v>
      </c>
      <c r="G884" s="147" t="s">
        <v>1731</v>
      </c>
      <c r="H884" s="189">
        <f t="shared" si="14"/>
        <v>0</v>
      </c>
      <c r="I884" s="213"/>
      <c r="J884" s="149"/>
      <c r="K884" s="147">
        <v>11</v>
      </c>
      <c r="L884" s="147">
        <v>1</v>
      </c>
      <c r="M884" s="147">
        <v>12</v>
      </c>
      <c r="N884" s="275"/>
      <c r="O884" s="194"/>
      <c r="P884" s="179"/>
      <c r="Q884" s="173"/>
      <c r="R884" s="260">
        <v>0</v>
      </c>
      <c r="S884" s="167"/>
      <c r="T884" s="129" t="s">
        <v>64</v>
      </c>
      <c r="U884" s="147" t="s">
        <v>37</v>
      </c>
      <c r="V884" s="129"/>
      <c r="W884" s="162" t="s">
        <v>54</v>
      </c>
      <c r="X884" s="205"/>
      <c r="Y884" s="251"/>
      <c r="Z884" s="155"/>
      <c r="AA884" s="230"/>
    </row>
    <row r="885" spans="1:27" s="181" customFormat="1" ht="24" hidden="1" x14ac:dyDescent="0.25">
      <c r="A885" s="131">
        <v>1</v>
      </c>
      <c r="B885" s="136">
        <v>1405019</v>
      </c>
      <c r="C885" s="128" t="s">
        <v>934</v>
      </c>
      <c r="D885" s="128" t="s">
        <v>1068</v>
      </c>
      <c r="E885" s="147" t="s">
        <v>38</v>
      </c>
      <c r="F885" s="129" t="s">
        <v>1043</v>
      </c>
      <c r="G885" s="147" t="s">
        <v>1731</v>
      </c>
      <c r="H885" s="189">
        <f t="shared" si="14"/>
        <v>0</v>
      </c>
      <c r="I885" s="213"/>
      <c r="J885" s="149"/>
      <c r="K885" s="147">
        <v>11</v>
      </c>
      <c r="L885" s="147">
        <v>1</v>
      </c>
      <c r="M885" s="147">
        <v>12</v>
      </c>
      <c r="N885" s="275"/>
      <c r="O885" s="194"/>
      <c r="P885" s="179"/>
      <c r="Q885" s="173"/>
      <c r="R885" s="260">
        <v>0</v>
      </c>
      <c r="S885" s="167"/>
      <c r="T885" s="129" t="s">
        <v>64</v>
      </c>
      <c r="U885" s="147" t="s">
        <v>37</v>
      </c>
      <c r="V885" s="129"/>
      <c r="W885" s="162" t="s">
        <v>54</v>
      </c>
      <c r="X885" s="205"/>
      <c r="Y885" s="251"/>
      <c r="Z885" s="155"/>
      <c r="AA885" s="230"/>
    </row>
    <row r="886" spans="1:27" s="181" customFormat="1" ht="24" hidden="1" x14ac:dyDescent="0.25">
      <c r="A886" s="131">
        <v>1</v>
      </c>
      <c r="B886" s="136">
        <v>1405020</v>
      </c>
      <c r="C886" s="128" t="s">
        <v>934</v>
      </c>
      <c r="D886" s="128" t="s">
        <v>1069</v>
      </c>
      <c r="E886" s="147" t="s">
        <v>38</v>
      </c>
      <c r="F886" s="129" t="s">
        <v>1043</v>
      </c>
      <c r="G886" s="147" t="s">
        <v>1731</v>
      </c>
      <c r="H886" s="189">
        <f t="shared" si="14"/>
        <v>0</v>
      </c>
      <c r="I886" s="213"/>
      <c r="J886" s="149"/>
      <c r="K886" s="147">
        <v>11</v>
      </c>
      <c r="L886" s="147">
        <v>1</v>
      </c>
      <c r="M886" s="147">
        <v>12</v>
      </c>
      <c r="N886" s="275"/>
      <c r="O886" s="194"/>
      <c r="P886" s="179"/>
      <c r="Q886" s="173"/>
      <c r="R886" s="260">
        <v>0</v>
      </c>
      <c r="S886" s="167"/>
      <c r="T886" s="129" t="s">
        <v>64</v>
      </c>
      <c r="U886" s="147" t="s">
        <v>37</v>
      </c>
      <c r="V886" s="129"/>
      <c r="W886" s="162" t="s">
        <v>54</v>
      </c>
      <c r="X886" s="205"/>
      <c r="Y886" s="251"/>
      <c r="Z886" s="155"/>
      <c r="AA886" s="230"/>
    </row>
    <row r="887" spans="1:27" s="181" customFormat="1" hidden="1" x14ac:dyDescent="0.25">
      <c r="A887" s="131">
        <v>1</v>
      </c>
      <c r="B887" s="136">
        <v>1405021</v>
      </c>
      <c r="C887" s="128" t="s">
        <v>934</v>
      </c>
      <c r="D887" s="128" t="s">
        <v>1070</v>
      </c>
      <c r="E887" s="147" t="s">
        <v>38</v>
      </c>
      <c r="F887" s="129" t="s">
        <v>1016</v>
      </c>
      <c r="G887" s="147" t="s">
        <v>1731</v>
      </c>
      <c r="H887" s="189">
        <f t="shared" si="14"/>
        <v>0</v>
      </c>
      <c r="I887" s="213"/>
      <c r="J887" s="149"/>
      <c r="K887" s="147">
        <v>11</v>
      </c>
      <c r="L887" s="147">
        <v>1</v>
      </c>
      <c r="M887" s="147">
        <v>12</v>
      </c>
      <c r="N887" s="275"/>
      <c r="O887" s="194"/>
      <c r="P887" s="179"/>
      <c r="Q887" s="173"/>
      <c r="R887" s="260">
        <v>0</v>
      </c>
      <c r="S887" s="167"/>
      <c r="T887" s="129" t="s">
        <v>496</v>
      </c>
      <c r="U887" s="147" t="s">
        <v>37</v>
      </c>
      <c r="V887" s="129"/>
      <c r="W887" s="162" t="s">
        <v>54</v>
      </c>
      <c r="X887" s="205"/>
      <c r="Y887" s="251"/>
      <c r="Z887" s="155"/>
      <c r="AA887" s="230"/>
    </row>
    <row r="888" spans="1:27" s="181" customFormat="1" hidden="1" x14ac:dyDescent="0.25">
      <c r="A888" s="131">
        <v>1</v>
      </c>
      <c r="B888" s="136">
        <v>1405022</v>
      </c>
      <c r="C888" s="128" t="s">
        <v>934</v>
      </c>
      <c r="D888" s="128" t="s">
        <v>1071</v>
      </c>
      <c r="E888" s="147" t="s">
        <v>38</v>
      </c>
      <c r="F888" s="129" t="s">
        <v>1016</v>
      </c>
      <c r="G888" s="147" t="s">
        <v>1731</v>
      </c>
      <c r="H888" s="189">
        <f t="shared" si="14"/>
        <v>0</v>
      </c>
      <c r="I888" s="213"/>
      <c r="J888" s="149"/>
      <c r="K888" s="147">
        <v>11</v>
      </c>
      <c r="L888" s="147">
        <v>1</v>
      </c>
      <c r="M888" s="147">
        <v>12</v>
      </c>
      <c r="N888" s="275"/>
      <c r="O888" s="194"/>
      <c r="P888" s="179"/>
      <c r="Q888" s="173"/>
      <c r="R888" s="260">
        <v>0</v>
      </c>
      <c r="S888" s="167"/>
      <c r="T888" s="129" t="s">
        <v>496</v>
      </c>
      <c r="U888" s="147" t="s">
        <v>37</v>
      </c>
      <c r="V888" s="129"/>
      <c r="W888" s="162" t="s">
        <v>54</v>
      </c>
      <c r="X888" s="205"/>
      <c r="Y888" s="251"/>
      <c r="Z888" s="155"/>
      <c r="AA888" s="230"/>
    </row>
    <row r="889" spans="1:27" s="181" customFormat="1" hidden="1" x14ac:dyDescent="0.25">
      <c r="A889" s="131">
        <v>1</v>
      </c>
      <c r="B889" s="136">
        <v>1405023</v>
      </c>
      <c r="C889" s="128" t="s">
        <v>934</v>
      </c>
      <c r="D889" s="128" t="s">
        <v>1072</v>
      </c>
      <c r="E889" s="147" t="s">
        <v>38</v>
      </c>
      <c r="F889" s="129" t="s">
        <v>1016</v>
      </c>
      <c r="G889" s="147" t="s">
        <v>1731</v>
      </c>
      <c r="H889" s="189">
        <f t="shared" si="14"/>
        <v>0</v>
      </c>
      <c r="I889" s="213"/>
      <c r="J889" s="149"/>
      <c r="K889" s="147">
        <v>11</v>
      </c>
      <c r="L889" s="147">
        <v>1</v>
      </c>
      <c r="M889" s="147">
        <v>12</v>
      </c>
      <c r="N889" s="275"/>
      <c r="O889" s="194"/>
      <c r="P889" s="179"/>
      <c r="Q889" s="173"/>
      <c r="R889" s="260">
        <v>0</v>
      </c>
      <c r="S889" s="167"/>
      <c r="T889" s="129" t="s">
        <v>496</v>
      </c>
      <c r="U889" s="147" t="s">
        <v>37</v>
      </c>
      <c r="V889" s="129"/>
      <c r="W889" s="162" t="s">
        <v>54</v>
      </c>
      <c r="X889" s="205"/>
      <c r="Y889" s="251"/>
      <c r="Z889" s="155"/>
      <c r="AA889" s="230"/>
    </row>
    <row r="890" spans="1:27" s="181" customFormat="1" hidden="1" x14ac:dyDescent="0.25">
      <c r="A890" s="131">
        <v>1</v>
      </c>
      <c r="B890" s="136">
        <v>1405024</v>
      </c>
      <c r="C890" s="128" t="s">
        <v>934</v>
      </c>
      <c r="D890" s="128" t="s">
        <v>1073</v>
      </c>
      <c r="E890" s="147" t="s">
        <v>38</v>
      </c>
      <c r="F890" s="129" t="s">
        <v>1075</v>
      </c>
      <c r="G890" s="147" t="s">
        <v>1731</v>
      </c>
      <c r="H890" s="189">
        <f t="shared" si="14"/>
        <v>0</v>
      </c>
      <c r="I890" s="180" t="s">
        <v>2213</v>
      </c>
      <c r="J890" s="148">
        <v>45</v>
      </c>
      <c r="K890" s="147">
        <v>1</v>
      </c>
      <c r="L890" s="147">
        <v>1</v>
      </c>
      <c r="M890" s="147">
        <v>2</v>
      </c>
      <c r="N890" s="275"/>
      <c r="O890" s="194"/>
      <c r="P890" s="179"/>
      <c r="Q890" s="173"/>
      <c r="R890" s="260">
        <v>0</v>
      </c>
      <c r="S890" s="167" t="s">
        <v>35</v>
      </c>
      <c r="T890" s="129" t="s">
        <v>64</v>
      </c>
      <c r="U890" s="147" t="s">
        <v>35</v>
      </c>
      <c r="V890" s="129"/>
      <c r="W890" s="162" t="s">
        <v>54</v>
      </c>
      <c r="X890" s="205"/>
      <c r="Y890" s="251"/>
      <c r="Z890" s="290"/>
      <c r="AA890" s="286"/>
    </row>
    <row r="891" spans="1:27" s="181" customFormat="1" hidden="1" x14ac:dyDescent="0.25">
      <c r="A891" s="131">
        <v>1</v>
      </c>
      <c r="B891" s="136">
        <v>1405025</v>
      </c>
      <c r="C891" s="128" t="s">
        <v>934</v>
      </c>
      <c r="D891" s="128" t="s">
        <v>1079</v>
      </c>
      <c r="E891" s="147" t="s">
        <v>38</v>
      </c>
      <c r="F891" s="129" t="s">
        <v>1075</v>
      </c>
      <c r="G891" s="147" t="s">
        <v>1731</v>
      </c>
      <c r="H891" s="189">
        <f t="shared" si="14"/>
        <v>0</v>
      </c>
      <c r="I891" s="180" t="s">
        <v>2213</v>
      </c>
      <c r="J891" s="148">
        <v>45</v>
      </c>
      <c r="K891" s="147">
        <v>1</v>
      </c>
      <c r="L891" s="147">
        <v>1</v>
      </c>
      <c r="M891" s="147">
        <v>2</v>
      </c>
      <c r="N891" s="275"/>
      <c r="O891" s="194"/>
      <c r="P891" s="179"/>
      <c r="Q891" s="173"/>
      <c r="R891" s="260">
        <v>0</v>
      </c>
      <c r="S891" s="167" t="s">
        <v>35</v>
      </c>
      <c r="T891" s="129" t="s">
        <v>64</v>
      </c>
      <c r="U891" s="147" t="s">
        <v>35</v>
      </c>
      <c r="V891" s="129"/>
      <c r="W891" s="162" t="s">
        <v>54</v>
      </c>
      <c r="X891" s="205"/>
      <c r="Y891" s="251"/>
      <c r="Z891" s="290"/>
      <c r="AA891" s="286"/>
    </row>
    <row r="892" spans="1:27" s="181" customFormat="1" hidden="1" x14ac:dyDescent="0.25">
      <c r="A892" s="131">
        <v>1</v>
      </c>
      <c r="B892" s="136">
        <v>1405026</v>
      </c>
      <c r="C892" s="128" t="s">
        <v>934</v>
      </c>
      <c r="D892" s="128" t="s">
        <v>1081</v>
      </c>
      <c r="E892" s="147" t="s">
        <v>38</v>
      </c>
      <c r="F892" s="129" t="s">
        <v>1043</v>
      </c>
      <c r="G892" s="147" t="s">
        <v>1731</v>
      </c>
      <c r="H892" s="189">
        <f t="shared" si="14"/>
        <v>0</v>
      </c>
      <c r="I892" s="213"/>
      <c r="J892" s="149"/>
      <c r="K892" s="147"/>
      <c r="L892" s="147"/>
      <c r="M892" s="147">
        <v>12</v>
      </c>
      <c r="N892" s="275">
        <v>5000</v>
      </c>
      <c r="O892" s="194"/>
      <c r="P892" s="179"/>
      <c r="Q892" s="173"/>
      <c r="R892" s="260">
        <v>0</v>
      </c>
      <c r="S892" s="167"/>
      <c r="T892" s="129" t="s">
        <v>64</v>
      </c>
      <c r="U892" s="147" t="s">
        <v>37</v>
      </c>
      <c r="V892" s="129"/>
      <c r="W892" s="162" t="s">
        <v>54</v>
      </c>
      <c r="X892" s="205"/>
      <c r="Y892" s="251"/>
      <c r="Z892" s="155"/>
      <c r="AA892" s="230"/>
    </row>
    <row r="893" spans="1:27" s="181" customFormat="1" hidden="1" x14ac:dyDescent="0.25">
      <c r="A893" s="131">
        <v>1</v>
      </c>
      <c r="B893" s="136">
        <v>1405027</v>
      </c>
      <c r="C893" s="128" t="s">
        <v>934</v>
      </c>
      <c r="D893" s="128" t="s">
        <v>1082</v>
      </c>
      <c r="E893" s="147" t="s">
        <v>38</v>
      </c>
      <c r="F893" s="129" t="s">
        <v>1043</v>
      </c>
      <c r="G893" s="147" t="s">
        <v>1731</v>
      </c>
      <c r="H893" s="189">
        <f t="shared" si="14"/>
        <v>0</v>
      </c>
      <c r="I893" s="213"/>
      <c r="J893" s="149"/>
      <c r="K893" s="147"/>
      <c r="L893" s="147"/>
      <c r="M893" s="147">
        <v>12</v>
      </c>
      <c r="N893" s="275">
        <v>4000</v>
      </c>
      <c r="O893" s="194"/>
      <c r="P893" s="179"/>
      <c r="Q893" s="173"/>
      <c r="R893" s="260">
        <v>0</v>
      </c>
      <c r="S893" s="167"/>
      <c r="T893" s="129" t="s">
        <v>64</v>
      </c>
      <c r="U893" s="147" t="s">
        <v>37</v>
      </c>
      <c r="V893" s="129"/>
      <c r="W893" s="162" t="s">
        <v>54</v>
      </c>
      <c r="X893" s="205"/>
      <c r="Y893" s="251"/>
      <c r="Z893" s="155"/>
      <c r="AA893" s="230"/>
    </row>
    <row r="894" spans="1:27" s="181" customFormat="1" ht="24" hidden="1" x14ac:dyDescent="0.25">
      <c r="A894" s="131">
        <v>1</v>
      </c>
      <c r="B894" s="136">
        <v>1405028</v>
      </c>
      <c r="C894" s="128" t="s">
        <v>934</v>
      </c>
      <c r="D894" s="128" t="s">
        <v>1083</v>
      </c>
      <c r="E894" s="147" t="s">
        <v>38</v>
      </c>
      <c r="F894" s="129" t="s">
        <v>1043</v>
      </c>
      <c r="G894" s="147" t="s">
        <v>1731</v>
      </c>
      <c r="H894" s="189">
        <f t="shared" si="14"/>
        <v>0</v>
      </c>
      <c r="I894" s="213"/>
      <c r="J894" s="149"/>
      <c r="K894" s="147"/>
      <c r="L894" s="147"/>
      <c r="M894" s="147">
        <v>12</v>
      </c>
      <c r="N894" s="275">
        <v>2500</v>
      </c>
      <c r="O894" s="194"/>
      <c r="P894" s="179"/>
      <c r="Q894" s="173"/>
      <c r="R894" s="260">
        <v>0</v>
      </c>
      <c r="S894" s="167"/>
      <c r="T894" s="129" t="s">
        <v>64</v>
      </c>
      <c r="U894" s="147" t="s">
        <v>37</v>
      </c>
      <c r="V894" s="129"/>
      <c r="W894" s="162" t="s">
        <v>54</v>
      </c>
      <c r="X894" s="205"/>
      <c r="Y894" s="251"/>
      <c r="Z894" s="155"/>
      <c r="AA894" s="230"/>
    </row>
    <row r="895" spans="1:27" s="181" customFormat="1" hidden="1" x14ac:dyDescent="0.25">
      <c r="A895" s="131">
        <v>1</v>
      </c>
      <c r="B895" s="136">
        <v>1405029</v>
      </c>
      <c r="C895" s="128" t="s">
        <v>934</v>
      </c>
      <c r="D895" s="128" t="s">
        <v>1084</v>
      </c>
      <c r="E895" s="147" t="s">
        <v>38</v>
      </c>
      <c r="F895" s="129" t="s">
        <v>1043</v>
      </c>
      <c r="G895" s="147" t="s">
        <v>1731</v>
      </c>
      <c r="H895" s="189">
        <f t="shared" si="14"/>
        <v>0</v>
      </c>
      <c r="I895" s="213"/>
      <c r="J895" s="149"/>
      <c r="K895" s="147"/>
      <c r="L895" s="147"/>
      <c r="M895" s="147">
        <v>12</v>
      </c>
      <c r="N895" s="275">
        <v>1000</v>
      </c>
      <c r="O895" s="194"/>
      <c r="P895" s="179"/>
      <c r="Q895" s="173"/>
      <c r="R895" s="260">
        <v>0</v>
      </c>
      <c r="S895" s="167"/>
      <c r="T895" s="129" t="s">
        <v>64</v>
      </c>
      <c r="U895" s="147" t="s">
        <v>37</v>
      </c>
      <c r="V895" s="129"/>
      <c r="W895" s="162" t="s">
        <v>54</v>
      </c>
      <c r="X895" s="205"/>
      <c r="Y895" s="251"/>
      <c r="Z895" s="155"/>
      <c r="AA895" s="230"/>
    </row>
    <row r="896" spans="1:27" s="181" customFormat="1" hidden="1" x14ac:dyDescent="0.25">
      <c r="A896" s="131">
        <v>1</v>
      </c>
      <c r="B896" s="136">
        <v>1405030</v>
      </c>
      <c r="C896" s="128" t="s">
        <v>934</v>
      </c>
      <c r="D896" s="128" t="s">
        <v>1085</v>
      </c>
      <c r="E896" s="147" t="s">
        <v>38</v>
      </c>
      <c r="F896" s="129" t="s">
        <v>1043</v>
      </c>
      <c r="G896" s="147" t="s">
        <v>1731</v>
      </c>
      <c r="H896" s="189">
        <f t="shared" si="14"/>
        <v>0</v>
      </c>
      <c r="I896" s="213"/>
      <c r="J896" s="149"/>
      <c r="K896" s="147"/>
      <c r="L896" s="147"/>
      <c r="M896" s="147">
        <v>12</v>
      </c>
      <c r="N896" s="275">
        <v>10000</v>
      </c>
      <c r="O896" s="194"/>
      <c r="P896" s="179"/>
      <c r="Q896" s="173"/>
      <c r="R896" s="260">
        <v>0</v>
      </c>
      <c r="S896" s="167"/>
      <c r="T896" s="129" t="s">
        <v>64</v>
      </c>
      <c r="U896" s="147" t="s">
        <v>37</v>
      </c>
      <c r="V896" s="129"/>
      <c r="W896" s="162" t="s">
        <v>54</v>
      </c>
      <c r="X896" s="205"/>
      <c r="Y896" s="251"/>
      <c r="Z896" s="155"/>
      <c r="AA896" s="230"/>
    </row>
    <row r="897" spans="1:27" s="181" customFormat="1" ht="24" hidden="1" x14ac:dyDescent="0.25">
      <c r="A897" s="131">
        <v>1</v>
      </c>
      <c r="B897" s="136">
        <v>1405031</v>
      </c>
      <c r="C897" s="128" t="s">
        <v>934</v>
      </c>
      <c r="D897" s="128" t="s">
        <v>1086</v>
      </c>
      <c r="E897" s="147" t="s">
        <v>38</v>
      </c>
      <c r="F897" s="129" t="s">
        <v>1043</v>
      </c>
      <c r="G897" s="147" t="s">
        <v>1731</v>
      </c>
      <c r="H897" s="189">
        <f t="shared" si="14"/>
        <v>0</v>
      </c>
      <c r="I897" s="213"/>
      <c r="J897" s="149"/>
      <c r="K897" s="147">
        <v>11</v>
      </c>
      <c r="L897" s="147">
        <v>1</v>
      </c>
      <c r="M897" s="147">
        <v>12</v>
      </c>
      <c r="N897" s="275"/>
      <c r="O897" s="194"/>
      <c r="P897" s="179"/>
      <c r="Q897" s="173"/>
      <c r="R897" s="260">
        <v>0</v>
      </c>
      <c r="S897" s="167"/>
      <c r="T897" s="129" t="s">
        <v>64</v>
      </c>
      <c r="U897" s="147" t="s">
        <v>37</v>
      </c>
      <c r="V897" s="129"/>
      <c r="W897" s="162" t="s">
        <v>54</v>
      </c>
      <c r="X897" s="205"/>
      <c r="Y897" s="251"/>
      <c r="Z897" s="155"/>
      <c r="AA897" s="230"/>
    </row>
    <row r="898" spans="1:27" s="181" customFormat="1" ht="24" hidden="1" x14ac:dyDescent="0.25">
      <c r="A898" s="131">
        <v>1</v>
      </c>
      <c r="B898" s="136">
        <v>1405032</v>
      </c>
      <c r="C898" s="128" t="s">
        <v>934</v>
      </c>
      <c r="D898" s="128" t="s">
        <v>1088</v>
      </c>
      <c r="E898" s="147" t="s">
        <v>38</v>
      </c>
      <c r="F898" s="129" t="s">
        <v>1043</v>
      </c>
      <c r="G898" s="147" t="s">
        <v>1731</v>
      </c>
      <c r="H898" s="189">
        <f t="shared" si="14"/>
        <v>0</v>
      </c>
      <c r="I898" s="213"/>
      <c r="J898" s="149"/>
      <c r="K898" s="147">
        <v>11</v>
      </c>
      <c r="L898" s="147">
        <v>1</v>
      </c>
      <c r="M898" s="147">
        <v>12</v>
      </c>
      <c r="N898" s="275"/>
      <c r="O898" s="194"/>
      <c r="P898" s="179"/>
      <c r="Q898" s="173"/>
      <c r="R898" s="260">
        <v>0</v>
      </c>
      <c r="S898" s="167"/>
      <c r="T898" s="129" t="s">
        <v>64</v>
      </c>
      <c r="U898" s="147" t="s">
        <v>37</v>
      </c>
      <c r="V898" s="129"/>
      <c r="W898" s="162" t="s">
        <v>54</v>
      </c>
      <c r="X898" s="205"/>
      <c r="Y898" s="251"/>
      <c r="Z898" s="155"/>
      <c r="AA898" s="230"/>
    </row>
    <row r="899" spans="1:27" s="181" customFormat="1" ht="24" hidden="1" x14ac:dyDescent="0.25">
      <c r="A899" s="131">
        <v>1</v>
      </c>
      <c r="B899" s="136">
        <v>1405033</v>
      </c>
      <c r="C899" s="128" t="s">
        <v>934</v>
      </c>
      <c r="D899" s="128" t="s">
        <v>1089</v>
      </c>
      <c r="E899" s="147" t="s">
        <v>38</v>
      </c>
      <c r="F899" s="129" t="s">
        <v>1043</v>
      </c>
      <c r="G899" s="147" t="s">
        <v>1731</v>
      </c>
      <c r="H899" s="189">
        <f t="shared" ref="H899:H962" si="15">Q899+R899</f>
        <v>0</v>
      </c>
      <c r="I899" s="213"/>
      <c r="J899" s="149"/>
      <c r="K899" s="147">
        <v>11</v>
      </c>
      <c r="L899" s="147">
        <v>1</v>
      </c>
      <c r="M899" s="147">
        <v>12</v>
      </c>
      <c r="N899" s="275"/>
      <c r="O899" s="194"/>
      <c r="P899" s="179"/>
      <c r="Q899" s="173"/>
      <c r="R899" s="260">
        <v>0</v>
      </c>
      <c r="S899" s="167"/>
      <c r="T899" s="129" t="s">
        <v>64</v>
      </c>
      <c r="U899" s="147" t="s">
        <v>37</v>
      </c>
      <c r="V899" s="129"/>
      <c r="W899" s="162" t="s">
        <v>54</v>
      </c>
      <c r="X899" s="205"/>
      <c r="Y899" s="251"/>
      <c r="Z899" s="155"/>
      <c r="AA899" s="230"/>
    </row>
    <row r="900" spans="1:27" s="181" customFormat="1" ht="24" hidden="1" x14ac:dyDescent="0.25">
      <c r="A900" s="131">
        <v>1</v>
      </c>
      <c r="B900" s="136">
        <v>1405034</v>
      </c>
      <c r="C900" s="128" t="s">
        <v>934</v>
      </c>
      <c r="D900" s="128" t="s">
        <v>1090</v>
      </c>
      <c r="E900" s="147" t="s">
        <v>38</v>
      </c>
      <c r="F900" s="129" t="s">
        <v>1043</v>
      </c>
      <c r="G900" s="147" t="s">
        <v>1731</v>
      </c>
      <c r="H900" s="189">
        <f t="shared" si="15"/>
        <v>0</v>
      </c>
      <c r="I900" s="213"/>
      <c r="J900" s="149"/>
      <c r="K900" s="147">
        <v>11</v>
      </c>
      <c r="L900" s="147">
        <v>1</v>
      </c>
      <c r="M900" s="147">
        <v>12</v>
      </c>
      <c r="N900" s="275"/>
      <c r="O900" s="194"/>
      <c r="P900" s="179"/>
      <c r="Q900" s="173"/>
      <c r="R900" s="260">
        <v>0</v>
      </c>
      <c r="S900" s="167"/>
      <c r="T900" s="129" t="s">
        <v>64</v>
      </c>
      <c r="U900" s="147" t="s">
        <v>37</v>
      </c>
      <c r="V900" s="129"/>
      <c r="W900" s="162" t="s">
        <v>54</v>
      </c>
      <c r="X900" s="205"/>
      <c r="Y900" s="251"/>
      <c r="Z900" s="155"/>
      <c r="AA900" s="230"/>
    </row>
    <row r="901" spans="1:27" s="181" customFormat="1" ht="24" hidden="1" x14ac:dyDescent="0.25">
      <c r="A901" s="131">
        <v>1</v>
      </c>
      <c r="B901" s="136">
        <v>1405035</v>
      </c>
      <c r="C901" s="128" t="s">
        <v>934</v>
      </c>
      <c r="D901" s="128" t="s">
        <v>1091</v>
      </c>
      <c r="E901" s="147" t="s">
        <v>38</v>
      </c>
      <c r="F901" s="129" t="s">
        <v>1043</v>
      </c>
      <c r="G901" s="147" t="s">
        <v>1731</v>
      </c>
      <c r="H901" s="189">
        <f t="shared" si="15"/>
        <v>0</v>
      </c>
      <c r="I901" s="213"/>
      <c r="J901" s="149"/>
      <c r="K901" s="147">
        <v>11</v>
      </c>
      <c r="L901" s="147">
        <v>1</v>
      </c>
      <c r="M901" s="147">
        <v>12</v>
      </c>
      <c r="N901" s="275"/>
      <c r="O901" s="194"/>
      <c r="P901" s="179"/>
      <c r="Q901" s="173"/>
      <c r="R901" s="260">
        <v>0</v>
      </c>
      <c r="S901" s="167"/>
      <c r="T901" s="129" t="s">
        <v>64</v>
      </c>
      <c r="U901" s="147" t="s">
        <v>37</v>
      </c>
      <c r="V901" s="129"/>
      <c r="W901" s="162" t="s">
        <v>54</v>
      </c>
      <c r="X901" s="205"/>
      <c r="Y901" s="251"/>
      <c r="Z901" s="155"/>
      <c r="AA901" s="230"/>
    </row>
    <row r="902" spans="1:27" s="181" customFormat="1" ht="24" hidden="1" x14ac:dyDescent="0.25">
      <c r="A902" s="131">
        <v>1</v>
      </c>
      <c r="B902" s="136">
        <v>1405036</v>
      </c>
      <c r="C902" s="128" t="s">
        <v>934</v>
      </c>
      <c r="D902" s="128" t="s">
        <v>1092</v>
      </c>
      <c r="E902" s="147" t="s">
        <v>38</v>
      </c>
      <c r="F902" s="129" t="s">
        <v>1043</v>
      </c>
      <c r="G902" s="147" t="s">
        <v>1731</v>
      </c>
      <c r="H902" s="189">
        <f t="shared" si="15"/>
        <v>0</v>
      </c>
      <c r="I902" s="213"/>
      <c r="J902" s="149"/>
      <c r="K902" s="147">
        <v>11</v>
      </c>
      <c r="L902" s="147">
        <v>1</v>
      </c>
      <c r="M902" s="147">
        <v>12</v>
      </c>
      <c r="N902" s="275"/>
      <c r="O902" s="194"/>
      <c r="P902" s="179"/>
      <c r="Q902" s="173"/>
      <c r="R902" s="260">
        <v>0</v>
      </c>
      <c r="S902" s="167"/>
      <c r="T902" s="129" t="s">
        <v>64</v>
      </c>
      <c r="U902" s="147" t="s">
        <v>37</v>
      </c>
      <c r="V902" s="129"/>
      <c r="W902" s="162" t="s">
        <v>54</v>
      </c>
      <c r="X902" s="205"/>
      <c r="Y902" s="251"/>
      <c r="Z902" s="155"/>
      <c r="AA902" s="230"/>
    </row>
    <row r="903" spans="1:27" s="181" customFormat="1" ht="24" hidden="1" x14ac:dyDescent="0.25">
      <c r="A903" s="131">
        <v>1</v>
      </c>
      <c r="B903" s="136">
        <v>1405037</v>
      </c>
      <c r="C903" s="128" t="s">
        <v>934</v>
      </c>
      <c r="D903" s="128" t="s">
        <v>1093</v>
      </c>
      <c r="E903" s="147" t="s">
        <v>38</v>
      </c>
      <c r="F903" s="129" t="s">
        <v>1043</v>
      </c>
      <c r="G903" s="147" t="s">
        <v>1731</v>
      </c>
      <c r="H903" s="189">
        <f t="shared" si="15"/>
        <v>0</v>
      </c>
      <c r="I903" s="213"/>
      <c r="J903" s="149"/>
      <c r="K903" s="147">
        <v>11</v>
      </c>
      <c r="L903" s="147">
        <v>1</v>
      </c>
      <c r="M903" s="147">
        <v>12</v>
      </c>
      <c r="N903" s="275"/>
      <c r="O903" s="194"/>
      <c r="P903" s="179"/>
      <c r="Q903" s="173"/>
      <c r="R903" s="260">
        <v>0</v>
      </c>
      <c r="S903" s="167"/>
      <c r="T903" s="129" t="s">
        <v>64</v>
      </c>
      <c r="U903" s="147" t="s">
        <v>37</v>
      </c>
      <c r="V903" s="129"/>
      <c r="W903" s="162" t="s">
        <v>54</v>
      </c>
      <c r="X903" s="205"/>
      <c r="Y903" s="251"/>
      <c r="Z903" s="155"/>
      <c r="AA903" s="230"/>
    </row>
    <row r="904" spans="1:27" s="181" customFormat="1" ht="24" hidden="1" x14ac:dyDescent="0.25">
      <c r="A904" s="131">
        <v>1</v>
      </c>
      <c r="B904" s="136">
        <v>1405038</v>
      </c>
      <c r="C904" s="128" t="s">
        <v>934</v>
      </c>
      <c r="D904" s="128" t="s">
        <v>1094</v>
      </c>
      <c r="E904" s="147" t="s">
        <v>38</v>
      </c>
      <c r="F904" s="129" t="s">
        <v>1043</v>
      </c>
      <c r="G904" s="147" t="s">
        <v>1731</v>
      </c>
      <c r="H904" s="189">
        <f t="shared" si="15"/>
        <v>0</v>
      </c>
      <c r="I904" s="213"/>
      <c r="J904" s="149"/>
      <c r="K904" s="147">
        <v>11</v>
      </c>
      <c r="L904" s="147">
        <v>1</v>
      </c>
      <c r="M904" s="147">
        <v>12</v>
      </c>
      <c r="N904" s="275"/>
      <c r="O904" s="194"/>
      <c r="P904" s="179"/>
      <c r="Q904" s="173"/>
      <c r="R904" s="260">
        <v>0</v>
      </c>
      <c r="S904" s="167"/>
      <c r="T904" s="129" t="s">
        <v>64</v>
      </c>
      <c r="U904" s="147" t="s">
        <v>37</v>
      </c>
      <c r="V904" s="129"/>
      <c r="W904" s="162" t="s">
        <v>54</v>
      </c>
      <c r="X904" s="205"/>
      <c r="Y904" s="251"/>
      <c r="Z904" s="155"/>
      <c r="AA904" s="230"/>
    </row>
    <row r="905" spans="1:27" s="181" customFormat="1" ht="24" hidden="1" x14ac:dyDescent="0.25">
      <c r="A905" s="131">
        <v>1</v>
      </c>
      <c r="B905" s="136">
        <v>1405039</v>
      </c>
      <c r="C905" s="128" t="s">
        <v>934</v>
      </c>
      <c r="D905" s="128" t="s">
        <v>1095</v>
      </c>
      <c r="E905" s="147" t="s">
        <v>38</v>
      </c>
      <c r="F905" s="129" t="s">
        <v>1043</v>
      </c>
      <c r="G905" s="147" t="s">
        <v>1731</v>
      </c>
      <c r="H905" s="189">
        <f t="shared" si="15"/>
        <v>0</v>
      </c>
      <c r="I905" s="213"/>
      <c r="J905" s="149"/>
      <c r="K905" s="147">
        <v>11</v>
      </c>
      <c r="L905" s="147">
        <v>1</v>
      </c>
      <c r="M905" s="147">
        <v>12</v>
      </c>
      <c r="N905" s="275"/>
      <c r="O905" s="194"/>
      <c r="P905" s="179"/>
      <c r="Q905" s="173"/>
      <c r="R905" s="260">
        <v>0</v>
      </c>
      <c r="S905" s="167"/>
      <c r="T905" s="129" t="s">
        <v>64</v>
      </c>
      <c r="U905" s="147" t="s">
        <v>37</v>
      </c>
      <c r="V905" s="129"/>
      <c r="W905" s="162" t="s">
        <v>54</v>
      </c>
      <c r="X905" s="205"/>
      <c r="Y905" s="251"/>
      <c r="Z905" s="155"/>
      <c r="AA905" s="230"/>
    </row>
    <row r="906" spans="1:27" s="181" customFormat="1" ht="24" hidden="1" x14ac:dyDescent="0.25">
      <c r="A906" s="131">
        <v>1</v>
      </c>
      <c r="B906" s="136">
        <v>1405040</v>
      </c>
      <c r="C906" s="128" t="s">
        <v>934</v>
      </c>
      <c r="D906" s="136" t="s">
        <v>1096</v>
      </c>
      <c r="E906" s="147" t="s">
        <v>38</v>
      </c>
      <c r="F906" s="129" t="s">
        <v>1043</v>
      </c>
      <c r="G906" s="147" t="s">
        <v>1731</v>
      </c>
      <c r="H906" s="189">
        <f t="shared" si="15"/>
        <v>0</v>
      </c>
      <c r="I906" s="213"/>
      <c r="J906" s="149"/>
      <c r="K906" s="147"/>
      <c r="L906" s="147"/>
      <c r="M906" s="147">
        <v>12</v>
      </c>
      <c r="N906" s="275">
        <v>523</v>
      </c>
      <c r="O906" s="194"/>
      <c r="P906" s="179"/>
      <c r="Q906" s="173"/>
      <c r="R906" s="260">
        <v>0</v>
      </c>
      <c r="S906" s="167"/>
      <c r="T906" s="129" t="s">
        <v>64</v>
      </c>
      <c r="U906" s="147" t="s">
        <v>37</v>
      </c>
      <c r="V906" s="129"/>
      <c r="W906" s="162" t="s">
        <v>54</v>
      </c>
      <c r="X906" s="205"/>
      <c r="Y906" s="251"/>
      <c r="Z906" s="155"/>
      <c r="AA906" s="230"/>
    </row>
    <row r="907" spans="1:27" s="181" customFormat="1" ht="24" hidden="1" x14ac:dyDescent="0.25">
      <c r="A907" s="131">
        <v>1</v>
      </c>
      <c r="B907" s="136">
        <v>1405041</v>
      </c>
      <c r="C907" s="128" t="s">
        <v>934</v>
      </c>
      <c r="D907" s="136" t="s">
        <v>1097</v>
      </c>
      <c r="E907" s="147" t="s">
        <v>38</v>
      </c>
      <c r="F907" s="129" t="s">
        <v>1043</v>
      </c>
      <c r="G907" s="147" t="s">
        <v>1731</v>
      </c>
      <c r="H907" s="189">
        <f t="shared" si="15"/>
        <v>0</v>
      </c>
      <c r="I907" s="213"/>
      <c r="J907" s="149"/>
      <c r="K907" s="147">
        <v>11</v>
      </c>
      <c r="L907" s="147">
        <v>1</v>
      </c>
      <c r="M907" s="147">
        <v>12</v>
      </c>
      <c r="N907" s="275"/>
      <c r="O907" s="194"/>
      <c r="P907" s="179"/>
      <c r="Q907" s="173"/>
      <c r="R907" s="260">
        <v>0</v>
      </c>
      <c r="S907" s="167"/>
      <c r="T907" s="129" t="s">
        <v>64</v>
      </c>
      <c r="U907" s="147" t="s">
        <v>37</v>
      </c>
      <c r="V907" s="129"/>
      <c r="W907" s="162" t="s">
        <v>54</v>
      </c>
      <c r="X907" s="205"/>
      <c r="Y907" s="251"/>
      <c r="Z907" s="155"/>
      <c r="AA907" s="230"/>
    </row>
    <row r="908" spans="1:27" s="181" customFormat="1" ht="24" hidden="1" x14ac:dyDescent="0.25">
      <c r="A908" s="131">
        <v>1</v>
      </c>
      <c r="B908" s="136">
        <v>1405042</v>
      </c>
      <c r="C908" s="128" t="s">
        <v>934</v>
      </c>
      <c r="D908" s="136" t="s">
        <v>1098</v>
      </c>
      <c r="E908" s="147" t="s">
        <v>38</v>
      </c>
      <c r="F908" s="129" t="s">
        <v>1043</v>
      </c>
      <c r="G908" s="147" t="s">
        <v>1731</v>
      </c>
      <c r="H908" s="189">
        <f t="shared" si="15"/>
        <v>0</v>
      </c>
      <c r="I908" s="213"/>
      <c r="J908" s="149"/>
      <c r="K908" s="147">
        <v>11</v>
      </c>
      <c r="L908" s="147">
        <v>1</v>
      </c>
      <c r="M908" s="147">
        <v>12</v>
      </c>
      <c r="N908" s="275"/>
      <c r="O908" s="194"/>
      <c r="P908" s="179"/>
      <c r="Q908" s="173"/>
      <c r="R908" s="260">
        <v>0</v>
      </c>
      <c r="S908" s="167"/>
      <c r="T908" s="129" t="s">
        <v>64</v>
      </c>
      <c r="U908" s="147" t="s">
        <v>37</v>
      </c>
      <c r="V908" s="129"/>
      <c r="W908" s="162" t="s">
        <v>54</v>
      </c>
      <c r="X908" s="205"/>
      <c r="Y908" s="251"/>
      <c r="Z908" s="155"/>
      <c r="AA908" s="230"/>
    </row>
    <row r="909" spans="1:27" s="181" customFormat="1" ht="24" hidden="1" x14ac:dyDescent="0.25">
      <c r="A909" s="131">
        <v>1</v>
      </c>
      <c r="B909" s="136">
        <v>1405043</v>
      </c>
      <c r="C909" s="128" t="s">
        <v>934</v>
      </c>
      <c r="D909" s="136" t="s">
        <v>1099</v>
      </c>
      <c r="E909" s="147" t="s">
        <v>38</v>
      </c>
      <c r="F909" s="129" t="s">
        <v>1043</v>
      </c>
      <c r="G909" s="147" t="s">
        <v>1731</v>
      </c>
      <c r="H909" s="189">
        <f t="shared" si="15"/>
        <v>0</v>
      </c>
      <c r="I909" s="213"/>
      <c r="J909" s="149"/>
      <c r="K909" s="147">
        <v>11</v>
      </c>
      <c r="L909" s="147">
        <v>1</v>
      </c>
      <c r="M909" s="147">
        <v>12</v>
      </c>
      <c r="N909" s="275"/>
      <c r="O909" s="194"/>
      <c r="P909" s="179"/>
      <c r="Q909" s="173"/>
      <c r="R909" s="260">
        <v>0</v>
      </c>
      <c r="S909" s="167"/>
      <c r="T909" s="129" t="s">
        <v>64</v>
      </c>
      <c r="U909" s="147" t="s">
        <v>37</v>
      </c>
      <c r="V909" s="129"/>
      <c r="W909" s="162" t="s">
        <v>54</v>
      </c>
      <c r="X909" s="205"/>
      <c r="Y909" s="251"/>
      <c r="Z909" s="155"/>
      <c r="AA909" s="230"/>
    </row>
    <row r="910" spans="1:27" s="181" customFormat="1" ht="24" hidden="1" x14ac:dyDescent="0.25">
      <c r="A910" s="131">
        <v>1</v>
      </c>
      <c r="B910" s="136">
        <v>1405044</v>
      </c>
      <c r="C910" s="128" t="s">
        <v>934</v>
      </c>
      <c r="D910" s="136" t="s">
        <v>1100</v>
      </c>
      <c r="E910" s="147" t="s">
        <v>38</v>
      </c>
      <c r="F910" s="129" t="s">
        <v>1043</v>
      </c>
      <c r="G910" s="147" t="s">
        <v>1731</v>
      </c>
      <c r="H910" s="189">
        <f t="shared" si="15"/>
        <v>0</v>
      </c>
      <c r="I910" s="213"/>
      <c r="J910" s="149"/>
      <c r="K910" s="147">
        <v>11</v>
      </c>
      <c r="L910" s="147">
        <v>1</v>
      </c>
      <c r="M910" s="147">
        <v>12</v>
      </c>
      <c r="N910" s="275"/>
      <c r="O910" s="194"/>
      <c r="P910" s="179"/>
      <c r="Q910" s="173"/>
      <c r="R910" s="260">
        <v>0</v>
      </c>
      <c r="S910" s="167"/>
      <c r="T910" s="129" t="s">
        <v>64</v>
      </c>
      <c r="U910" s="147" t="s">
        <v>37</v>
      </c>
      <c r="V910" s="129"/>
      <c r="W910" s="162" t="s">
        <v>54</v>
      </c>
      <c r="X910" s="205"/>
      <c r="Y910" s="251"/>
      <c r="Z910" s="155"/>
      <c r="AA910" s="230"/>
    </row>
    <row r="911" spans="1:27" s="181" customFormat="1" ht="24" hidden="1" x14ac:dyDescent="0.25">
      <c r="A911" s="131">
        <v>1</v>
      </c>
      <c r="B911" s="136">
        <v>1405045</v>
      </c>
      <c r="C911" s="128" t="s">
        <v>934</v>
      </c>
      <c r="D911" s="136" t="s">
        <v>1101</v>
      </c>
      <c r="E911" s="147" t="s">
        <v>38</v>
      </c>
      <c r="F911" s="129" t="s">
        <v>1043</v>
      </c>
      <c r="G911" s="147" t="s">
        <v>1731</v>
      </c>
      <c r="H911" s="189">
        <f t="shared" si="15"/>
        <v>0</v>
      </c>
      <c r="I911" s="213"/>
      <c r="J911" s="149"/>
      <c r="K911" s="147"/>
      <c r="L911" s="147"/>
      <c r="M911" s="147">
        <v>12</v>
      </c>
      <c r="N911" s="275">
        <v>523</v>
      </c>
      <c r="O911" s="194"/>
      <c r="P911" s="179"/>
      <c r="Q911" s="173"/>
      <c r="R911" s="260">
        <v>0</v>
      </c>
      <c r="S911" s="167"/>
      <c r="T911" s="129" t="s">
        <v>64</v>
      </c>
      <c r="U911" s="147" t="s">
        <v>37</v>
      </c>
      <c r="V911" s="129"/>
      <c r="W911" s="162" t="s">
        <v>54</v>
      </c>
      <c r="X911" s="205"/>
      <c r="Y911" s="251"/>
      <c r="Z911" s="155"/>
      <c r="AA911" s="230"/>
    </row>
    <row r="912" spans="1:27" ht="24" hidden="1" x14ac:dyDescent="0.25">
      <c r="A912" s="131">
        <v>1</v>
      </c>
      <c r="B912" s="136">
        <v>1405046</v>
      </c>
      <c r="C912" s="128" t="s">
        <v>934</v>
      </c>
      <c r="D912" s="136" t="s">
        <v>1102</v>
      </c>
      <c r="E912" s="147" t="s">
        <v>38</v>
      </c>
      <c r="F912" s="129" t="s">
        <v>1043</v>
      </c>
      <c r="G912" s="147" t="s">
        <v>1731</v>
      </c>
      <c r="H912" s="189">
        <f t="shared" si="15"/>
        <v>0</v>
      </c>
      <c r="I912" s="213"/>
      <c r="J912" s="149"/>
      <c r="K912" s="147"/>
      <c r="L912" s="147"/>
      <c r="M912" s="147">
        <v>12</v>
      </c>
      <c r="N912" s="275">
        <v>523</v>
      </c>
      <c r="O912" s="194"/>
      <c r="P912" s="179"/>
      <c r="Q912" s="173"/>
      <c r="R912" s="260">
        <v>0</v>
      </c>
      <c r="S912" s="167"/>
      <c r="T912" s="129" t="s">
        <v>64</v>
      </c>
      <c r="U912" s="147" t="s">
        <v>37</v>
      </c>
      <c r="V912" s="129"/>
      <c r="W912" s="162" t="s">
        <v>54</v>
      </c>
      <c r="X912" s="205"/>
      <c r="Y912" s="251"/>
      <c r="Z912" s="155"/>
      <c r="AA912" s="230"/>
    </row>
    <row r="913" spans="1:27" ht="24" hidden="1" x14ac:dyDescent="0.25">
      <c r="A913" s="131">
        <v>1</v>
      </c>
      <c r="B913" s="136">
        <v>1405047</v>
      </c>
      <c r="C913" s="128" t="s">
        <v>934</v>
      </c>
      <c r="D913" s="136" t="s">
        <v>1103</v>
      </c>
      <c r="E913" s="147" t="s">
        <v>38</v>
      </c>
      <c r="F913" s="129" t="s">
        <v>1043</v>
      </c>
      <c r="G913" s="147" t="s">
        <v>1731</v>
      </c>
      <c r="H913" s="189">
        <f t="shared" si="15"/>
        <v>0</v>
      </c>
      <c r="I913" s="213"/>
      <c r="J913" s="149"/>
      <c r="K913" s="147">
        <v>11</v>
      </c>
      <c r="L913" s="147">
        <v>1</v>
      </c>
      <c r="M913" s="147">
        <v>12</v>
      </c>
      <c r="N913" s="275"/>
      <c r="O913" s="194"/>
      <c r="P913" s="179"/>
      <c r="Q913" s="173"/>
      <c r="R913" s="260">
        <v>0</v>
      </c>
      <c r="S913" s="167"/>
      <c r="T913" s="129" t="s">
        <v>64</v>
      </c>
      <c r="U913" s="147" t="s">
        <v>37</v>
      </c>
      <c r="V913" s="129"/>
      <c r="W913" s="162" t="s">
        <v>54</v>
      </c>
      <c r="X913" s="205"/>
      <c r="Y913" s="251"/>
      <c r="Z913" s="155"/>
      <c r="AA913" s="230"/>
    </row>
    <row r="914" spans="1:27" ht="24" hidden="1" x14ac:dyDescent="0.25">
      <c r="A914" s="131">
        <v>1</v>
      </c>
      <c r="B914" s="136">
        <v>1405048</v>
      </c>
      <c r="C914" s="128" t="s">
        <v>934</v>
      </c>
      <c r="D914" s="136" t="s">
        <v>1104</v>
      </c>
      <c r="E914" s="147" t="s">
        <v>38</v>
      </c>
      <c r="F914" s="129" t="s">
        <v>1043</v>
      </c>
      <c r="G914" s="147" t="s">
        <v>1731</v>
      </c>
      <c r="H914" s="189">
        <f t="shared" si="15"/>
        <v>0</v>
      </c>
      <c r="I914" s="213"/>
      <c r="J914" s="149"/>
      <c r="K914" s="147">
        <v>11</v>
      </c>
      <c r="L914" s="147">
        <v>1</v>
      </c>
      <c r="M914" s="147">
        <v>12</v>
      </c>
      <c r="N914" s="275"/>
      <c r="O914" s="194"/>
      <c r="P914" s="179"/>
      <c r="Q914" s="173"/>
      <c r="R914" s="260">
        <v>0</v>
      </c>
      <c r="S914" s="167"/>
      <c r="T914" s="129" t="s">
        <v>64</v>
      </c>
      <c r="U914" s="147" t="s">
        <v>37</v>
      </c>
      <c r="V914" s="129"/>
      <c r="W914" s="162" t="s">
        <v>54</v>
      </c>
      <c r="X914" s="205"/>
      <c r="Y914" s="251"/>
      <c r="Z914" s="155"/>
      <c r="AA914" s="230"/>
    </row>
    <row r="915" spans="1:27" s="181" customFormat="1" ht="24" hidden="1" x14ac:dyDescent="0.25">
      <c r="A915" s="131">
        <v>1</v>
      </c>
      <c r="B915" s="136">
        <v>1405049</v>
      </c>
      <c r="C915" s="128" t="s">
        <v>934</v>
      </c>
      <c r="D915" s="136" t="s">
        <v>1105</v>
      </c>
      <c r="E915" s="147" t="s">
        <v>38</v>
      </c>
      <c r="F915" s="129" t="s">
        <v>1043</v>
      </c>
      <c r="G915" s="147" t="s">
        <v>1731</v>
      </c>
      <c r="H915" s="189">
        <f t="shared" si="15"/>
        <v>0</v>
      </c>
      <c r="I915" s="213"/>
      <c r="J915" s="149"/>
      <c r="K915" s="147">
        <v>11</v>
      </c>
      <c r="L915" s="147">
        <v>1</v>
      </c>
      <c r="M915" s="147">
        <v>12</v>
      </c>
      <c r="N915" s="275"/>
      <c r="O915" s="194"/>
      <c r="P915" s="179"/>
      <c r="Q915" s="173"/>
      <c r="R915" s="260">
        <v>0</v>
      </c>
      <c r="S915" s="167"/>
      <c r="T915" s="129" t="s">
        <v>64</v>
      </c>
      <c r="U915" s="147" t="s">
        <v>37</v>
      </c>
      <c r="V915" s="129"/>
      <c r="W915" s="162" t="s">
        <v>54</v>
      </c>
      <c r="X915" s="205"/>
      <c r="Y915" s="251"/>
      <c r="Z915" s="155"/>
      <c r="AA915" s="230"/>
    </row>
    <row r="916" spans="1:27" s="181" customFormat="1" ht="24" hidden="1" x14ac:dyDescent="0.25">
      <c r="A916" s="131">
        <v>1</v>
      </c>
      <c r="B916" s="136">
        <v>1405050</v>
      </c>
      <c r="C916" s="128" t="s">
        <v>934</v>
      </c>
      <c r="D916" s="136" t="s">
        <v>1106</v>
      </c>
      <c r="E916" s="147" t="s">
        <v>38</v>
      </c>
      <c r="F916" s="129" t="s">
        <v>1043</v>
      </c>
      <c r="G916" s="147" t="s">
        <v>1731</v>
      </c>
      <c r="H916" s="189">
        <f t="shared" si="15"/>
        <v>0</v>
      </c>
      <c r="I916" s="213"/>
      <c r="J916" s="149"/>
      <c r="K916" s="147">
        <v>11</v>
      </c>
      <c r="L916" s="147">
        <v>1</v>
      </c>
      <c r="M916" s="147">
        <v>12</v>
      </c>
      <c r="N916" s="275"/>
      <c r="O916" s="194"/>
      <c r="P916" s="179"/>
      <c r="Q916" s="173"/>
      <c r="R916" s="260">
        <v>0</v>
      </c>
      <c r="S916" s="167"/>
      <c r="T916" s="129" t="s">
        <v>64</v>
      </c>
      <c r="U916" s="147" t="s">
        <v>37</v>
      </c>
      <c r="V916" s="129"/>
      <c r="W916" s="162" t="s">
        <v>54</v>
      </c>
      <c r="X916" s="205"/>
      <c r="Y916" s="251"/>
      <c r="Z916" s="155"/>
      <c r="AA916" s="230"/>
    </row>
    <row r="917" spans="1:27" s="181" customFormat="1" ht="24" hidden="1" x14ac:dyDescent="0.25">
      <c r="A917" s="131">
        <v>1</v>
      </c>
      <c r="B917" s="136">
        <v>1405051</v>
      </c>
      <c r="C917" s="128" t="s">
        <v>934</v>
      </c>
      <c r="D917" s="136" t="s">
        <v>1107</v>
      </c>
      <c r="E917" s="147" t="s">
        <v>38</v>
      </c>
      <c r="F917" s="129" t="s">
        <v>1043</v>
      </c>
      <c r="G917" s="147" t="s">
        <v>1731</v>
      </c>
      <c r="H917" s="189">
        <f t="shared" si="15"/>
        <v>0</v>
      </c>
      <c r="I917" s="213"/>
      <c r="J917" s="149"/>
      <c r="K917" s="147">
        <v>11</v>
      </c>
      <c r="L917" s="147">
        <v>1</v>
      </c>
      <c r="M917" s="147">
        <v>12</v>
      </c>
      <c r="N917" s="275"/>
      <c r="O917" s="194"/>
      <c r="P917" s="179"/>
      <c r="Q917" s="173"/>
      <c r="R917" s="260">
        <v>0</v>
      </c>
      <c r="S917" s="167"/>
      <c r="T917" s="129" t="s">
        <v>64</v>
      </c>
      <c r="U917" s="147" t="s">
        <v>37</v>
      </c>
      <c r="V917" s="129"/>
      <c r="W917" s="162" t="s">
        <v>54</v>
      </c>
      <c r="X917" s="205"/>
      <c r="Y917" s="251"/>
      <c r="Z917" s="155"/>
      <c r="AA917" s="230"/>
    </row>
    <row r="918" spans="1:27" ht="24" hidden="1" x14ac:dyDescent="0.25">
      <c r="A918" s="131">
        <v>1</v>
      </c>
      <c r="B918" s="136">
        <v>1405052</v>
      </c>
      <c r="C918" s="128" t="s">
        <v>934</v>
      </c>
      <c r="D918" s="136" t="s">
        <v>1108</v>
      </c>
      <c r="E918" s="147" t="s">
        <v>38</v>
      </c>
      <c r="F918" s="129" t="s">
        <v>1043</v>
      </c>
      <c r="G918" s="147" t="s">
        <v>1731</v>
      </c>
      <c r="H918" s="189">
        <f t="shared" si="15"/>
        <v>0</v>
      </c>
      <c r="I918" s="213"/>
      <c r="J918" s="149"/>
      <c r="K918" s="147">
        <v>11</v>
      </c>
      <c r="L918" s="147">
        <v>1</v>
      </c>
      <c r="M918" s="147">
        <v>12</v>
      </c>
      <c r="N918" s="275"/>
      <c r="O918" s="194"/>
      <c r="P918" s="179"/>
      <c r="Q918" s="173"/>
      <c r="R918" s="260">
        <v>0</v>
      </c>
      <c r="S918" s="167"/>
      <c r="T918" s="129" t="s">
        <v>64</v>
      </c>
      <c r="U918" s="147" t="s">
        <v>37</v>
      </c>
      <c r="V918" s="129"/>
      <c r="W918" s="162" t="s">
        <v>54</v>
      </c>
      <c r="X918" s="205"/>
      <c r="Y918" s="251"/>
      <c r="Z918" s="155"/>
      <c r="AA918" s="230"/>
    </row>
    <row r="919" spans="1:27" s="181" customFormat="1" ht="24" hidden="1" x14ac:dyDescent="0.25">
      <c r="A919" s="131">
        <v>1</v>
      </c>
      <c r="B919" s="136">
        <v>1405053</v>
      </c>
      <c r="C919" s="128" t="s">
        <v>934</v>
      </c>
      <c r="D919" s="136" t="s">
        <v>1109</v>
      </c>
      <c r="E919" s="147" t="s">
        <v>38</v>
      </c>
      <c r="F919" s="129" t="s">
        <v>1043</v>
      </c>
      <c r="G919" s="147" t="s">
        <v>1731</v>
      </c>
      <c r="H919" s="189">
        <f t="shared" si="15"/>
        <v>0</v>
      </c>
      <c r="I919" s="213"/>
      <c r="J919" s="149"/>
      <c r="K919" s="147">
        <v>11</v>
      </c>
      <c r="L919" s="147">
        <v>1</v>
      </c>
      <c r="M919" s="147">
        <v>12</v>
      </c>
      <c r="N919" s="275"/>
      <c r="O919" s="194"/>
      <c r="P919" s="179"/>
      <c r="Q919" s="173"/>
      <c r="R919" s="260">
        <v>0</v>
      </c>
      <c r="S919" s="167"/>
      <c r="T919" s="129" t="s">
        <v>64</v>
      </c>
      <c r="U919" s="147" t="s">
        <v>37</v>
      </c>
      <c r="V919" s="129"/>
      <c r="W919" s="162" t="s">
        <v>54</v>
      </c>
      <c r="X919" s="205"/>
      <c r="Y919" s="251"/>
      <c r="Z919" s="155"/>
      <c r="AA919" s="230"/>
    </row>
    <row r="920" spans="1:27" s="181" customFormat="1" ht="24" hidden="1" x14ac:dyDescent="0.25">
      <c r="A920" s="131">
        <v>1</v>
      </c>
      <c r="B920" s="136">
        <v>1405054</v>
      </c>
      <c r="C920" s="128" t="s">
        <v>934</v>
      </c>
      <c r="D920" s="136" t="s">
        <v>1110</v>
      </c>
      <c r="E920" s="147" t="s">
        <v>38</v>
      </c>
      <c r="F920" s="129" t="s">
        <v>1043</v>
      </c>
      <c r="G920" s="147" t="s">
        <v>1731</v>
      </c>
      <c r="H920" s="189">
        <f t="shared" si="15"/>
        <v>0</v>
      </c>
      <c r="I920" s="213"/>
      <c r="J920" s="149"/>
      <c r="K920" s="147">
        <v>11</v>
      </c>
      <c r="L920" s="147">
        <v>1</v>
      </c>
      <c r="M920" s="147">
        <v>12</v>
      </c>
      <c r="N920" s="275"/>
      <c r="O920" s="194"/>
      <c r="P920" s="179"/>
      <c r="Q920" s="173"/>
      <c r="R920" s="260">
        <v>0</v>
      </c>
      <c r="S920" s="167"/>
      <c r="T920" s="129" t="s">
        <v>64</v>
      </c>
      <c r="U920" s="147" t="s">
        <v>37</v>
      </c>
      <c r="V920" s="129"/>
      <c r="W920" s="162" t="s">
        <v>54</v>
      </c>
      <c r="X920" s="205"/>
      <c r="Y920" s="251"/>
      <c r="Z920" s="155"/>
      <c r="AA920" s="230"/>
    </row>
    <row r="921" spans="1:27" s="181" customFormat="1" ht="24" hidden="1" x14ac:dyDescent="0.25">
      <c r="A921" s="131">
        <v>1</v>
      </c>
      <c r="B921" s="136">
        <v>1405055</v>
      </c>
      <c r="C921" s="128" t="s">
        <v>934</v>
      </c>
      <c r="D921" s="136" t="s">
        <v>1111</v>
      </c>
      <c r="E921" s="147" t="s">
        <v>38</v>
      </c>
      <c r="F921" s="129" t="s">
        <v>1043</v>
      </c>
      <c r="G921" s="147" t="s">
        <v>1731</v>
      </c>
      <c r="H921" s="189">
        <f t="shared" si="15"/>
        <v>0</v>
      </c>
      <c r="I921" s="213"/>
      <c r="J921" s="149"/>
      <c r="K921" s="147">
        <v>11</v>
      </c>
      <c r="L921" s="147">
        <v>1</v>
      </c>
      <c r="M921" s="147">
        <v>12</v>
      </c>
      <c r="N921" s="275"/>
      <c r="O921" s="194"/>
      <c r="P921" s="179"/>
      <c r="Q921" s="173"/>
      <c r="R921" s="260">
        <v>0</v>
      </c>
      <c r="S921" s="167"/>
      <c r="T921" s="129" t="s">
        <v>64</v>
      </c>
      <c r="U921" s="147" t="s">
        <v>37</v>
      </c>
      <c r="V921" s="129"/>
      <c r="W921" s="162" t="s">
        <v>54</v>
      </c>
      <c r="X921" s="205"/>
      <c r="Y921" s="251"/>
      <c r="Z921" s="155"/>
      <c r="AA921" s="230"/>
    </row>
    <row r="922" spans="1:27" s="181" customFormat="1" ht="24" hidden="1" x14ac:dyDescent="0.25">
      <c r="A922" s="131">
        <v>1</v>
      </c>
      <c r="B922" s="136">
        <v>1405056</v>
      </c>
      <c r="C922" s="128" t="s">
        <v>934</v>
      </c>
      <c r="D922" s="136" t="s">
        <v>1112</v>
      </c>
      <c r="E922" s="147" t="s">
        <v>38</v>
      </c>
      <c r="F922" s="129" t="s">
        <v>1043</v>
      </c>
      <c r="G922" s="147" t="s">
        <v>1731</v>
      </c>
      <c r="H922" s="189">
        <f t="shared" si="15"/>
        <v>0</v>
      </c>
      <c r="I922" s="213"/>
      <c r="J922" s="149"/>
      <c r="K922" s="147">
        <v>11</v>
      </c>
      <c r="L922" s="147">
        <v>1</v>
      </c>
      <c r="M922" s="147">
        <v>12</v>
      </c>
      <c r="N922" s="275"/>
      <c r="O922" s="194"/>
      <c r="P922" s="179"/>
      <c r="Q922" s="173"/>
      <c r="R922" s="260">
        <v>0</v>
      </c>
      <c r="S922" s="167"/>
      <c r="T922" s="129" t="s">
        <v>64</v>
      </c>
      <c r="U922" s="147" t="s">
        <v>37</v>
      </c>
      <c r="V922" s="129"/>
      <c r="W922" s="162" t="s">
        <v>54</v>
      </c>
      <c r="X922" s="205"/>
      <c r="Y922" s="251"/>
      <c r="Z922" s="155"/>
      <c r="AA922" s="230"/>
    </row>
    <row r="923" spans="1:27" s="181" customFormat="1" ht="24" hidden="1" x14ac:dyDescent="0.25">
      <c r="A923" s="131">
        <v>1</v>
      </c>
      <c r="B923" s="136">
        <v>1405057</v>
      </c>
      <c r="C923" s="128" t="s">
        <v>934</v>
      </c>
      <c r="D923" s="136" t="s">
        <v>1113</v>
      </c>
      <c r="E923" s="147" t="s">
        <v>38</v>
      </c>
      <c r="F923" s="129" t="s">
        <v>1043</v>
      </c>
      <c r="G923" s="147" t="s">
        <v>1731</v>
      </c>
      <c r="H923" s="189">
        <f t="shared" si="15"/>
        <v>0</v>
      </c>
      <c r="I923" s="213"/>
      <c r="J923" s="149"/>
      <c r="K923" s="147">
        <v>11</v>
      </c>
      <c r="L923" s="147">
        <v>1</v>
      </c>
      <c r="M923" s="147">
        <v>12</v>
      </c>
      <c r="N923" s="275"/>
      <c r="O923" s="194"/>
      <c r="P923" s="179"/>
      <c r="Q923" s="173"/>
      <c r="R923" s="260">
        <v>0</v>
      </c>
      <c r="S923" s="167"/>
      <c r="T923" s="129" t="s">
        <v>64</v>
      </c>
      <c r="U923" s="147" t="s">
        <v>37</v>
      </c>
      <c r="V923" s="129"/>
      <c r="W923" s="162" t="s">
        <v>54</v>
      </c>
      <c r="X923" s="205"/>
      <c r="Y923" s="251"/>
      <c r="Z923" s="155"/>
      <c r="AA923" s="230"/>
    </row>
    <row r="924" spans="1:27" ht="24" hidden="1" x14ac:dyDescent="0.25">
      <c r="A924" s="131">
        <v>1</v>
      </c>
      <c r="B924" s="136">
        <v>1405058</v>
      </c>
      <c r="C924" s="128" t="s">
        <v>934</v>
      </c>
      <c r="D924" s="136" t="s">
        <v>1114</v>
      </c>
      <c r="E924" s="147" t="s">
        <v>38</v>
      </c>
      <c r="F924" s="129" t="s">
        <v>1043</v>
      </c>
      <c r="G924" s="147" t="s">
        <v>1731</v>
      </c>
      <c r="H924" s="189">
        <f t="shared" si="15"/>
        <v>0</v>
      </c>
      <c r="I924" s="213"/>
      <c r="J924" s="149"/>
      <c r="K924" s="147">
        <v>11</v>
      </c>
      <c r="L924" s="147">
        <v>1</v>
      </c>
      <c r="M924" s="147">
        <v>12</v>
      </c>
      <c r="N924" s="275"/>
      <c r="O924" s="194"/>
      <c r="P924" s="179"/>
      <c r="Q924" s="173"/>
      <c r="R924" s="260">
        <v>0</v>
      </c>
      <c r="S924" s="167"/>
      <c r="T924" s="129" t="s">
        <v>64</v>
      </c>
      <c r="U924" s="147" t="s">
        <v>37</v>
      </c>
      <c r="V924" s="129"/>
      <c r="W924" s="162" t="s">
        <v>54</v>
      </c>
      <c r="X924" s="205"/>
      <c r="Y924" s="251"/>
      <c r="Z924" s="155"/>
      <c r="AA924" s="230"/>
    </row>
    <row r="925" spans="1:27" ht="24" hidden="1" x14ac:dyDescent="0.25">
      <c r="A925" s="131">
        <v>1</v>
      </c>
      <c r="B925" s="136">
        <v>1405059</v>
      </c>
      <c r="C925" s="128" t="s">
        <v>934</v>
      </c>
      <c r="D925" s="136" t="s">
        <v>1115</v>
      </c>
      <c r="E925" s="147" t="s">
        <v>38</v>
      </c>
      <c r="F925" s="129" t="s">
        <v>1043</v>
      </c>
      <c r="G925" s="147" t="s">
        <v>1731</v>
      </c>
      <c r="H925" s="189">
        <f t="shared" si="15"/>
        <v>0</v>
      </c>
      <c r="I925" s="213"/>
      <c r="J925" s="149"/>
      <c r="K925" s="147">
        <v>11</v>
      </c>
      <c r="L925" s="147">
        <v>1</v>
      </c>
      <c r="M925" s="147">
        <v>12</v>
      </c>
      <c r="N925" s="275"/>
      <c r="O925" s="194"/>
      <c r="P925" s="179"/>
      <c r="Q925" s="173"/>
      <c r="R925" s="260">
        <v>0</v>
      </c>
      <c r="S925" s="167"/>
      <c r="T925" s="129" t="s">
        <v>64</v>
      </c>
      <c r="U925" s="147" t="s">
        <v>37</v>
      </c>
      <c r="V925" s="129"/>
      <c r="W925" s="162" t="s">
        <v>54</v>
      </c>
      <c r="X925" s="205"/>
      <c r="Y925" s="251"/>
      <c r="Z925" s="155"/>
      <c r="AA925" s="230"/>
    </row>
    <row r="926" spans="1:27" ht="24" hidden="1" x14ac:dyDescent="0.25">
      <c r="A926" s="131">
        <v>1</v>
      </c>
      <c r="B926" s="136">
        <v>1405060</v>
      </c>
      <c r="C926" s="128" t="s">
        <v>934</v>
      </c>
      <c r="D926" s="136" t="s">
        <v>1116</v>
      </c>
      <c r="E926" s="147" t="s">
        <v>38</v>
      </c>
      <c r="F926" s="129" t="s">
        <v>1043</v>
      </c>
      <c r="G926" s="147" t="s">
        <v>1731</v>
      </c>
      <c r="H926" s="189">
        <f t="shared" si="15"/>
        <v>0</v>
      </c>
      <c r="I926" s="213"/>
      <c r="J926" s="149"/>
      <c r="K926" s="147"/>
      <c r="L926" s="147"/>
      <c r="M926" s="147">
        <v>12</v>
      </c>
      <c r="N926" s="275">
        <v>4150</v>
      </c>
      <c r="O926" s="194"/>
      <c r="P926" s="179"/>
      <c r="Q926" s="173"/>
      <c r="R926" s="260">
        <v>0</v>
      </c>
      <c r="S926" s="167"/>
      <c r="T926" s="129" t="s">
        <v>64</v>
      </c>
      <c r="U926" s="147" t="s">
        <v>37</v>
      </c>
      <c r="V926" s="129"/>
      <c r="W926" s="162" t="s">
        <v>54</v>
      </c>
      <c r="X926" s="205"/>
      <c r="Y926" s="251"/>
      <c r="Z926" s="155"/>
      <c r="AA926" s="230"/>
    </row>
    <row r="927" spans="1:27" ht="24" hidden="1" x14ac:dyDescent="0.25">
      <c r="A927" s="131">
        <v>1</v>
      </c>
      <c r="B927" s="136">
        <v>1405061</v>
      </c>
      <c r="C927" s="128" t="s">
        <v>934</v>
      </c>
      <c r="D927" s="136" t="s">
        <v>1117</v>
      </c>
      <c r="E927" s="147" t="s">
        <v>38</v>
      </c>
      <c r="F927" s="129" t="s">
        <v>1043</v>
      </c>
      <c r="G927" s="147" t="s">
        <v>1731</v>
      </c>
      <c r="H927" s="189">
        <f t="shared" si="15"/>
        <v>0</v>
      </c>
      <c r="I927" s="213"/>
      <c r="J927" s="149"/>
      <c r="K927" s="147">
        <v>11</v>
      </c>
      <c r="L927" s="147">
        <v>1</v>
      </c>
      <c r="M927" s="147">
        <v>12</v>
      </c>
      <c r="N927" s="275"/>
      <c r="O927" s="194"/>
      <c r="P927" s="179"/>
      <c r="Q927" s="173"/>
      <c r="R927" s="260">
        <v>0</v>
      </c>
      <c r="S927" s="167"/>
      <c r="T927" s="129" t="s">
        <v>64</v>
      </c>
      <c r="U927" s="147" t="s">
        <v>37</v>
      </c>
      <c r="V927" s="129"/>
      <c r="W927" s="162" t="s">
        <v>54</v>
      </c>
      <c r="X927" s="205"/>
      <c r="Y927" s="251"/>
      <c r="Z927" s="155"/>
      <c r="AA927" s="230"/>
    </row>
    <row r="928" spans="1:27" ht="24" hidden="1" x14ac:dyDescent="0.25">
      <c r="A928" s="131">
        <v>1</v>
      </c>
      <c r="B928" s="136">
        <v>1405062</v>
      </c>
      <c r="C928" s="128" t="s">
        <v>934</v>
      </c>
      <c r="D928" s="136" t="s">
        <v>1118</v>
      </c>
      <c r="E928" s="147" t="s">
        <v>38</v>
      </c>
      <c r="F928" s="129" t="s">
        <v>1043</v>
      </c>
      <c r="G928" s="147" t="s">
        <v>1731</v>
      </c>
      <c r="H928" s="189">
        <f t="shared" si="15"/>
        <v>0</v>
      </c>
      <c r="I928" s="213"/>
      <c r="J928" s="149"/>
      <c r="K928" s="147">
        <v>11</v>
      </c>
      <c r="L928" s="147">
        <v>1</v>
      </c>
      <c r="M928" s="147">
        <v>12</v>
      </c>
      <c r="N928" s="275"/>
      <c r="O928" s="194"/>
      <c r="P928" s="179"/>
      <c r="Q928" s="173"/>
      <c r="R928" s="260">
        <v>0</v>
      </c>
      <c r="S928" s="167"/>
      <c r="T928" s="129" t="s">
        <v>64</v>
      </c>
      <c r="U928" s="147" t="s">
        <v>37</v>
      </c>
      <c r="V928" s="129"/>
      <c r="W928" s="162" t="s">
        <v>54</v>
      </c>
      <c r="X928" s="205"/>
      <c r="Y928" s="251"/>
      <c r="Z928" s="155"/>
      <c r="AA928" s="230"/>
    </row>
    <row r="929" spans="1:27" ht="24" hidden="1" x14ac:dyDescent="0.25">
      <c r="A929" s="131">
        <v>1</v>
      </c>
      <c r="B929" s="136">
        <v>1405063</v>
      </c>
      <c r="C929" s="128" t="s">
        <v>934</v>
      </c>
      <c r="D929" s="136" t="s">
        <v>1119</v>
      </c>
      <c r="E929" s="147" t="s">
        <v>38</v>
      </c>
      <c r="F929" s="129" t="s">
        <v>1043</v>
      </c>
      <c r="G929" s="147" t="s">
        <v>1731</v>
      </c>
      <c r="H929" s="189">
        <f t="shared" si="15"/>
        <v>0</v>
      </c>
      <c r="I929" s="213"/>
      <c r="J929" s="149"/>
      <c r="K929" s="147"/>
      <c r="L929" s="147"/>
      <c r="M929" s="147">
        <v>12</v>
      </c>
      <c r="N929" s="275">
        <v>4150</v>
      </c>
      <c r="O929" s="194"/>
      <c r="P929" s="179"/>
      <c r="Q929" s="173"/>
      <c r="R929" s="260">
        <v>0</v>
      </c>
      <c r="S929" s="167"/>
      <c r="T929" s="129" t="s">
        <v>64</v>
      </c>
      <c r="U929" s="147" t="s">
        <v>37</v>
      </c>
      <c r="V929" s="129"/>
      <c r="W929" s="162" t="s">
        <v>54</v>
      </c>
      <c r="X929" s="205"/>
      <c r="Y929" s="251"/>
      <c r="Z929" s="155"/>
      <c r="AA929" s="230"/>
    </row>
    <row r="930" spans="1:27" ht="24" hidden="1" x14ac:dyDescent="0.25">
      <c r="A930" s="131">
        <v>1</v>
      </c>
      <c r="B930" s="136">
        <v>1405064</v>
      </c>
      <c r="C930" s="128" t="s">
        <v>934</v>
      </c>
      <c r="D930" s="136" t="s">
        <v>1120</v>
      </c>
      <c r="E930" s="147" t="s">
        <v>38</v>
      </c>
      <c r="F930" s="129" t="s">
        <v>1043</v>
      </c>
      <c r="G930" s="147" t="s">
        <v>1731</v>
      </c>
      <c r="H930" s="189">
        <f t="shared" si="15"/>
        <v>0</v>
      </c>
      <c r="I930" s="213"/>
      <c r="J930" s="149"/>
      <c r="K930" s="147"/>
      <c r="L930" s="147"/>
      <c r="M930" s="147">
        <v>12</v>
      </c>
      <c r="N930" s="275">
        <v>4150</v>
      </c>
      <c r="O930" s="194"/>
      <c r="P930" s="179"/>
      <c r="Q930" s="173"/>
      <c r="R930" s="260">
        <v>0</v>
      </c>
      <c r="S930" s="167"/>
      <c r="T930" s="129" t="s">
        <v>64</v>
      </c>
      <c r="U930" s="147" t="s">
        <v>37</v>
      </c>
      <c r="V930" s="129"/>
      <c r="W930" s="162" t="s">
        <v>54</v>
      </c>
      <c r="X930" s="205"/>
      <c r="Y930" s="251"/>
      <c r="Z930" s="155"/>
      <c r="AA930" s="230"/>
    </row>
    <row r="931" spans="1:27" ht="24" hidden="1" x14ac:dyDescent="0.25">
      <c r="A931" s="131">
        <v>1</v>
      </c>
      <c r="B931" s="136">
        <v>1405065</v>
      </c>
      <c r="C931" s="128" t="s">
        <v>934</v>
      </c>
      <c r="D931" s="136" t="s">
        <v>1121</v>
      </c>
      <c r="E931" s="147" t="s">
        <v>38</v>
      </c>
      <c r="F931" s="129" t="s">
        <v>1043</v>
      </c>
      <c r="G931" s="147" t="s">
        <v>1731</v>
      </c>
      <c r="H931" s="189">
        <f t="shared" si="15"/>
        <v>0</v>
      </c>
      <c r="I931" s="213"/>
      <c r="J931" s="149"/>
      <c r="K931" s="147"/>
      <c r="L931" s="147"/>
      <c r="M931" s="147">
        <v>12</v>
      </c>
      <c r="N931" s="275">
        <v>3200</v>
      </c>
      <c r="O931" s="194"/>
      <c r="P931" s="179"/>
      <c r="Q931" s="173"/>
      <c r="R931" s="260">
        <v>0</v>
      </c>
      <c r="S931" s="167"/>
      <c r="T931" s="129" t="s">
        <v>64</v>
      </c>
      <c r="U931" s="147" t="s">
        <v>37</v>
      </c>
      <c r="V931" s="129"/>
      <c r="W931" s="162" t="s">
        <v>54</v>
      </c>
      <c r="X931" s="205"/>
      <c r="Y931" s="251"/>
      <c r="Z931" s="155"/>
      <c r="AA931" s="230"/>
    </row>
    <row r="932" spans="1:27" ht="24" hidden="1" x14ac:dyDescent="0.25">
      <c r="A932" s="131">
        <v>1</v>
      </c>
      <c r="B932" s="136">
        <v>1405066</v>
      </c>
      <c r="C932" s="128" t="s">
        <v>934</v>
      </c>
      <c r="D932" s="136" t="s">
        <v>1122</v>
      </c>
      <c r="E932" s="147" t="s">
        <v>38</v>
      </c>
      <c r="F932" s="129" t="s">
        <v>1043</v>
      </c>
      <c r="G932" s="147" t="s">
        <v>1731</v>
      </c>
      <c r="H932" s="189">
        <f t="shared" si="15"/>
        <v>0</v>
      </c>
      <c r="I932" s="213"/>
      <c r="J932" s="149"/>
      <c r="K932" s="147"/>
      <c r="L932" s="147"/>
      <c r="M932" s="147">
        <v>12</v>
      </c>
      <c r="N932" s="275">
        <v>3200</v>
      </c>
      <c r="O932" s="194"/>
      <c r="P932" s="179"/>
      <c r="Q932" s="173"/>
      <c r="R932" s="260">
        <v>0</v>
      </c>
      <c r="S932" s="167"/>
      <c r="T932" s="129" t="s">
        <v>64</v>
      </c>
      <c r="U932" s="147" t="s">
        <v>37</v>
      </c>
      <c r="V932" s="129"/>
      <c r="W932" s="162" t="s">
        <v>54</v>
      </c>
      <c r="X932" s="205"/>
      <c r="Y932" s="251"/>
      <c r="Z932" s="155"/>
      <c r="AA932" s="230"/>
    </row>
    <row r="933" spans="1:27" ht="24" hidden="1" x14ac:dyDescent="0.25">
      <c r="A933" s="131">
        <v>1</v>
      </c>
      <c r="B933" s="136">
        <v>1405067</v>
      </c>
      <c r="C933" s="128" t="s">
        <v>934</v>
      </c>
      <c r="D933" s="136" t="s">
        <v>1123</v>
      </c>
      <c r="E933" s="147" t="s">
        <v>38</v>
      </c>
      <c r="F933" s="129" t="s">
        <v>1043</v>
      </c>
      <c r="G933" s="147" t="s">
        <v>1731</v>
      </c>
      <c r="H933" s="189">
        <f t="shared" si="15"/>
        <v>0</v>
      </c>
      <c r="I933" s="213"/>
      <c r="J933" s="149"/>
      <c r="K933" s="147"/>
      <c r="L933" s="147"/>
      <c r="M933" s="147">
        <v>12</v>
      </c>
      <c r="N933" s="275">
        <v>3200</v>
      </c>
      <c r="O933" s="194"/>
      <c r="P933" s="179"/>
      <c r="Q933" s="173"/>
      <c r="R933" s="260">
        <v>0</v>
      </c>
      <c r="S933" s="167"/>
      <c r="T933" s="129" t="s">
        <v>64</v>
      </c>
      <c r="U933" s="147" t="s">
        <v>37</v>
      </c>
      <c r="V933" s="129"/>
      <c r="W933" s="162" t="s">
        <v>54</v>
      </c>
      <c r="X933" s="205"/>
      <c r="Y933" s="251"/>
      <c r="Z933" s="155"/>
      <c r="AA933" s="230"/>
    </row>
    <row r="934" spans="1:27" ht="24" hidden="1" x14ac:dyDescent="0.25">
      <c r="A934" s="131">
        <v>1</v>
      </c>
      <c r="B934" s="136">
        <v>1405068</v>
      </c>
      <c r="C934" s="128" t="s">
        <v>934</v>
      </c>
      <c r="D934" s="136" t="s">
        <v>1124</v>
      </c>
      <c r="E934" s="147" t="s">
        <v>38</v>
      </c>
      <c r="F934" s="129" t="s">
        <v>1043</v>
      </c>
      <c r="G934" s="147" t="s">
        <v>1731</v>
      </c>
      <c r="H934" s="189">
        <f t="shared" si="15"/>
        <v>0</v>
      </c>
      <c r="I934" s="213"/>
      <c r="J934" s="149"/>
      <c r="K934" s="147"/>
      <c r="L934" s="147"/>
      <c r="M934" s="147">
        <v>12</v>
      </c>
      <c r="N934" s="275">
        <v>3200</v>
      </c>
      <c r="O934" s="194"/>
      <c r="P934" s="179"/>
      <c r="Q934" s="173"/>
      <c r="R934" s="260">
        <v>0</v>
      </c>
      <c r="S934" s="167"/>
      <c r="T934" s="129" t="s">
        <v>64</v>
      </c>
      <c r="U934" s="147" t="s">
        <v>37</v>
      </c>
      <c r="V934" s="129"/>
      <c r="W934" s="162" t="s">
        <v>54</v>
      </c>
      <c r="X934" s="205"/>
      <c r="Y934" s="251"/>
      <c r="Z934" s="155"/>
      <c r="AA934" s="230"/>
    </row>
    <row r="935" spans="1:27" ht="24" hidden="1" x14ac:dyDescent="0.25">
      <c r="A935" s="131">
        <v>1</v>
      </c>
      <c r="B935" s="136">
        <v>1405069</v>
      </c>
      <c r="C935" s="128" t="s">
        <v>934</v>
      </c>
      <c r="D935" s="136" t="s">
        <v>1125</v>
      </c>
      <c r="E935" s="147" t="s">
        <v>38</v>
      </c>
      <c r="F935" s="129" t="s">
        <v>1043</v>
      </c>
      <c r="G935" s="147" t="s">
        <v>1731</v>
      </c>
      <c r="H935" s="189">
        <f t="shared" si="15"/>
        <v>0</v>
      </c>
      <c r="I935" s="213"/>
      <c r="J935" s="149"/>
      <c r="K935" s="147">
        <v>11</v>
      </c>
      <c r="L935" s="147">
        <v>1</v>
      </c>
      <c r="M935" s="147">
        <v>12</v>
      </c>
      <c r="N935" s="275"/>
      <c r="O935" s="194"/>
      <c r="P935" s="179"/>
      <c r="Q935" s="173"/>
      <c r="R935" s="260">
        <v>0</v>
      </c>
      <c r="S935" s="167"/>
      <c r="T935" s="129" t="s">
        <v>64</v>
      </c>
      <c r="U935" s="147" t="s">
        <v>37</v>
      </c>
      <c r="V935" s="129"/>
      <c r="W935" s="162" t="s">
        <v>54</v>
      </c>
      <c r="X935" s="205"/>
      <c r="Y935" s="251"/>
      <c r="Z935" s="155"/>
      <c r="AA935" s="230"/>
    </row>
    <row r="936" spans="1:27" ht="24" hidden="1" x14ac:dyDescent="0.25">
      <c r="A936" s="131">
        <v>1</v>
      </c>
      <c r="B936" s="136">
        <v>1405070</v>
      </c>
      <c r="C936" s="128" t="s">
        <v>934</v>
      </c>
      <c r="D936" s="136" t="s">
        <v>1126</v>
      </c>
      <c r="E936" s="147" t="s">
        <v>38</v>
      </c>
      <c r="F936" s="129" t="s">
        <v>1043</v>
      </c>
      <c r="G936" s="147" t="s">
        <v>1731</v>
      </c>
      <c r="H936" s="189">
        <f t="shared" si="15"/>
        <v>0</v>
      </c>
      <c r="I936" s="213"/>
      <c r="J936" s="149"/>
      <c r="K936" s="147">
        <v>11</v>
      </c>
      <c r="L936" s="147">
        <v>1</v>
      </c>
      <c r="M936" s="147">
        <v>12</v>
      </c>
      <c r="N936" s="275"/>
      <c r="O936" s="194"/>
      <c r="P936" s="179"/>
      <c r="Q936" s="173"/>
      <c r="R936" s="260">
        <v>0</v>
      </c>
      <c r="S936" s="167"/>
      <c r="T936" s="129" t="s">
        <v>64</v>
      </c>
      <c r="U936" s="147" t="s">
        <v>37</v>
      </c>
      <c r="V936" s="129"/>
      <c r="W936" s="162" t="s">
        <v>54</v>
      </c>
      <c r="X936" s="205"/>
      <c r="Y936" s="251"/>
      <c r="Z936" s="155"/>
      <c r="AA936" s="230"/>
    </row>
    <row r="937" spans="1:27" ht="24" hidden="1" x14ac:dyDescent="0.25">
      <c r="A937" s="131">
        <v>1</v>
      </c>
      <c r="B937" s="136">
        <v>1405071</v>
      </c>
      <c r="C937" s="128" t="s">
        <v>934</v>
      </c>
      <c r="D937" s="136" t="s">
        <v>1127</v>
      </c>
      <c r="E937" s="147" t="s">
        <v>38</v>
      </c>
      <c r="F937" s="129" t="s">
        <v>1043</v>
      </c>
      <c r="G937" s="147" t="s">
        <v>1731</v>
      </c>
      <c r="H937" s="189">
        <f t="shared" si="15"/>
        <v>0</v>
      </c>
      <c r="I937" s="213"/>
      <c r="J937" s="149"/>
      <c r="K937" s="147">
        <v>11</v>
      </c>
      <c r="L937" s="147">
        <v>1</v>
      </c>
      <c r="M937" s="147">
        <v>12</v>
      </c>
      <c r="N937" s="275"/>
      <c r="O937" s="194"/>
      <c r="P937" s="179"/>
      <c r="Q937" s="173"/>
      <c r="R937" s="260">
        <v>0</v>
      </c>
      <c r="S937" s="167"/>
      <c r="T937" s="129" t="s">
        <v>64</v>
      </c>
      <c r="U937" s="147" t="s">
        <v>37</v>
      </c>
      <c r="V937" s="129"/>
      <c r="W937" s="162" t="s">
        <v>54</v>
      </c>
      <c r="X937" s="205"/>
      <c r="Y937" s="251"/>
      <c r="Z937" s="155"/>
      <c r="AA937" s="230"/>
    </row>
    <row r="938" spans="1:27" ht="24" hidden="1" x14ac:dyDescent="0.25">
      <c r="A938" s="131">
        <v>1</v>
      </c>
      <c r="B938" s="136">
        <v>1405072</v>
      </c>
      <c r="C938" s="128" t="s">
        <v>934</v>
      </c>
      <c r="D938" s="136" t="s">
        <v>1128</v>
      </c>
      <c r="E938" s="147" t="s">
        <v>38</v>
      </c>
      <c r="F938" s="129" t="s">
        <v>1043</v>
      </c>
      <c r="G938" s="147" t="s">
        <v>1731</v>
      </c>
      <c r="H938" s="189">
        <f t="shared" si="15"/>
        <v>0</v>
      </c>
      <c r="I938" s="213"/>
      <c r="J938" s="149"/>
      <c r="K938" s="147">
        <v>11</v>
      </c>
      <c r="L938" s="147">
        <v>1</v>
      </c>
      <c r="M938" s="147">
        <v>12</v>
      </c>
      <c r="N938" s="275"/>
      <c r="O938" s="194"/>
      <c r="P938" s="179"/>
      <c r="Q938" s="173"/>
      <c r="R938" s="260">
        <v>0</v>
      </c>
      <c r="S938" s="167"/>
      <c r="T938" s="129" t="s">
        <v>64</v>
      </c>
      <c r="U938" s="147" t="s">
        <v>37</v>
      </c>
      <c r="V938" s="129"/>
      <c r="W938" s="162" t="s">
        <v>54</v>
      </c>
      <c r="X938" s="205"/>
      <c r="Y938" s="251"/>
      <c r="Z938" s="155"/>
      <c r="AA938" s="230"/>
    </row>
    <row r="939" spans="1:27" ht="24" hidden="1" x14ac:dyDescent="0.25">
      <c r="A939" s="131">
        <v>1</v>
      </c>
      <c r="B939" s="136">
        <v>1405073</v>
      </c>
      <c r="C939" s="128" t="s">
        <v>934</v>
      </c>
      <c r="D939" s="136" t="s">
        <v>1129</v>
      </c>
      <c r="E939" s="147" t="s">
        <v>38</v>
      </c>
      <c r="F939" s="129" t="s">
        <v>1043</v>
      </c>
      <c r="G939" s="147" t="s">
        <v>1731</v>
      </c>
      <c r="H939" s="189">
        <f t="shared" si="15"/>
        <v>0</v>
      </c>
      <c r="I939" s="213"/>
      <c r="J939" s="149"/>
      <c r="K939" s="147">
        <v>11</v>
      </c>
      <c r="L939" s="147">
        <v>1</v>
      </c>
      <c r="M939" s="147">
        <v>12</v>
      </c>
      <c r="N939" s="275"/>
      <c r="O939" s="194"/>
      <c r="P939" s="179"/>
      <c r="Q939" s="173"/>
      <c r="R939" s="260">
        <v>0</v>
      </c>
      <c r="S939" s="167"/>
      <c r="T939" s="129" t="s">
        <v>64</v>
      </c>
      <c r="U939" s="147" t="s">
        <v>37</v>
      </c>
      <c r="V939" s="129"/>
      <c r="W939" s="162" t="s">
        <v>54</v>
      </c>
      <c r="X939" s="205"/>
      <c r="Y939" s="251"/>
      <c r="Z939" s="155"/>
      <c r="AA939" s="230"/>
    </row>
    <row r="940" spans="1:27" ht="24" hidden="1" x14ac:dyDescent="0.25">
      <c r="A940" s="131">
        <v>1</v>
      </c>
      <c r="B940" s="136">
        <v>1405074</v>
      </c>
      <c r="C940" s="128" t="s">
        <v>934</v>
      </c>
      <c r="D940" s="136" t="s">
        <v>1130</v>
      </c>
      <c r="E940" s="147" t="s">
        <v>38</v>
      </c>
      <c r="F940" s="129" t="s">
        <v>1043</v>
      </c>
      <c r="G940" s="147" t="s">
        <v>1731</v>
      </c>
      <c r="H940" s="189">
        <f t="shared" si="15"/>
        <v>0</v>
      </c>
      <c r="I940" s="213"/>
      <c r="J940" s="149"/>
      <c r="K940" s="147">
        <v>11</v>
      </c>
      <c r="L940" s="147">
        <v>1</v>
      </c>
      <c r="M940" s="147">
        <v>12</v>
      </c>
      <c r="N940" s="275"/>
      <c r="O940" s="194"/>
      <c r="P940" s="179"/>
      <c r="Q940" s="173"/>
      <c r="R940" s="260">
        <v>0</v>
      </c>
      <c r="S940" s="167"/>
      <c r="T940" s="129" t="s">
        <v>64</v>
      </c>
      <c r="U940" s="147" t="s">
        <v>37</v>
      </c>
      <c r="V940" s="129"/>
      <c r="W940" s="162" t="s">
        <v>54</v>
      </c>
      <c r="X940" s="205"/>
      <c r="Y940" s="251"/>
      <c r="Z940" s="155"/>
      <c r="AA940" s="230"/>
    </row>
    <row r="941" spans="1:27" ht="24" hidden="1" x14ac:dyDescent="0.25">
      <c r="A941" s="131">
        <v>1</v>
      </c>
      <c r="B941" s="136">
        <v>1405075</v>
      </c>
      <c r="C941" s="128" t="s">
        <v>934</v>
      </c>
      <c r="D941" s="136" t="s">
        <v>1131</v>
      </c>
      <c r="E941" s="147" t="s">
        <v>38</v>
      </c>
      <c r="F941" s="129" t="s">
        <v>1043</v>
      </c>
      <c r="G941" s="147" t="s">
        <v>1731</v>
      </c>
      <c r="H941" s="189">
        <f t="shared" si="15"/>
        <v>0</v>
      </c>
      <c r="I941" s="213"/>
      <c r="J941" s="149"/>
      <c r="K941" s="147">
        <v>11</v>
      </c>
      <c r="L941" s="147">
        <v>1</v>
      </c>
      <c r="M941" s="147">
        <v>12</v>
      </c>
      <c r="N941" s="275"/>
      <c r="O941" s="194"/>
      <c r="P941" s="179"/>
      <c r="Q941" s="173"/>
      <c r="R941" s="260">
        <v>0</v>
      </c>
      <c r="S941" s="167"/>
      <c r="T941" s="129" t="s">
        <v>64</v>
      </c>
      <c r="U941" s="147" t="s">
        <v>37</v>
      </c>
      <c r="V941" s="129"/>
      <c r="W941" s="162" t="s">
        <v>54</v>
      </c>
      <c r="X941" s="205"/>
      <c r="Y941" s="251"/>
      <c r="Z941" s="155"/>
      <c r="AA941" s="230"/>
    </row>
    <row r="942" spans="1:27" ht="24" hidden="1" x14ac:dyDescent="0.25">
      <c r="A942" s="131">
        <v>1</v>
      </c>
      <c r="B942" s="136">
        <v>1405076</v>
      </c>
      <c r="C942" s="128" t="s">
        <v>934</v>
      </c>
      <c r="D942" s="136" t="s">
        <v>1132</v>
      </c>
      <c r="E942" s="147" t="s">
        <v>38</v>
      </c>
      <c r="F942" s="129" t="s">
        <v>1043</v>
      </c>
      <c r="G942" s="147" t="s">
        <v>1731</v>
      </c>
      <c r="H942" s="189">
        <f t="shared" si="15"/>
        <v>0</v>
      </c>
      <c r="I942" s="213"/>
      <c r="J942" s="149"/>
      <c r="K942" s="147">
        <v>11</v>
      </c>
      <c r="L942" s="147">
        <v>1</v>
      </c>
      <c r="M942" s="147">
        <v>12</v>
      </c>
      <c r="N942" s="275"/>
      <c r="O942" s="194"/>
      <c r="P942" s="179"/>
      <c r="Q942" s="173"/>
      <c r="R942" s="260">
        <v>0</v>
      </c>
      <c r="S942" s="167"/>
      <c r="T942" s="129" t="s">
        <v>64</v>
      </c>
      <c r="U942" s="147" t="s">
        <v>37</v>
      </c>
      <c r="V942" s="129"/>
      <c r="W942" s="162" t="s">
        <v>54</v>
      </c>
      <c r="X942" s="205"/>
      <c r="Y942" s="251"/>
      <c r="Z942" s="155"/>
      <c r="AA942" s="230"/>
    </row>
    <row r="943" spans="1:27" ht="24" hidden="1" x14ac:dyDescent="0.25">
      <c r="A943" s="131">
        <v>1</v>
      </c>
      <c r="B943" s="136">
        <v>1405077</v>
      </c>
      <c r="C943" s="128" t="s">
        <v>934</v>
      </c>
      <c r="D943" s="136" t="s">
        <v>1133</v>
      </c>
      <c r="E943" s="147" t="s">
        <v>38</v>
      </c>
      <c r="F943" s="129" t="s">
        <v>1043</v>
      </c>
      <c r="G943" s="147" t="s">
        <v>1731</v>
      </c>
      <c r="H943" s="189">
        <f t="shared" si="15"/>
        <v>0</v>
      </c>
      <c r="I943" s="213"/>
      <c r="J943" s="149"/>
      <c r="K943" s="147">
        <v>11</v>
      </c>
      <c r="L943" s="147">
        <v>1</v>
      </c>
      <c r="M943" s="147">
        <v>12</v>
      </c>
      <c r="N943" s="275"/>
      <c r="O943" s="194"/>
      <c r="P943" s="179"/>
      <c r="Q943" s="173"/>
      <c r="R943" s="260">
        <v>0</v>
      </c>
      <c r="S943" s="167"/>
      <c r="T943" s="129" t="s">
        <v>64</v>
      </c>
      <c r="U943" s="147" t="s">
        <v>37</v>
      </c>
      <c r="V943" s="129"/>
      <c r="W943" s="162" t="s">
        <v>54</v>
      </c>
      <c r="X943" s="205"/>
      <c r="Y943" s="251"/>
      <c r="Z943" s="155"/>
      <c r="AA943" s="230"/>
    </row>
    <row r="944" spans="1:27" ht="24" hidden="1" x14ac:dyDescent="0.25">
      <c r="A944" s="131">
        <v>1</v>
      </c>
      <c r="B944" s="136">
        <v>1405078</v>
      </c>
      <c r="C944" s="128" t="s">
        <v>934</v>
      </c>
      <c r="D944" s="136" t="s">
        <v>1134</v>
      </c>
      <c r="E944" s="147" t="s">
        <v>38</v>
      </c>
      <c r="F944" s="129" t="s">
        <v>1043</v>
      </c>
      <c r="G944" s="147" t="s">
        <v>1731</v>
      </c>
      <c r="H944" s="189">
        <f t="shared" si="15"/>
        <v>0</v>
      </c>
      <c r="I944" s="213"/>
      <c r="J944" s="149"/>
      <c r="K944" s="147">
        <v>11</v>
      </c>
      <c r="L944" s="147">
        <v>1</v>
      </c>
      <c r="M944" s="147">
        <v>12</v>
      </c>
      <c r="N944" s="275"/>
      <c r="O944" s="194"/>
      <c r="P944" s="179"/>
      <c r="Q944" s="173"/>
      <c r="R944" s="260">
        <v>0</v>
      </c>
      <c r="S944" s="167"/>
      <c r="T944" s="129" t="s">
        <v>64</v>
      </c>
      <c r="U944" s="147" t="s">
        <v>37</v>
      </c>
      <c r="V944" s="129"/>
      <c r="W944" s="162" t="s">
        <v>54</v>
      </c>
      <c r="X944" s="205"/>
      <c r="Y944" s="251"/>
      <c r="Z944" s="155"/>
      <c r="AA944" s="230"/>
    </row>
    <row r="945" spans="1:27" s="204" customFormat="1" ht="24" hidden="1" x14ac:dyDescent="0.25">
      <c r="A945" s="131">
        <v>1</v>
      </c>
      <c r="B945" s="136">
        <v>1405079</v>
      </c>
      <c r="C945" s="128" t="s">
        <v>934</v>
      </c>
      <c r="D945" s="136" t="s">
        <v>1135</v>
      </c>
      <c r="E945" s="147" t="s">
        <v>38</v>
      </c>
      <c r="F945" s="129" t="s">
        <v>1043</v>
      </c>
      <c r="G945" s="147" t="s">
        <v>1731</v>
      </c>
      <c r="H945" s="189">
        <f t="shared" si="15"/>
        <v>0</v>
      </c>
      <c r="I945" s="213"/>
      <c r="J945" s="149"/>
      <c r="K945" s="147">
        <v>11</v>
      </c>
      <c r="L945" s="147">
        <v>1</v>
      </c>
      <c r="M945" s="147">
        <v>12</v>
      </c>
      <c r="N945" s="275"/>
      <c r="O945" s="194"/>
      <c r="P945" s="179"/>
      <c r="Q945" s="173"/>
      <c r="R945" s="260">
        <v>0</v>
      </c>
      <c r="S945" s="167"/>
      <c r="T945" s="129" t="s">
        <v>64</v>
      </c>
      <c r="U945" s="147" t="s">
        <v>37</v>
      </c>
      <c r="V945" s="129"/>
      <c r="W945" s="162" t="s">
        <v>54</v>
      </c>
      <c r="X945" s="205"/>
      <c r="Y945" s="251"/>
      <c r="Z945" s="155"/>
      <c r="AA945" s="230"/>
    </row>
    <row r="946" spans="1:27" hidden="1" x14ac:dyDescent="0.25">
      <c r="A946" s="131">
        <v>1</v>
      </c>
      <c r="B946" s="136">
        <v>1405080</v>
      </c>
      <c r="C946" s="128" t="s">
        <v>934</v>
      </c>
      <c r="D946" s="136" t="s">
        <v>1136</v>
      </c>
      <c r="E946" s="147" t="s">
        <v>38</v>
      </c>
      <c r="F946" s="129" t="s">
        <v>1043</v>
      </c>
      <c r="G946" s="147" t="s">
        <v>1731</v>
      </c>
      <c r="H946" s="189">
        <f t="shared" si="15"/>
        <v>0</v>
      </c>
      <c r="I946" s="213"/>
      <c r="J946" s="149"/>
      <c r="K946" s="147"/>
      <c r="L946" s="147"/>
      <c r="M946" s="147">
        <v>12</v>
      </c>
      <c r="N946" s="275">
        <v>3200</v>
      </c>
      <c r="O946" s="194"/>
      <c r="P946" s="179"/>
      <c r="Q946" s="173"/>
      <c r="R946" s="260">
        <v>0</v>
      </c>
      <c r="S946" s="167"/>
      <c r="T946" s="129" t="s">
        <v>64</v>
      </c>
      <c r="U946" s="147" t="s">
        <v>37</v>
      </c>
      <c r="V946" s="129"/>
      <c r="W946" s="162" t="s">
        <v>54</v>
      </c>
      <c r="X946" s="205"/>
      <c r="Y946" s="251"/>
      <c r="Z946" s="155"/>
      <c r="AA946" s="230"/>
    </row>
    <row r="947" spans="1:27" ht="24" hidden="1" x14ac:dyDescent="0.25">
      <c r="A947" s="131">
        <v>1</v>
      </c>
      <c r="B947" s="136">
        <v>1405081</v>
      </c>
      <c r="C947" s="128" t="s">
        <v>934</v>
      </c>
      <c r="D947" s="136" t="s">
        <v>1137</v>
      </c>
      <c r="E947" s="147" t="s">
        <v>38</v>
      </c>
      <c r="F947" s="129" t="s">
        <v>1043</v>
      </c>
      <c r="G947" s="147" t="s">
        <v>1731</v>
      </c>
      <c r="H947" s="189">
        <f t="shared" si="15"/>
        <v>0</v>
      </c>
      <c r="I947" s="213"/>
      <c r="J947" s="149"/>
      <c r="K947" s="147">
        <v>11</v>
      </c>
      <c r="L947" s="147">
        <v>1</v>
      </c>
      <c r="M947" s="147">
        <v>12</v>
      </c>
      <c r="N947" s="275"/>
      <c r="O947" s="194"/>
      <c r="P947" s="179"/>
      <c r="Q947" s="173"/>
      <c r="R947" s="260">
        <v>0</v>
      </c>
      <c r="S947" s="167"/>
      <c r="T947" s="129" t="s">
        <v>64</v>
      </c>
      <c r="U947" s="147" t="s">
        <v>37</v>
      </c>
      <c r="V947" s="129"/>
      <c r="W947" s="162" t="s">
        <v>54</v>
      </c>
      <c r="X947" s="205"/>
      <c r="Y947" s="251"/>
      <c r="Z947" s="155"/>
      <c r="AA947" s="230"/>
    </row>
    <row r="948" spans="1:27" hidden="1" x14ac:dyDescent="0.25">
      <c r="A948" s="131">
        <v>1</v>
      </c>
      <c r="B948" s="136">
        <v>1405082</v>
      </c>
      <c r="C948" s="128" t="s">
        <v>934</v>
      </c>
      <c r="D948" s="136" t="s">
        <v>1138</v>
      </c>
      <c r="E948" s="147" t="s">
        <v>38</v>
      </c>
      <c r="F948" s="129" t="s">
        <v>1043</v>
      </c>
      <c r="G948" s="147" t="s">
        <v>1731</v>
      </c>
      <c r="H948" s="189">
        <f t="shared" si="15"/>
        <v>0</v>
      </c>
      <c r="I948" s="213"/>
      <c r="J948" s="149"/>
      <c r="K948" s="147">
        <v>11</v>
      </c>
      <c r="L948" s="147">
        <v>1</v>
      </c>
      <c r="M948" s="147">
        <v>12</v>
      </c>
      <c r="N948" s="275"/>
      <c r="O948" s="194"/>
      <c r="P948" s="179"/>
      <c r="Q948" s="173"/>
      <c r="R948" s="260">
        <v>0</v>
      </c>
      <c r="S948" s="167"/>
      <c r="T948" s="129" t="s">
        <v>64</v>
      </c>
      <c r="U948" s="147" t="s">
        <v>37</v>
      </c>
      <c r="V948" s="129"/>
      <c r="W948" s="162" t="s">
        <v>54</v>
      </c>
      <c r="X948" s="205"/>
      <c r="Y948" s="251"/>
      <c r="Z948" s="155"/>
      <c r="AA948" s="230"/>
    </row>
    <row r="949" spans="1:27" ht="24" hidden="1" x14ac:dyDescent="0.25">
      <c r="A949" s="131">
        <v>1</v>
      </c>
      <c r="B949" s="136">
        <v>1405083</v>
      </c>
      <c r="C949" s="128" t="s">
        <v>934</v>
      </c>
      <c r="D949" s="136" t="s">
        <v>1139</v>
      </c>
      <c r="E949" s="147" t="s">
        <v>38</v>
      </c>
      <c r="F949" s="129" t="s">
        <v>1043</v>
      </c>
      <c r="G949" s="147" t="s">
        <v>1731</v>
      </c>
      <c r="H949" s="189">
        <f t="shared" si="15"/>
        <v>0</v>
      </c>
      <c r="I949" s="213"/>
      <c r="J949" s="149"/>
      <c r="K949" s="147">
        <v>11</v>
      </c>
      <c r="L949" s="147">
        <v>1</v>
      </c>
      <c r="M949" s="147">
        <v>12</v>
      </c>
      <c r="N949" s="275"/>
      <c r="O949" s="194"/>
      <c r="P949" s="179"/>
      <c r="Q949" s="173"/>
      <c r="R949" s="260">
        <v>0</v>
      </c>
      <c r="S949" s="167"/>
      <c r="T949" s="129" t="s">
        <v>64</v>
      </c>
      <c r="U949" s="147" t="s">
        <v>37</v>
      </c>
      <c r="V949" s="129"/>
      <c r="W949" s="162" t="s">
        <v>54</v>
      </c>
      <c r="X949" s="205"/>
      <c r="Y949" s="251"/>
      <c r="Z949" s="155"/>
      <c r="AA949" s="230"/>
    </row>
    <row r="950" spans="1:27" hidden="1" x14ac:dyDescent="0.25">
      <c r="A950" s="131">
        <v>1</v>
      </c>
      <c r="B950" s="136">
        <v>1405084</v>
      </c>
      <c r="C950" s="128" t="s">
        <v>934</v>
      </c>
      <c r="D950" s="136" t="s">
        <v>1140</v>
      </c>
      <c r="E950" s="147" t="s">
        <v>38</v>
      </c>
      <c r="F950" s="129" t="s">
        <v>1043</v>
      </c>
      <c r="G950" s="147" t="s">
        <v>1731</v>
      </c>
      <c r="H950" s="189">
        <f t="shared" si="15"/>
        <v>0</v>
      </c>
      <c r="I950" s="213"/>
      <c r="J950" s="149"/>
      <c r="K950" s="147">
        <v>11</v>
      </c>
      <c r="L950" s="147">
        <v>1</v>
      </c>
      <c r="M950" s="147">
        <v>12</v>
      </c>
      <c r="N950" s="275"/>
      <c r="O950" s="194"/>
      <c r="P950" s="179"/>
      <c r="Q950" s="173"/>
      <c r="R950" s="260">
        <v>0</v>
      </c>
      <c r="S950" s="167"/>
      <c r="T950" s="129" t="s">
        <v>64</v>
      </c>
      <c r="U950" s="147" t="s">
        <v>37</v>
      </c>
      <c r="V950" s="129"/>
      <c r="W950" s="162" t="s">
        <v>54</v>
      </c>
      <c r="X950" s="205"/>
      <c r="Y950" s="251"/>
      <c r="Z950" s="155"/>
      <c r="AA950" s="230"/>
    </row>
    <row r="951" spans="1:27" s="181" customFormat="1" hidden="1" x14ac:dyDescent="0.25">
      <c r="A951" s="131">
        <v>1</v>
      </c>
      <c r="B951" s="136">
        <v>1405085</v>
      </c>
      <c r="C951" s="128" t="s">
        <v>934</v>
      </c>
      <c r="D951" s="136" t="s">
        <v>1142</v>
      </c>
      <c r="E951" s="147" t="s">
        <v>38</v>
      </c>
      <c r="F951" s="129" t="s">
        <v>1043</v>
      </c>
      <c r="G951" s="147" t="s">
        <v>1731</v>
      </c>
      <c r="H951" s="189">
        <f t="shared" si="15"/>
        <v>0</v>
      </c>
      <c r="I951" s="213"/>
      <c r="J951" s="149"/>
      <c r="K951" s="147">
        <v>11</v>
      </c>
      <c r="L951" s="147">
        <v>1</v>
      </c>
      <c r="M951" s="147">
        <v>12</v>
      </c>
      <c r="N951" s="275"/>
      <c r="O951" s="194"/>
      <c r="P951" s="179"/>
      <c r="Q951" s="173"/>
      <c r="R951" s="260">
        <v>0</v>
      </c>
      <c r="S951" s="167"/>
      <c r="T951" s="129" t="s">
        <v>64</v>
      </c>
      <c r="U951" s="147" t="s">
        <v>37</v>
      </c>
      <c r="V951" s="129"/>
      <c r="W951" s="162" t="s">
        <v>54</v>
      </c>
      <c r="X951" s="205"/>
      <c r="Y951" s="251"/>
      <c r="Z951" s="155"/>
      <c r="AA951" s="230"/>
    </row>
    <row r="952" spans="1:27" s="181" customFormat="1" hidden="1" x14ac:dyDescent="0.25">
      <c r="A952" s="131">
        <v>1</v>
      </c>
      <c r="B952" s="136">
        <v>1405086</v>
      </c>
      <c r="C952" s="128" t="s">
        <v>934</v>
      </c>
      <c r="D952" s="136" t="s">
        <v>1143</v>
      </c>
      <c r="E952" s="147" t="s">
        <v>38</v>
      </c>
      <c r="F952" s="129" t="s">
        <v>1043</v>
      </c>
      <c r="G952" s="147" t="s">
        <v>1731</v>
      </c>
      <c r="H952" s="189">
        <f t="shared" si="15"/>
        <v>0</v>
      </c>
      <c r="I952" s="213"/>
      <c r="J952" s="149"/>
      <c r="K952" s="147">
        <v>11</v>
      </c>
      <c r="L952" s="147">
        <v>1</v>
      </c>
      <c r="M952" s="147">
        <v>12</v>
      </c>
      <c r="N952" s="275"/>
      <c r="O952" s="194"/>
      <c r="P952" s="179"/>
      <c r="Q952" s="173"/>
      <c r="R952" s="260">
        <v>0</v>
      </c>
      <c r="S952" s="167"/>
      <c r="T952" s="129" t="s">
        <v>64</v>
      </c>
      <c r="U952" s="147" t="s">
        <v>37</v>
      </c>
      <c r="V952" s="129"/>
      <c r="W952" s="162" t="s">
        <v>54</v>
      </c>
      <c r="X952" s="205"/>
      <c r="Y952" s="251"/>
      <c r="Z952" s="155"/>
      <c r="AA952" s="230"/>
    </row>
    <row r="953" spans="1:27" s="181" customFormat="1" hidden="1" x14ac:dyDescent="0.25">
      <c r="A953" s="131">
        <v>1</v>
      </c>
      <c r="B953" s="136">
        <v>1405087</v>
      </c>
      <c r="C953" s="128" t="s">
        <v>934</v>
      </c>
      <c r="D953" s="136" t="s">
        <v>1144</v>
      </c>
      <c r="E953" s="147" t="s">
        <v>38</v>
      </c>
      <c r="F953" s="129" t="s">
        <v>1043</v>
      </c>
      <c r="G953" s="147" t="s">
        <v>1731</v>
      </c>
      <c r="H953" s="189">
        <f t="shared" si="15"/>
        <v>0</v>
      </c>
      <c r="I953" s="213"/>
      <c r="J953" s="149"/>
      <c r="K953" s="147">
        <v>11</v>
      </c>
      <c r="L953" s="147">
        <v>1</v>
      </c>
      <c r="M953" s="147">
        <v>12</v>
      </c>
      <c r="N953" s="275"/>
      <c r="O953" s="194"/>
      <c r="P953" s="179"/>
      <c r="Q953" s="173"/>
      <c r="R953" s="260">
        <v>0</v>
      </c>
      <c r="S953" s="167"/>
      <c r="T953" s="129" t="s">
        <v>64</v>
      </c>
      <c r="U953" s="147" t="s">
        <v>37</v>
      </c>
      <c r="V953" s="129"/>
      <c r="W953" s="162" t="s">
        <v>54</v>
      </c>
      <c r="X953" s="205"/>
      <c r="Y953" s="251"/>
      <c r="Z953" s="155"/>
      <c r="AA953" s="230"/>
    </row>
    <row r="954" spans="1:27" s="181" customFormat="1" hidden="1" x14ac:dyDescent="0.25">
      <c r="A954" s="131">
        <v>1</v>
      </c>
      <c r="B954" s="136">
        <v>1405088</v>
      </c>
      <c r="C954" s="128" t="s">
        <v>934</v>
      </c>
      <c r="D954" s="136" t="s">
        <v>1145</v>
      </c>
      <c r="E954" s="147" t="s">
        <v>38</v>
      </c>
      <c r="F954" s="129" t="s">
        <v>1043</v>
      </c>
      <c r="G954" s="147" t="s">
        <v>1731</v>
      </c>
      <c r="H954" s="189">
        <f t="shared" si="15"/>
        <v>0</v>
      </c>
      <c r="I954" s="213"/>
      <c r="J954" s="149"/>
      <c r="K954" s="147">
        <v>11</v>
      </c>
      <c r="L954" s="147">
        <v>1</v>
      </c>
      <c r="M954" s="147">
        <v>12</v>
      </c>
      <c r="N954" s="275"/>
      <c r="O954" s="194"/>
      <c r="P954" s="179"/>
      <c r="Q954" s="173"/>
      <c r="R954" s="260">
        <v>0</v>
      </c>
      <c r="S954" s="167"/>
      <c r="T954" s="129" t="s">
        <v>64</v>
      </c>
      <c r="U954" s="147" t="s">
        <v>37</v>
      </c>
      <c r="V954" s="129"/>
      <c r="W954" s="162" t="s">
        <v>54</v>
      </c>
      <c r="X954" s="205"/>
      <c r="Y954" s="251"/>
      <c r="Z954" s="155"/>
      <c r="AA954" s="230"/>
    </row>
    <row r="955" spans="1:27" s="181" customFormat="1" hidden="1" x14ac:dyDescent="0.25">
      <c r="A955" s="131">
        <v>1</v>
      </c>
      <c r="B955" s="136">
        <v>1405089</v>
      </c>
      <c r="C955" s="128" t="s">
        <v>934</v>
      </c>
      <c r="D955" s="136" t="s">
        <v>1146</v>
      </c>
      <c r="E955" s="147" t="s">
        <v>38</v>
      </c>
      <c r="F955" s="129" t="s">
        <v>1043</v>
      </c>
      <c r="G955" s="147" t="s">
        <v>1731</v>
      </c>
      <c r="H955" s="189">
        <f t="shared" si="15"/>
        <v>0</v>
      </c>
      <c r="I955" s="213"/>
      <c r="J955" s="149"/>
      <c r="K955" s="147">
        <v>11</v>
      </c>
      <c r="L955" s="147">
        <v>1</v>
      </c>
      <c r="M955" s="147">
        <v>12</v>
      </c>
      <c r="N955" s="275"/>
      <c r="O955" s="194"/>
      <c r="P955" s="179"/>
      <c r="Q955" s="173"/>
      <c r="R955" s="260">
        <v>0</v>
      </c>
      <c r="S955" s="167"/>
      <c r="T955" s="129" t="s">
        <v>64</v>
      </c>
      <c r="U955" s="147" t="s">
        <v>37</v>
      </c>
      <c r="V955" s="129"/>
      <c r="W955" s="162" t="s">
        <v>54</v>
      </c>
      <c r="X955" s="205"/>
      <c r="Y955" s="251"/>
      <c r="Z955" s="155"/>
      <c r="AA955" s="230"/>
    </row>
    <row r="956" spans="1:27" s="181" customFormat="1" hidden="1" x14ac:dyDescent="0.25">
      <c r="A956" s="131">
        <v>1</v>
      </c>
      <c r="B956" s="136">
        <v>1405090</v>
      </c>
      <c r="C956" s="128" t="s">
        <v>934</v>
      </c>
      <c r="D956" s="136" t="s">
        <v>1147</v>
      </c>
      <c r="E956" s="147" t="s">
        <v>38</v>
      </c>
      <c r="F956" s="129" t="s">
        <v>1043</v>
      </c>
      <c r="G956" s="147" t="s">
        <v>1731</v>
      </c>
      <c r="H956" s="189">
        <f t="shared" si="15"/>
        <v>0</v>
      </c>
      <c r="I956" s="213"/>
      <c r="J956" s="149"/>
      <c r="K956" s="147">
        <v>11</v>
      </c>
      <c r="L956" s="147">
        <v>1</v>
      </c>
      <c r="M956" s="147">
        <v>12</v>
      </c>
      <c r="N956" s="275"/>
      <c r="O956" s="194"/>
      <c r="P956" s="179"/>
      <c r="Q956" s="173"/>
      <c r="R956" s="260">
        <v>0</v>
      </c>
      <c r="S956" s="167"/>
      <c r="T956" s="129" t="s">
        <v>64</v>
      </c>
      <c r="U956" s="147" t="s">
        <v>37</v>
      </c>
      <c r="V956" s="129"/>
      <c r="W956" s="162" t="s">
        <v>54</v>
      </c>
      <c r="X956" s="205"/>
      <c r="Y956" s="251"/>
      <c r="Z956" s="155"/>
      <c r="AA956" s="230"/>
    </row>
    <row r="957" spans="1:27" s="181" customFormat="1" hidden="1" x14ac:dyDescent="0.25">
      <c r="A957" s="131">
        <v>1</v>
      </c>
      <c r="B957" s="136">
        <v>1405091</v>
      </c>
      <c r="C957" s="128" t="s">
        <v>934</v>
      </c>
      <c r="D957" s="136" t="s">
        <v>1148</v>
      </c>
      <c r="E957" s="147" t="s">
        <v>38</v>
      </c>
      <c r="F957" s="129" t="s">
        <v>1043</v>
      </c>
      <c r="G957" s="147" t="s">
        <v>1731</v>
      </c>
      <c r="H957" s="189">
        <f t="shared" si="15"/>
        <v>0</v>
      </c>
      <c r="I957" s="213"/>
      <c r="J957" s="149"/>
      <c r="K957" s="147">
        <v>11</v>
      </c>
      <c r="L957" s="147">
        <v>1</v>
      </c>
      <c r="M957" s="147">
        <v>12</v>
      </c>
      <c r="N957" s="275"/>
      <c r="O957" s="194"/>
      <c r="P957" s="179"/>
      <c r="Q957" s="173"/>
      <c r="R957" s="260">
        <v>0</v>
      </c>
      <c r="S957" s="167"/>
      <c r="T957" s="129" t="s">
        <v>64</v>
      </c>
      <c r="U957" s="147" t="s">
        <v>37</v>
      </c>
      <c r="V957" s="129"/>
      <c r="W957" s="162" t="s">
        <v>54</v>
      </c>
      <c r="X957" s="205"/>
      <c r="Y957" s="251"/>
      <c r="Z957" s="155"/>
      <c r="AA957" s="230"/>
    </row>
    <row r="958" spans="1:27" ht="24" hidden="1" x14ac:dyDescent="0.25">
      <c r="A958" s="131">
        <v>1</v>
      </c>
      <c r="B958" s="136">
        <v>1405092</v>
      </c>
      <c r="C958" s="128" t="s">
        <v>934</v>
      </c>
      <c r="D958" s="136" t="s">
        <v>1149</v>
      </c>
      <c r="E958" s="147" t="s">
        <v>38</v>
      </c>
      <c r="F958" s="129" t="s">
        <v>1043</v>
      </c>
      <c r="G958" s="147" t="s">
        <v>1731</v>
      </c>
      <c r="H958" s="189">
        <f t="shared" si="15"/>
        <v>0</v>
      </c>
      <c r="I958" s="213"/>
      <c r="J958" s="149"/>
      <c r="K958" s="147">
        <v>11</v>
      </c>
      <c r="L958" s="147">
        <v>1</v>
      </c>
      <c r="M958" s="147">
        <v>12</v>
      </c>
      <c r="N958" s="275"/>
      <c r="O958" s="194"/>
      <c r="P958" s="179"/>
      <c r="Q958" s="173"/>
      <c r="R958" s="260">
        <v>0</v>
      </c>
      <c r="S958" s="167"/>
      <c r="T958" s="129" t="s">
        <v>64</v>
      </c>
      <c r="U958" s="147" t="s">
        <v>37</v>
      </c>
      <c r="V958" s="129"/>
      <c r="W958" s="162" t="s">
        <v>54</v>
      </c>
      <c r="X958" s="205"/>
      <c r="Y958" s="251"/>
      <c r="Z958" s="155"/>
      <c r="AA958" s="230"/>
    </row>
    <row r="959" spans="1:27" ht="24" hidden="1" x14ac:dyDescent="0.25">
      <c r="A959" s="131">
        <v>1</v>
      </c>
      <c r="B959" s="136">
        <v>1405093</v>
      </c>
      <c r="C959" s="128" t="s">
        <v>934</v>
      </c>
      <c r="D959" s="136" t="s">
        <v>1150</v>
      </c>
      <c r="E959" s="147" t="s">
        <v>38</v>
      </c>
      <c r="F959" s="129" t="s">
        <v>1043</v>
      </c>
      <c r="G959" s="147" t="s">
        <v>1731</v>
      </c>
      <c r="H959" s="189">
        <f t="shared" si="15"/>
        <v>0</v>
      </c>
      <c r="I959" s="213"/>
      <c r="J959" s="149"/>
      <c r="K959" s="147">
        <v>11</v>
      </c>
      <c r="L959" s="147">
        <v>1</v>
      </c>
      <c r="M959" s="147">
        <v>12</v>
      </c>
      <c r="N959" s="275"/>
      <c r="O959" s="194"/>
      <c r="P959" s="179"/>
      <c r="Q959" s="173"/>
      <c r="R959" s="260">
        <v>0</v>
      </c>
      <c r="S959" s="167"/>
      <c r="T959" s="129" t="s">
        <v>64</v>
      </c>
      <c r="U959" s="147" t="s">
        <v>37</v>
      </c>
      <c r="V959" s="129"/>
      <c r="W959" s="162" t="s">
        <v>54</v>
      </c>
      <c r="X959" s="205"/>
      <c r="Y959" s="251"/>
      <c r="Z959" s="155"/>
      <c r="AA959" s="230"/>
    </row>
    <row r="960" spans="1:27" s="181" customFormat="1" ht="24" hidden="1" x14ac:dyDescent="0.25">
      <c r="A960" s="131">
        <v>1</v>
      </c>
      <c r="B960" s="136">
        <v>1405094</v>
      </c>
      <c r="C960" s="128" t="s">
        <v>934</v>
      </c>
      <c r="D960" s="136" t="s">
        <v>1151</v>
      </c>
      <c r="E960" s="147" t="s">
        <v>38</v>
      </c>
      <c r="F960" s="129" t="s">
        <v>1043</v>
      </c>
      <c r="G960" s="147" t="s">
        <v>1731</v>
      </c>
      <c r="H960" s="189">
        <f t="shared" si="15"/>
        <v>0</v>
      </c>
      <c r="I960" s="213"/>
      <c r="J960" s="149"/>
      <c r="K960" s="147">
        <v>11</v>
      </c>
      <c r="L960" s="147">
        <v>1</v>
      </c>
      <c r="M960" s="147">
        <v>12</v>
      </c>
      <c r="N960" s="275"/>
      <c r="O960" s="194"/>
      <c r="P960" s="179"/>
      <c r="Q960" s="173"/>
      <c r="R960" s="260">
        <v>0</v>
      </c>
      <c r="S960" s="167"/>
      <c r="T960" s="129" t="s">
        <v>64</v>
      </c>
      <c r="U960" s="147" t="s">
        <v>37</v>
      </c>
      <c r="V960" s="129"/>
      <c r="W960" s="162" t="s">
        <v>54</v>
      </c>
      <c r="X960" s="205"/>
      <c r="Y960" s="251"/>
      <c r="Z960" s="155"/>
      <c r="AA960" s="230"/>
    </row>
    <row r="961" spans="1:27" s="181" customFormat="1" ht="24" hidden="1" x14ac:dyDescent="0.25">
      <c r="A961" s="131">
        <v>1</v>
      </c>
      <c r="B961" s="136">
        <v>1405095</v>
      </c>
      <c r="C961" s="128" t="s">
        <v>934</v>
      </c>
      <c r="D961" s="136" t="s">
        <v>1152</v>
      </c>
      <c r="E961" s="147" t="s">
        <v>38</v>
      </c>
      <c r="F961" s="129" t="s">
        <v>1043</v>
      </c>
      <c r="G961" s="147" t="s">
        <v>1731</v>
      </c>
      <c r="H961" s="189">
        <f t="shared" si="15"/>
        <v>0</v>
      </c>
      <c r="I961" s="213"/>
      <c r="J961" s="149"/>
      <c r="K961" s="147">
        <v>11</v>
      </c>
      <c r="L961" s="147">
        <v>1</v>
      </c>
      <c r="M961" s="147">
        <v>12</v>
      </c>
      <c r="N961" s="275"/>
      <c r="O961" s="194"/>
      <c r="P961" s="179"/>
      <c r="Q961" s="173"/>
      <c r="R961" s="260">
        <v>0</v>
      </c>
      <c r="S961" s="167"/>
      <c r="T961" s="129" t="s">
        <v>64</v>
      </c>
      <c r="U961" s="147" t="s">
        <v>37</v>
      </c>
      <c r="V961" s="129"/>
      <c r="W961" s="162" t="s">
        <v>54</v>
      </c>
      <c r="X961" s="205"/>
      <c r="Y961" s="251"/>
      <c r="Z961" s="155"/>
      <c r="AA961" s="230"/>
    </row>
    <row r="962" spans="1:27" s="181" customFormat="1" ht="24" hidden="1" x14ac:dyDescent="0.25">
      <c r="A962" s="131">
        <v>1</v>
      </c>
      <c r="B962" s="136">
        <v>1405096</v>
      </c>
      <c r="C962" s="128" t="s">
        <v>934</v>
      </c>
      <c r="D962" s="136" t="s">
        <v>1153</v>
      </c>
      <c r="E962" s="147" t="s">
        <v>38</v>
      </c>
      <c r="F962" s="129" t="s">
        <v>1043</v>
      </c>
      <c r="G962" s="147" t="s">
        <v>1731</v>
      </c>
      <c r="H962" s="189">
        <f t="shared" si="15"/>
        <v>0</v>
      </c>
      <c r="I962" s="213"/>
      <c r="J962" s="149"/>
      <c r="K962" s="147">
        <v>11</v>
      </c>
      <c r="L962" s="147">
        <v>1</v>
      </c>
      <c r="M962" s="147">
        <v>12</v>
      </c>
      <c r="N962" s="275"/>
      <c r="O962" s="194"/>
      <c r="P962" s="179"/>
      <c r="Q962" s="173"/>
      <c r="R962" s="260">
        <v>0</v>
      </c>
      <c r="S962" s="167"/>
      <c r="T962" s="129" t="s">
        <v>64</v>
      </c>
      <c r="U962" s="147" t="s">
        <v>37</v>
      </c>
      <c r="V962" s="129"/>
      <c r="W962" s="162" t="s">
        <v>54</v>
      </c>
      <c r="X962" s="205"/>
      <c r="Y962" s="251"/>
      <c r="Z962" s="155"/>
      <c r="AA962" s="230"/>
    </row>
    <row r="963" spans="1:27" s="181" customFormat="1" ht="24" hidden="1" x14ac:dyDescent="0.25">
      <c r="A963" s="131">
        <v>1</v>
      </c>
      <c r="B963" s="136">
        <v>1405097</v>
      </c>
      <c r="C963" s="128" t="s">
        <v>934</v>
      </c>
      <c r="D963" s="136" t="s">
        <v>1154</v>
      </c>
      <c r="E963" s="147" t="s">
        <v>38</v>
      </c>
      <c r="F963" s="129" t="s">
        <v>1043</v>
      </c>
      <c r="G963" s="147" t="s">
        <v>1731</v>
      </c>
      <c r="H963" s="189">
        <f t="shared" ref="H963:H1016" si="16">Q963+R963</f>
        <v>0</v>
      </c>
      <c r="I963" s="213"/>
      <c r="J963" s="149"/>
      <c r="K963" s="147">
        <v>11</v>
      </c>
      <c r="L963" s="147">
        <v>1</v>
      </c>
      <c r="M963" s="147">
        <v>12</v>
      </c>
      <c r="N963" s="275"/>
      <c r="O963" s="194"/>
      <c r="P963" s="179"/>
      <c r="Q963" s="173"/>
      <c r="R963" s="260">
        <v>0</v>
      </c>
      <c r="S963" s="167"/>
      <c r="T963" s="129" t="s">
        <v>64</v>
      </c>
      <c r="U963" s="147" t="s">
        <v>37</v>
      </c>
      <c r="V963" s="129"/>
      <c r="W963" s="162" t="s">
        <v>54</v>
      </c>
      <c r="X963" s="205"/>
      <c r="Y963" s="251"/>
      <c r="Z963" s="155"/>
      <c r="AA963" s="230"/>
    </row>
    <row r="964" spans="1:27" s="181" customFormat="1" hidden="1" x14ac:dyDescent="0.25">
      <c r="A964" s="131">
        <v>1</v>
      </c>
      <c r="B964" s="136">
        <v>1405098</v>
      </c>
      <c r="C964" s="128" t="s">
        <v>934</v>
      </c>
      <c r="D964" s="136" t="s">
        <v>1155</v>
      </c>
      <c r="E964" s="147" t="s">
        <v>38</v>
      </c>
      <c r="F964" s="129" t="s">
        <v>1043</v>
      </c>
      <c r="G964" s="147" t="s">
        <v>1731</v>
      </c>
      <c r="H964" s="189">
        <f t="shared" si="16"/>
        <v>0</v>
      </c>
      <c r="I964" s="213"/>
      <c r="J964" s="149"/>
      <c r="K964" s="147">
        <v>11</v>
      </c>
      <c r="L964" s="147">
        <v>1</v>
      </c>
      <c r="M964" s="147">
        <v>12</v>
      </c>
      <c r="N964" s="275"/>
      <c r="O964" s="194"/>
      <c r="P964" s="179"/>
      <c r="Q964" s="173"/>
      <c r="R964" s="260">
        <v>0</v>
      </c>
      <c r="S964" s="167"/>
      <c r="T964" s="129" t="s">
        <v>64</v>
      </c>
      <c r="U964" s="147" t="s">
        <v>37</v>
      </c>
      <c r="V964" s="129"/>
      <c r="W964" s="162" t="s">
        <v>54</v>
      </c>
      <c r="X964" s="205"/>
      <c r="Y964" s="251"/>
      <c r="Z964" s="155"/>
      <c r="AA964" s="230"/>
    </row>
    <row r="965" spans="1:27" hidden="1" x14ac:dyDescent="0.25">
      <c r="A965" s="131">
        <v>1</v>
      </c>
      <c r="B965" s="136">
        <v>1405099</v>
      </c>
      <c r="C965" s="128" t="s">
        <v>934</v>
      </c>
      <c r="D965" s="136" t="s">
        <v>1157</v>
      </c>
      <c r="E965" s="147" t="s">
        <v>38</v>
      </c>
      <c r="F965" s="129" t="s">
        <v>1043</v>
      </c>
      <c r="G965" s="147" t="s">
        <v>1731</v>
      </c>
      <c r="H965" s="189">
        <f t="shared" si="16"/>
        <v>0</v>
      </c>
      <c r="I965" s="213"/>
      <c r="J965" s="149"/>
      <c r="K965" s="147">
        <v>11</v>
      </c>
      <c r="L965" s="147">
        <v>1</v>
      </c>
      <c r="M965" s="147">
        <v>12</v>
      </c>
      <c r="N965" s="275"/>
      <c r="O965" s="194"/>
      <c r="P965" s="179"/>
      <c r="Q965" s="173"/>
      <c r="R965" s="260">
        <v>0</v>
      </c>
      <c r="S965" s="167"/>
      <c r="T965" s="129" t="s">
        <v>64</v>
      </c>
      <c r="U965" s="147" t="s">
        <v>37</v>
      </c>
      <c r="V965" s="129"/>
      <c r="W965" s="162" t="s">
        <v>54</v>
      </c>
      <c r="X965" s="205"/>
      <c r="Y965" s="251"/>
      <c r="Z965" s="155"/>
      <c r="AA965" s="230"/>
    </row>
    <row r="966" spans="1:27" s="181" customFormat="1" ht="24" hidden="1" x14ac:dyDescent="0.25">
      <c r="A966" s="131">
        <v>1</v>
      </c>
      <c r="B966" s="136">
        <v>1405100</v>
      </c>
      <c r="C966" s="128" t="s">
        <v>934</v>
      </c>
      <c r="D966" s="136" t="s">
        <v>1158</v>
      </c>
      <c r="E966" s="147" t="s">
        <v>38</v>
      </c>
      <c r="F966" s="129" t="s">
        <v>1043</v>
      </c>
      <c r="G966" s="147" t="s">
        <v>1731</v>
      </c>
      <c r="H966" s="189">
        <f t="shared" si="16"/>
        <v>0</v>
      </c>
      <c r="I966" s="213"/>
      <c r="J966" s="149"/>
      <c r="K966" s="147"/>
      <c r="L966" s="147"/>
      <c r="M966" s="147">
        <v>12</v>
      </c>
      <c r="N966" s="275">
        <v>1100</v>
      </c>
      <c r="O966" s="194"/>
      <c r="P966" s="179"/>
      <c r="Q966" s="173"/>
      <c r="R966" s="260">
        <v>0</v>
      </c>
      <c r="S966" s="167"/>
      <c r="T966" s="129" t="s">
        <v>64</v>
      </c>
      <c r="U966" s="147" t="s">
        <v>37</v>
      </c>
      <c r="V966" s="129"/>
      <c r="W966" s="162" t="s">
        <v>54</v>
      </c>
      <c r="X966" s="205"/>
      <c r="Y966" s="251"/>
      <c r="Z966" s="155"/>
      <c r="AA966" s="230"/>
    </row>
    <row r="967" spans="1:27" s="181" customFormat="1" ht="24" hidden="1" x14ac:dyDescent="0.25">
      <c r="A967" s="131">
        <v>1</v>
      </c>
      <c r="B967" s="136">
        <v>1405101</v>
      </c>
      <c r="C967" s="128" t="s">
        <v>934</v>
      </c>
      <c r="D967" s="136" t="s">
        <v>1159</v>
      </c>
      <c r="E967" s="147" t="s">
        <v>38</v>
      </c>
      <c r="F967" s="129" t="s">
        <v>1043</v>
      </c>
      <c r="G967" s="147" t="s">
        <v>1731</v>
      </c>
      <c r="H967" s="189">
        <f t="shared" si="16"/>
        <v>0</v>
      </c>
      <c r="I967" s="213"/>
      <c r="J967" s="149"/>
      <c r="K967" s="147"/>
      <c r="L967" s="147"/>
      <c r="M967" s="147">
        <v>12</v>
      </c>
      <c r="N967" s="275">
        <v>1100</v>
      </c>
      <c r="O967" s="194"/>
      <c r="P967" s="179"/>
      <c r="Q967" s="173"/>
      <c r="R967" s="260">
        <v>0</v>
      </c>
      <c r="S967" s="167"/>
      <c r="T967" s="129" t="s">
        <v>64</v>
      </c>
      <c r="U967" s="147" t="s">
        <v>37</v>
      </c>
      <c r="V967" s="129"/>
      <c r="W967" s="162" t="s">
        <v>54</v>
      </c>
      <c r="X967" s="205"/>
      <c r="Y967" s="251"/>
      <c r="Z967" s="155"/>
      <c r="AA967" s="230"/>
    </row>
    <row r="968" spans="1:27" s="181" customFormat="1" ht="24" hidden="1" x14ac:dyDescent="0.25">
      <c r="A968" s="131">
        <v>1</v>
      </c>
      <c r="B968" s="136">
        <v>1405102</v>
      </c>
      <c r="C968" s="128" t="s">
        <v>934</v>
      </c>
      <c r="D968" s="136" t="s">
        <v>1160</v>
      </c>
      <c r="E968" s="147" t="s">
        <v>38</v>
      </c>
      <c r="F968" s="129" t="s">
        <v>1075</v>
      </c>
      <c r="G968" s="147" t="s">
        <v>1731</v>
      </c>
      <c r="H968" s="189">
        <f t="shared" si="16"/>
        <v>0</v>
      </c>
      <c r="I968" s="180" t="s">
        <v>2213</v>
      </c>
      <c r="J968" s="148">
        <v>45</v>
      </c>
      <c r="K968" s="147">
        <v>1</v>
      </c>
      <c r="L968" s="147">
        <v>1</v>
      </c>
      <c r="M968" s="147">
        <v>2</v>
      </c>
      <c r="N968" s="275"/>
      <c r="O968" s="193"/>
      <c r="P968" s="179"/>
      <c r="Q968" s="173"/>
      <c r="R968" s="260">
        <v>0</v>
      </c>
      <c r="S968" s="167" t="s">
        <v>35</v>
      </c>
      <c r="T968" s="129" t="s">
        <v>1075</v>
      </c>
      <c r="U968" s="147" t="s">
        <v>35</v>
      </c>
      <c r="V968" s="129"/>
      <c r="W968" s="147" t="s">
        <v>2455</v>
      </c>
      <c r="X968" s="205"/>
      <c r="Y968" s="251"/>
      <c r="Z968" s="290"/>
      <c r="AA968" s="286"/>
    </row>
    <row r="969" spans="1:27" s="181" customFormat="1" hidden="1" x14ac:dyDescent="0.25">
      <c r="A969" s="131">
        <v>1</v>
      </c>
      <c r="B969" s="136">
        <v>1405103</v>
      </c>
      <c r="C969" s="128" t="s">
        <v>934</v>
      </c>
      <c r="D969" s="136" t="s">
        <v>1164</v>
      </c>
      <c r="E969" s="147" t="s">
        <v>38</v>
      </c>
      <c r="F969" s="129" t="s">
        <v>1075</v>
      </c>
      <c r="G969" s="147" t="s">
        <v>1731</v>
      </c>
      <c r="H969" s="189">
        <f t="shared" si="16"/>
        <v>0</v>
      </c>
      <c r="I969" s="180" t="s">
        <v>2213</v>
      </c>
      <c r="J969" s="148">
        <v>45</v>
      </c>
      <c r="K969" s="147">
        <v>1</v>
      </c>
      <c r="L969" s="147">
        <v>1</v>
      </c>
      <c r="M969" s="147">
        <v>2</v>
      </c>
      <c r="N969" s="275"/>
      <c r="O969" s="193"/>
      <c r="P969" s="179"/>
      <c r="Q969" s="173"/>
      <c r="R969" s="260">
        <v>0</v>
      </c>
      <c r="S969" s="167" t="s">
        <v>35</v>
      </c>
      <c r="T969" s="129" t="s">
        <v>1075</v>
      </c>
      <c r="U969" s="147" t="s">
        <v>35</v>
      </c>
      <c r="V969" s="129"/>
      <c r="W969" s="147" t="s">
        <v>2455</v>
      </c>
      <c r="X969" s="205"/>
      <c r="Y969" s="251"/>
      <c r="Z969" s="290"/>
      <c r="AA969" s="286"/>
    </row>
    <row r="970" spans="1:27" s="181" customFormat="1" x14ac:dyDescent="0.25">
      <c r="A970" s="131">
        <v>1</v>
      </c>
      <c r="B970" s="136">
        <v>1406001</v>
      </c>
      <c r="C970" s="128" t="s">
        <v>934</v>
      </c>
      <c r="D970" s="128" t="s">
        <v>1165</v>
      </c>
      <c r="E970" s="147" t="s">
        <v>38</v>
      </c>
      <c r="F970" s="129" t="s">
        <v>1166</v>
      </c>
      <c r="G970" s="147" t="s">
        <v>1731</v>
      </c>
      <c r="H970" s="189">
        <f t="shared" si="16"/>
        <v>0.62</v>
      </c>
      <c r="I970" s="210" t="s">
        <v>2082</v>
      </c>
      <c r="J970" s="146">
        <v>30</v>
      </c>
      <c r="K970" s="147">
        <v>22</v>
      </c>
      <c r="L970" s="147">
        <v>2</v>
      </c>
      <c r="M970" s="147">
        <v>24</v>
      </c>
      <c r="N970" s="275">
        <v>20000</v>
      </c>
      <c r="O970" s="193">
        <v>0.52</v>
      </c>
      <c r="P970" s="179">
        <v>45076</v>
      </c>
      <c r="Q970" s="173">
        <v>0.56999999999999995</v>
      </c>
      <c r="R970" s="271">
        <v>0.05</v>
      </c>
      <c r="S970" s="164"/>
      <c r="T970" s="129" t="s">
        <v>36</v>
      </c>
      <c r="U970" s="147" t="s">
        <v>37</v>
      </c>
      <c r="V970" s="129"/>
      <c r="W970" s="147" t="s">
        <v>2208</v>
      </c>
      <c r="X970" s="205" t="s">
        <v>1009</v>
      </c>
      <c r="Y970" s="251"/>
      <c r="Z970" s="290"/>
      <c r="AA970" s="286"/>
    </row>
    <row r="971" spans="1:27" s="181" customFormat="1" hidden="1" x14ac:dyDescent="0.25">
      <c r="A971" s="131">
        <v>1</v>
      </c>
      <c r="B971" s="136">
        <v>1406005</v>
      </c>
      <c r="C971" s="128" t="s">
        <v>934</v>
      </c>
      <c r="D971" s="128" t="s">
        <v>1170</v>
      </c>
      <c r="E971" s="147" t="s">
        <v>38</v>
      </c>
      <c r="F971" s="138" t="s">
        <v>57</v>
      </c>
      <c r="G971" s="147" t="s">
        <v>1731</v>
      </c>
      <c r="H971" s="189">
        <f t="shared" si="16"/>
        <v>0</v>
      </c>
      <c r="I971" s="213"/>
      <c r="J971" s="149"/>
      <c r="K971" s="147">
        <v>12</v>
      </c>
      <c r="L971" s="147">
        <v>1</v>
      </c>
      <c r="M971" s="147">
        <v>13</v>
      </c>
      <c r="N971" s="275"/>
      <c r="O971" s="194"/>
      <c r="P971" s="179"/>
      <c r="Q971" s="173"/>
      <c r="R971" s="260">
        <v>0</v>
      </c>
      <c r="S971" s="167"/>
      <c r="T971" s="138" t="s">
        <v>57</v>
      </c>
      <c r="U971" s="147" t="s">
        <v>37</v>
      </c>
      <c r="V971" s="129"/>
      <c r="W971" s="162" t="s">
        <v>54</v>
      </c>
      <c r="X971" s="205"/>
      <c r="Y971" s="251"/>
      <c r="Z971" s="155"/>
      <c r="AA971" s="230"/>
    </row>
    <row r="972" spans="1:27" s="181" customFormat="1" ht="24" hidden="1" x14ac:dyDescent="0.25">
      <c r="A972" s="131">
        <v>1</v>
      </c>
      <c r="B972" s="136">
        <v>1407001</v>
      </c>
      <c r="C972" s="128" t="s">
        <v>934</v>
      </c>
      <c r="D972" s="128" t="s">
        <v>1171</v>
      </c>
      <c r="E972" s="147" t="s">
        <v>38</v>
      </c>
      <c r="F972" s="129" t="s">
        <v>1173</v>
      </c>
      <c r="G972" s="147" t="s">
        <v>1731</v>
      </c>
      <c r="H972" s="189">
        <f t="shared" si="16"/>
        <v>0</v>
      </c>
      <c r="I972" s="213"/>
      <c r="J972" s="149"/>
      <c r="K972" s="147">
        <v>11</v>
      </c>
      <c r="L972" s="147">
        <v>1</v>
      </c>
      <c r="M972" s="147">
        <v>12</v>
      </c>
      <c r="N972" s="275"/>
      <c r="O972" s="194"/>
      <c r="P972" s="179"/>
      <c r="Q972" s="173"/>
      <c r="R972" s="260">
        <v>0</v>
      </c>
      <c r="S972" s="167"/>
      <c r="T972" s="129" t="s">
        <v>64</v>
      </c>
      <c r="U972" s="147" t="s">
        <v>37</v>
      </c>
      <c r="V972" s="129"/>
      <c r="W972" s="176" t="s">
        <v>2519</v>
      </c>
      <c r="X972" s="205"/>
      <c r="Y972" s="251"/>
      <c r="Z972" s="155"/>
      <c r="AA972" s="230"/>
    </row>
    <row r="973" spans="1:27" s="181" customFormat="1" hidden="1" x14ac:dyDescent="0.25">
      <c r="A973" s="131">
        <v>1</v>
      </c>
      <c r="B973" s="136">
        <v>1407002</v>
      </c>
      <c r="C973" s="128" t="s">
        <v>934</v>
      </c>
      <c r="D973" s="128" t="s">
        <v>1177</v>
      </c>
      <c r="E973" s="147" t="s">
        <v>38</v>
      </c>
      <c r="F973" s="129" t="s">
        <v>1178</v>
      </c>
      <c r="G973" s="147" t="s">
        <v>1731</v>
      </c>
      <c r="H973" s="189">
        <f t="shared" si="16"/>
        <v>0</v>
      </c>
      <c r="I973" s="213"/>
      <c r="J973" s="149"/>
      <c r="K973" s="147">
        <v>11</v>
      </c>
      <c r="L973" s="147">
        <v>1</v>
      </c>
      <c r="M973" s="147">
        <v>12</v>
      </c>
      <c r="N973" s="275">
        <v>20000</v>
      </c>
      <c r="O973" s="194"/>
      <c r="P973" s="179"/>
      <c r="Q973" s="173"/>
      <c r="R973" s="260">
        <v>0</v>
      </c>
      <c r="S973" s="167"/>
      <c r="T973" s="129" t="s">
        <v>64</v>
      </c>
      <c r="U973" s="147" t="s">
        <v>37</v>
      </c>
      <c r="V973" s="129"/>
      <c r="W973" s="162" t="s">
        <v>54</v>
      </c>
      <c r="X973" s="205"/>
      <c r="Y973" s="251"/>
      <c r="Z973" s="155"/>
      <c r="AA973" s="230"/>
    </row>
    <row r="974" spans="1:27" s="181" customFormat="1" hidden="1" x14ac:dyDescent="0.25">
      <c r="A974" s="131">
        <v>1</v>
      </c>
      <c r="B974" s="136">
        <v>1407003</v>
      </c>
      <c r="C974" s="128" t="s">
        <v>934</v>
      </c>
      <c r="D974" s="128" t="s">
        <v>1179</v>
      </c>
      <c r="E974" s="147" t="s">
        <v>38</v>
      </c>
      <c r="F974" s="129" t="s">
        <v>1075</v>
      </c>
      <c r="G974" s="147" t="s">
        <v>1731</v>
      </c>
      <c r="H974" s="189">
        <f t="shared" si="16"/>
        <v>0</v>
      </c>
      <c r="I974" s="180" t="s">
        <v>2213</v>
      </c>
      <c r="J974" s="148">
        <v>45</v>
      </c>
      <c r="K974" s="147">
        <v>1</v>
      </c>
      <c r="L974" s="147">
        <v>1</v>
      </c>
      <c r="M974" s="147">
        <v>2</v>
      </c>
      <c r="N974" s="275"/>
      <c r="O974" s="193"/>
      <c r="P974" s="179"/>
      <c r="Q974" s="173"/>
      <c r="R974" s="260">
        <v>0</v>
      </c>
      <c r="S974" s="167" t="s">
        <v>35</v>
      </c>
      <c r="T974" s="129" t="s">
        <v>1075</v>
      </c>
      <c r="U974" s="147" t="s">
        <v>35</v>
      </c>
      <c r="V974" s="129"/>
      <c r="W974" s="147" t="s">
        <v>2455</v>
      </c>
      <c r="X974" s="205"/>
      <c r="Y974" s="251"/>
      <c r="Z974" s="290"/>
      <c r="AA974" s="286"/>
    </row>
    <row r="975" spans="1:27" s="181" customFormat="1" hidden="1" x14ac:dyDescent="0.25">
      <c r="A975" s="131">
        <v>1</v>
      </c>
      <c r="B975" s="136">
        <v>1407004</v>
      </c>
      <c r="C975" s="128" t="s">
        <v>934</v>
      </c>
      <c r="D975" s="128" t="s">
        <v>1181</v>
      </c>
      <c r="E975" s="147" t="s">
        <v>38</v>
      </c>
      <c r="F975" s="138" t="s">
        <v>57</v>
      </c>
      <c r="G975" s="147" t="s">
        <v>1731</v>
      </c>
      <c r="H975" s="189">
        <f t="shared" si="16"/>
        <v>0</v>
      </c>
      <c r="I975" s="213"/>
      <c r="J975" s="149"/>
      <c r="K975" s="147">
        <v>12</v>
      </c>
      <c r="L975" s="147">
        <v>1</v>
      </c>
      <c r="M975" s="147">
        <v>13</v>
      </c>
      <c r="N975" s="275"/>
      <c r="O975" s="194"/>
      <c r="P975" s="179"/>
      <c r="Q975" s="173"/>
      <c r="R975" s="260">
        <v>0</v>
      </c>
      <c r="S975" s="167"/>
      <c r="T975" s="129" t="s">
        <v>64</v>
      </c>
      <c r="U975" s="147" t="s">
        <v>37</v>
      </c>
      <c r="V975" s="129"/>
      <c r="W975" s="162" t="s">
        <v>54</v>
      </c>
      <c r="X975" s="205"/>
      <c r="Y975" s="251"/>
      <c r="Z975" s="155"/>
      <c r="AA975" s="230"/>
    </row>
    <row r="976" spans="1:27" s="181" customFormat="1" hidden="1" x14ac:dyDescent="0.25">
      <c r="A976" s="131">
        <v>1</v>
      </c>
      <c r="B976" s="136">
        <v>1407005</v>
      </c>
      <c r="C976" s="128" t="s">
        <v>934</v>
      </c>
      <c r="D976" s="128" t="s">
        <v>1182</v>
      </c>
      <c r="E976" s="147" t="s">
        <v>38</v>
      </c>
      <c r="F976" s="138" t="s">
        <v>57</v>
      </c>
      <c r="G976" s="147" t="s">
        <v>1731</v>
      </c>
      <c r="H976" s="189">
        <f t="shared" si="16"/>
        <v>0</v>
      </c>
      <c r="I976" s="213"/>
      <c r="J976" s="149"/>
      <c r="K976" s="147">
        <v>12</v>
      </c>
      <c r="L976" s="147">
        <v>1</v>
      </c>
      <c r="M976" s="147">
        <v>13</v>
      </c>
      <c r="N976" s="275"/>
      <c r="O976" s="194"/>
      <c r="P976" s="179"/>
      <c r="Q976" s="173"/>
      <c r="R976" s="260">
        <v>0</v>
      </c>
      <c r="S976" s="167"/>
      <c r="T976" s="138" t="s">
        <v>57</v>
      </c>
      <c r="U976" s="147" t="s">
        <v>37</v>
      </c>
      <c r="V976" s="129"/>
      <c r="W976" s="162" t="s">
        <v>54</v>
      </c>
      <c r="X976" s="205"/>
      <c r="Y976" s="251"/>
      <c r="Z976" s="155"/>
      <c r="AA976" s="230"/>
    </row>
    <row r="977" spans="1:27 16382:16382" hidden="1" x14ac:dyDescent="0.25">
      <c r="A977" s="131">
        <v>1</v>
      </c>
      <c r="B977" s="136">
        <v>1407007</v>
      </c>
      <c r="C977" s="128" t="s">
        <v>934</v>
      </c>
      <c r="D977" s="136" t="s">
        <v>1183</v>
      </c>
      <c r="E977" s="147" t="s">
        <v>38</v>
      </c>
      <c r="F977" s="129" t="s">
        <v>1173</v>
      </c>
      <c r="G977" s="147" t="s">
        <v>1731</v>
      </c>
      <c r="H977" s="189">
        <f t="shared" si="16"/>
        <v>0</v>
      </c>
      <c r="I977" s="213"/>
      <c r="J977" s="149"/>
      <c r="K977" s="147">
        <v>11</v>
      </c>
      <c r="L977" s="147">
        <v>1</v>
      </c>
      <c r="M977" s="147">
        <v>12</v>
      </c>
      <c r="N977" s="275"/>
      <c r="O977" s="194"/>
      <c r="P977" s="179"/>
      <c r="Q977" s="173"/>
      <c r="R977" s="260">
        <v>0</v>
      </c>
      <c r="S977" s="167"/>
      <c r="T977" s="129" t="s">
        <v>64</v>
      </c>
      <c r="U977" s="147" t="s">
        <v>37</v>
      </c>
      <c r="V977" s="129"/>
      <c r="W977" s="176" t="s">
        <v>2519</v>
      </c>
      <c r="X977" s="205"/>
      <c r="Y977" s="251"/>
      <c r="Z977" s="155"/>
      <c r="AA977" s="230"/>
    </row>
    <row r="978" spans="1:27 16382:16382" s="181" customFormat="1" hidden="1" x14ac:dyDescent="0.25">
      <c r="A978" s="131">
        <v>1</v>
      </c>
      <c r="B978" s="136">
        <v>1407008</v>
      </c>
      <c r="C978" s="128" t="s">
        <v>934</v>
      </c>
      <c r="D978" s="136" t="s">
        <v>1184</v>
      </c>
      <c r="E978" s="147" t="s">
        <v>38</v>
      </c>
      <c r="F978" s="129" t="s">
        <v>1185</v>
      </c>
      <c r="G978" s="147" t="s">
        <v>1731</v>
      </c>
      <c r="H978" s="189">
        <f t="shared" si="16"/>
        <v>0</v>
      </c>
      <c r="I978" s="213"/>
      <c r="J978" s="149"/>
      <c r="K978" s="147">
        <v>11</v>
      </c>
      <c r="L978" s="147">
        <v>1</v>
      </c>
      <c r="M978" s="147">
        <v>12</v>
      </c>
      <c r="N978" s="275">
        <v>1000</v>
      </c>
      <c r="O978" s="194"/>
      <c r="P978" s="179"/>
      <c r="Q978" s="173"/>
      <c r="R978" s="260">
        <v>0</v>
      </c>
      <c r="S978" s="167"/>
      <c r="T978" s="129"/>
      <c r="U978" s="147" t="s">
        <v>37</v>
      </c>
      <c r="V978" s="129"/>
      <c r="W978" s="162" t="s">
        <v>54</v>
      </c>
      <c r="X978" s="205"/>
      <c r="Y978" s="251"/>
      <c r="Z978" s="155"/>
      <c r="AA978" s="230"/>
    </row>
    <row r="979" spans="1:27 16382:16382" hidden="1" x14ac:dyDescent="0.25">
      <c r="A979" s="131">
        <v>1</v>
      </c>
      <c r="B979" s="136">
        <v>1407009</v>
      </c>
      <c r="C979" s="128" t="s">
        <v>934</v>
      </c>
      <c r="D979" s="136" t="s">
        <v>1189</v>
      </c>
      <c r="E979" s="147" t="s">
        <v>38</v>
      </c>
      <c r="F979" s="129" t="s">
        <v>1173</v>
      </c>
      <c r="G979" s="147" t="s">
        <v>1731</v>
      </c>
      <c r="H979" s="189">
        <f t="shared" si="16"/>
        <v>0</v>
      </c>
      <c r="I979" s="213"/>
      <c r="J979" s="149"/>
      <c r="K979" s="147">
        <v>11</v>
      </c>
      <c r="L979" s="147">
        <v>1</v>
      </c>
      <c r="M979" s="147">
        <v>12</v>
      </c>
      <c r="N979" s="275"/>
      <c r="O979" s="194"/>
      <c r="P979" s="179"/>
      <c r="Q979" s="173"/>
      <c r="R979" s="260">
        <v>0</v>
      </c>
      <c r="S979" s="167"/>
      <c r="T979" s="129" t="s">
        <v>64</v>
      </c>
      <c r="U979" s="147" t="s">
        <v>37</v>
      </c>
      <c r="V979" s="129"/>
      <c r="W979" s="176" t="s">
        <v>2519</v>
      </c>
      <c r="X979" s="205"/>
      <c r="Y979" s="251"/>
      <c r="Z979" s="155"/>
      <c r="AA979" s="230"/>
    </row>
    <row r="980" spans="1:27 16382:16382" hidden="1" x14ac:dyDescent="0.25">
      <c r="A980" s="131">
        <v>1</v>
      </c>
      <c r="B980" s="136">
        <v>1407010</v>
      </c>
      <c r="C980" s="128" t="s">
        <v>934</v>
      </c>
      <c r="D980" s="136" t="s">
        <v>1190</v>
      </c>
      <c r="E980" s="147" t="s">
        <v>38</v>
      </c>
      <c r="F980" s="129" t="s">
        <v>36</v>
      </c>
      <c r="G980" s="147" t="s">
        <v>1731</v>
      </c>
      <c r="H980" s="189">
        <f t="shared" si="16"/>
        <v>0.1351</v>
      </c>
      <c r="I980" s="180" t="s">
        <v>2213</v>
      </c>
      <c r="J980" s="150"/>
      <c r="K980" s="147"/>
      <c r="L980" s="147"/>
      <c r="M980" s="147">
        <v>10</v>
      </c>
      <c r="N980" s="275"/>
      <c r="O980" s="194"/>
      <c r="P980" s="179"/>
      <c r="Q980" s="173">
        <v>0.1351</v>
      </c>
      <c r="R980" s="260">
        <v>0</v>
      </c>
      <c r="S980" s="164"/>
      <c r="T980" s="129" t="s">
        <v>36</v>
      </c>
      <c r="U980" s="147" t="s">
        <v>37</v>
      </c>
      <c r="V980" s="129"/>
      <c r="W980" s="162" t="s">
        <v>2519</v>
      </c>
      <c r="X980" s="205"/>
      <c r="Y980" s="251"/>
      <c r="Z980" s="290"/>
      <c r="AA980" s="286"/>
    </row>
    <row r="981" spans="1:27 16382:16382" s="181" customFormat="1" hidden="1" x14ac:dyDescent="0.25">
      <c r="A981" s="131">
        <v>1</v>
      </c>
      <c r="B981" s="136">
        <v>1407011</v>
      </c>
      <c r="C981" s="128" t="s">
        <v>934</v>
      </c>
      <c r="D981" s="136" t="s">
        <v>1191</v>
      </c>
      <c r="E981" s="147" t="s">
        <v>38</v>
      </c>
      <c r="F981" s="129" t="s">
        <v>36</v>
      </c>
      <c r="G981" s="147" t="s">
        <v>1731</v>
      </c>
      <c r="H981" s="189">
        <f t="shared" si="16"/>
        <v>0</v>
      </c>
      <c r="I981" s="180" t="s">
        <v>2213</v>
      </c>
      <c r="J981" s="149"/>
      <c r="K981" s="147"/>
      <c r="L981" s="147"/>
      <c r="M981" s="147">
        <v>7</v>
      </c>
      <c r="N981" s="275"/>
      <c r="O981" s="194"/>
      <c r="P981" s="179"/>
      <c r="Q981" s="173"/>
      <c r="R981" s="260">
        <v>0</v>
      </c>
      <c r="S981" s="167"/>
      <c r="T981" s="129" t="s">
        <v>36</v>
      </c>
      <c r="U981" s="147" t="s">
        <v>37</v>
      </c>
      <c r="V981" s="129"/>
      <c r="W981" s="162" t="s">
        <v>2519</v>
      </c>
      <c r="X981" s="205"/>
      <c r="Y981" s="251"/>
      <c r="Z981" s="290"/>
      <c r="AA981" s="286"/>
    </row>
    <row r="982" spans="1:27 16382:16382" s="181" customFormat="1" hidden="1" x14ac:dyDescent="0.25">
      <c r="A982" s="131">
        <v>1</v>
      </c>
      <c r="B982" s="136">
        <v>1407012</v>
      </c>
      <c r="C982" s="128" t="s">
        <v>934</v>
      </c>
      <c r="D982" s="136" t="s">
        <v>1192</v>
      </c>
      <c r="E982" s="147" t="s">
        <v>38</v>
      </c>
      <c r="F982" s="129" t="s">
        <v>36</v>
      </c>
      <c r="G982" s="147" t="s">
        <v>1731</v>
      </c>
      <c r="H982" s="189">
        <f t="shared" si="16"/>
        <v>0.17660000000000001</v>
      </c>
      <c r="I982" s="180" t="s">
        <v>2213</v>
      </c>
      <c r="J982" s="150"/>
      <c r="K982" s="147"/>
      <c r="L982" s="147"/>
      <c r="M982" s="147">
        <v>7</v>
      </c>
      <c r="N982" s="275"/>
      <c r="O982" s="194"/>
      <c r="P982" s="179"/>
      <c r="Q982" s="173">
        <v>0.17660000000000001</v>
      </c>
      <c r="R982" s="260">
        <v>0</v>
      </c>
      <c r="S982" s="164"/>
      <c r="T982" s="129" t="s">
        <v>36</v>
      </c>
      <c r="U982" s="147" t="s">
        <v>37</v>
      </c>
      <c r="V982" s="129"/>
      <c r="W982" s="162" t="s">
        <v>2519</v>
      </c>
      <c r="X982" s="205"/>
      <c r="Y982" s="251"/>
      <c r="Z982" s="290"/>
      <c r="AA982" s="286"/>
    </row>
    <row r="983" spans="1:27 16382:16382" s="181" customFormat="1" hidden="1" x14ac:dyDescent="0.25">
      <c r="A983" s="131">
        <v>1</v>
      </c>
      <c r="B983" s="136">
        <v>1407013</v>
      </c>
      <c r="C983" s="128" t="s">
        <v>934</v>
      </c>
      <c r="D983" s="136" t="s">
        <v>1193</v>
      </c>
      <c r="E983" s="147" t="s">
        <v>38</v>
      </c>
      <c r="F983" s="129" t="s">
        <v>36</v>
      </c>
      <c r="G983" s="147" t="s">
        <v>1731</v>
      </c>
      <c r="H983" s="189">
        <f t="shared" si="16"/>
        <v>0.24429999999999999</v>
      </c>
      <c r="I983" s="180" t="s">
        <v>2213</v>
      </c>
      <c r="J983" s="150"/>
      <c r="K983" s="147"/>
      <c r="L983" s="147"/>
      <c r="M983" s="147">
        <v>10</v>
      </c>
      <c r="N983" s="275"/>
      <c r="O983" s="194"/>
      <c r="P983" s="179"/>
      <c r="Q983" s="173">
        <v>0.24429999999999999</v>
      </c>
      <c r="R983" s="260">
        <v>0</v>
      </c>
      <c r="S983" s="164"/>
      <c r="T983" s="129" t="s">
        <v>36</v>
      </c>
      <c r="U983" s="147" t="s">
        <v>37</v>
      </c>
      <c r="V983" s="129"/>
      <c r="W983" s="162" t="s">
        <v>2519</v>
      </c>
      <c r="X983" s="205"/>
      <c r="Y983" s="251"/>
      <c r="Z983" s="290"/>
      <c r="AA983" s="286"/>
    </row>
    <row r="984" spans="1:27 16382:16382" s="181" customFormat="1" hidden="1" x14ac:dyDescent="0.25">
      <c r="A984" s="131">
        <v>1</v>
      </c>
      <c r="B984" s="136">
        <v>1407014</v>
      </c>
      <c r="C984" s="128" t="s">
        <v>934</v>
      </c>
      <c r="D984" s="136" t="s">
        <v>1194</v>
      </c>
      <c r="E984" s="147" t="s">
        <v>38</v>
      </c>
      <c r="F984" s="129" t="s">
        <v>36</v>
      </c>
      <c r="G984" s="147" t="s">
        <v>1731</v>
      </c>
      <c r="H984" s="189">
        <f t="shared" si="16"/>
        <v>8.1699999999999995E-2</v>
      </c>
      <c r="I984" s="180" t="s">
        <v>2213</v>
      </c>
      <c r="J984" s="150"/>
      <c r="K984" s="147"/>
      <c r="L984" s="147"/>
      <c r="M984" s="147">
        <v>4</v>
      </c>
      <c r="N984" s="275"/>
      <c r="O984" s="194"/>
      <c r="P984" s="179"/>
      <c r="Q984" s="173">
        <v>8.1699999999999995E-2</v>
      </c>
      <c r="R984" s="260">
        <v>0</v>
      </c>
      <c r="S984" s="164"/>
      <c r="T984" s="129" t="s">
        <v>36</v>
      </c>
      <c r="U984" s="147" t="s">
        <v>37</v>
      </c>
      <c r="V984" s="129"/>
      <c r="W984" s="162" t="s">
        <v>2519</v>
      </c>
      <c r="X984" s="205"/>
      <c r="Y984" s="251"/>
      <c r="Z984" s="290"/>
      <c r="AA984" s="286"/>
    </row>
    <row r="985" spans="1:27 16382:16382" s="181" customFormat="1" ht="24" hidden="1" x14ac:dyDescent="0.25">
      <c r="A985" s="131">
        <v>1</v>
      </c>
      <c r="B985" s="136">
        <v>1407015</v>
      </c>
      <c r="C985" s="128" t="s">
        <v>934</v>
      </c>
      <c r="D985" s="136" t="s">
        <v>1195</v>
      </c>
      <c r="E985" s="147" t="s">
        <v>38</v>
      </c>
      <c r="F985" s="129" t="s">
        <v>36</v>
      </c>
      <c r="G985" s="147" t="s">
        <v>1731</v>
      </c>
      <c r="H985" s="189">
        <f t="shared" si="16"/>
        <v>0</v>
      </c>
      <c r="I985" s="180" t="s">
        <v>2213</v>
      </c>
      <c r="J985" s="149"/>
      <c r="K985" s="147">
        <v>2</v>
      </c>
      <c r="L985" s="147">
        <v>1</v>
      </c>
      <c r="M985" s="147">
        <v>3</v>
      </c>
      <c r="N985" s="275"/>
      <c r="O985" s="194"/>
      <c r="P985" s="179"/>
      <c r="Q985" s="173"/>
      <c r="R985" s="260">
        <v>0</v>
      </c>
      <c r="S985" s="164"/>
      <c r="T985" s="129" t="s">
        <v>36</v>
      </c>
      <c r="U985" s="147" t="s">
        <v>37</v>
      </c>
      <c r="V985" s="129"/>
      <c r="W985" s="162" t="s">
        <v>2519</v>
      </c>
      <c r="X985" s="205"/>
      <c r="Y985" s="251"/>
      <c r="Z985" s="290"/>
      <c r="AA985" s="286"/>
    </row>
    <row r="986" spans="1:27 16382:16382" hidden="1" x14ac:dyDescent="0.25">
      <c r="A986" s="131">
        <v>1</v>
      </c>
      <c r="B986" s="136">
        <v>1407016</v>
      </c>
      <c r="C986" s="128" t="s">
        <v>934</v>
      </c>
      <c r="D986" s="136" t="s">
        <v>1197</v>
      </c>
      <c r="E986" s="147" t="s">
        <v>38</v>
      </c>
      <c r="F986" s="129" t="s">
        <v>36</v>
      </c>
      <c r="G986" s="147" t="s">
        <v>1731</v>
      </c>
      <c r="H986" s="189">
        <f t="shared" si="16"/>
        <v>0</v>
      </c>
      <c r="I986" s="180" t="s">
        <v>2213</v>
      </c>
      <c r="J986" s="150"/>
      <c r="K986" s="147">
        <v>2</v>
      </c>
      <c r="L986" s="147">
        <v>1</v>
      </c>
      <c r="M986" s="147">
        <v>3</v>
      </c>
      <c r="N986" s="275"/>
      <c r="O986" s="194"/>
      <c r="P986" s="179"/>
      <c r="Q986" s="173"/>
      <c r="R986" s="260">
        <v>0</v>
      </c>
      <c r="S986" s="164"/>
      <c r="T986" s="129" t="s">
        <v>36</v>
      </c>
      <c r="U986" s="147" t="s">
        <v>37</v>
      </c>
      <c r="V986" s="129"/>
      <c r="W986" s="162" t="s">
        <v>2519</v>
      </c>
      <c r="X986" s="205"/>
      <c r="Y986" s="251"/>
      <c r="Z986" s="290"/>
      <c r="AA986" s="286"/>
    </row>
    <row r="987" spans="1:27 16382:16382" s="181" customFormat="1" x14ac:dyDescent="0.25">
      <c r="A987" s="131">
        <v>1</v>
      </c>
      <c r="B987" s="136">
        <v>1407017</v>
      </c>
      <c r="C987" s="129" t="s">
        <v>934</v>
      </c>
      <c r="D987" s="136" t="s">
        <v>1723</v>
      </c>
      <c r="E987" s="147" t="s">
        <v>38</v>
      </c>
      <c r="F987" s="129" t="s">
        <v>36</v>
      </c>
      <c r="G987" s="147" t="s">
        <v>1731</v>
      </c>
      <c r="H987" s="189">
        <f t="shared" si="16"/>
        <v>0.65500000000000003</v>
      </c>
      <c r="I987" s="180" t="s">
        <v>2213</v>
      </c>
      <c r="J987" s="150"/>
      <c r="K987" s="147">
        <v>6</v>
      </c>
      <c r="L987" s="147">
        <v>1</v>
      </c>
      <c r="M987" s="147">
        <v>7</v>
      </c>
      <c r="N987" s="275"/>
      <c r="O987" s="197">
        <v>0.3639</v>
      </c>
      <c r="P987" s="179">
        <v>45400</v>
      </c>
      <c r="Q987" s="173">
        <v>0.65500000000000003</v>
      </c>
      <c r="R987" s="260">
        <v>0</v>
      </c>
      <c r="S987" s="164"/>
      <c r="T987" s="129" t="s">
        <v>36</v>
      </c>
      <c r="U987" s="147" t="s">
        <v>37</v>
      </c>
      <c r="V987" s="129"/>
      <c r="W987" s="147" t="s">
        <v>2450</v>
      </c>
      <c r="X987" s="205" t="s">
        <v>1904</v>
      </c>
      <c r="Y987" s="251"/>
      <c r="Z987" s="290"/>
      <c r="AA987" s="286"/>
    </row>
    <row r="988" spans="1:27 16382:16382" s="181" customFormat="1" ht="24" x14ac:dyDescent="0.25">
      <c r="A988" s="131">
        <v>1</v>
      </c>
      <c r="B988" s="136">
        <v>1407018</v>
      </c>
      <c r="C988" s="129" t="s">
        <v>934</v>
      </c>
      <c r="D988" s="136" t="s">
        <v>1200</v>
      </c>
      <c r="E988" s="147" t="s">
        <v>38</v>
      </c>
      <c r="F988" s="129" t="s">
        <v>1201</v>
      </c>
      <c r="G988" s="147" t="s">
        <v>1731</v>
      </c>
      <c r="H988" s="189">
        <f t="shared" si="16"/>
        <v>0.1525</v>
      </c>
      <c r="I988" s="210" t="s">
        <v>2082</v>
      </c>
      <c r="J988" s="146">
        <v>30</v>
      </c>
      <c r="K988" s="147">
        <v>11</v>
      </c>
      <c r="L988" s="147">
        <v>2</v>
      </c>
      <c r="M988" s="147">
        <v>13</v>
      </c>
      <c r="N988" s="275">
        <v>25000</v>
      </c>
      <c r="O988" s="193">
        <v>0.1118</v>
      </c>
      <c r="P988" s="179">
        <v>45280</v>
      </c>
      <c r="Q988" s="173">
        <v>0.10249999999999999</v>
      </c>
      <c r="R988" s="271">
        <v>0.05</v>
      </c>
      <c r="S988" s="164" t="s">
        <v>35</v>
      </c>
      <c r="T988" s="129" t="s">
        <v>2089</v>
      </c>
      <c r="U988" s="147" t="s">
        <v>37</v>
      </c>
      <c r="V988" s="129"/>
      <c r="W988" s="147" t="s">
        <v>2208</v>
      </c>
      <c r="X988" s="208" t="s">
        <v>1988</v>
      </c>
      <c r="Y988" s="251"/>
      <c r="Z988" s="290"/>
      <c r="AA988" s="286"/>
    </row>
    <row r="989" spans="1:27 16382:16382" s="181" customFormat="1" ht="24" x14ac:dyDescent="0.25">
      <c r="A989" s="131">
        <v>1</v>
      </c>
      <c r="B989" s="136">
        <v>1407019</v>
      </c>
      <c r="C989" s="129" t="s">
        <v>934</v>
      </c>
      <c r="D989" s="136" t="s">
        <v>1202</v>
      </c>
      <c r="E989" s="147" t="s">
        <v>38</v>
      </c>
      <c r="F989" s="129" t="s">
        <v>1201</v>
      </c>
      <c r="G989" s="147" t="s">
        <v>1731</v>
      </c>
      <c r="H989" s="189">
        <f t="shared" si="16"/>
        <v>0.35639999999999999</v>
      </c>
      <c r="I989" s="210" t="s">
        <v>2082</v>
      </c>
      <c r="J989" s="146">
        <v>30</v>
      </c>
      <c r="K989" s="147">
        <v>11</v>
      </c>
      <c r="L989" s="147">
        <v>2</v>
      </c>
      <c r="M989" s="147">
        <v>13</v>
      </c>
      <c r="N989" s="275">
        <v>50000</v>
      </c>
      <c r="O989" s="193">
        <v>0.30669999999999997</v>
      </c>
      <c r="P989" s="179">
        <v>45398</v>
      </c>
      <c r="Q989" s="173">
        <v>0.30640000000000001</v>
      </c>
      <c r="R989" s="271">
        <v>0.05</v>
      </c>
      <c r="S989" s="164" t="s">
        <v>35</v>
      </c>
      <c r="T989" s="129" t="s">
        <v>2089</v>
      </c>
      <c r="U989" s="147" t="s">
        <v>37</v>
      </c>
      <c r="V989" s="129"/>
      <c r="W989" s="147" t="s">
        <v>2208</v>
      </c>
      <c r="X989" s="205" t="s">
        <v>1009</v>
      </c>
      <c r="Y989" s="251"/>
      <c r="Z989" s="290"/>
      <c r="AA989" s="286"/>
    </row>
    <row r="990" spans="1:27 16382:16382" s="181" customFormat="1" x14ac:dyDescent="0.25">
      <c r="A990" s="131">
        <v>1</v>
      </c>
      <c r="B990" s="136">
        <v>1407020</v>
      </c>
      <c r="C990" s="129" t="s">
        <v>934</v>
      </c>
      <c r="D990" s="136" t="s">
        <v>1203</v>
      </c>
      <c r="E990" s="147" t="s">
        <v>38</v>
      </c>
      <c r="F990" s="129" t="s">
        <v>1533</v>
      </c>
      <c r="G990" s="147" t="s">
        <v>1731</v>
      </c>
      <c r="H990" s="189">
        <f t="shared" si="16"/>
        <v>0.19</v>
      </c>
      <c r="I990" s="210" t="s">
        <v>2082</v>
      </c>
      <c r="J990" s="146">
        <v>0</v>
      </c>
      <c r="K990" s="147">
        <v>7</v>
      </c>
      <c r="L990" s="147">
        <v>2</v>
      </c>
      <c r="M990" s="147">
        <v>9</v>
      </c>
      <c r="N990" s="275">
        <v>75000</v>
      </c>
      <c r="O990" s="193"/>
      <c r="P990" s="179">
        <v>44956</v>
      </c>
      <c r="Q990" s="173">
        <v>0.14000000000000001</v>
      </c>
      <c r="R990" s="271">
        <v>0.05</v>
      </c>
      <c r="S990" s="164" t="s">
        <v>35</v>
      </c>
      <c r="T990" s="129" t="s">
        <v>2089</v>
      </c>
      <c r="U990" s="147" t="s">
        <v>37</v>
      </c>
      <c r="V990" s="129"/>
      <c r="W990" s="147" t="s">
        <v>2208</v>
      </c>
      <c r="X990" s="205" t="s">
        <v>1914</v>
      </c>
      <c r="Y990" s="251"/>
      <c r="Z990" s="290"/>
      <c r="AA990" s="286"/>
    </row>
    <row r="991" spans="1:27 16382:16382" s="181" customFormat="1" x14ac:dyDescent="0.25">
      <c r="A991" s="155">
        <v>1</v>
      </c>
      <c r="B991" s="136">
        <v>1407021</v>
      </c>
      <c r="C991" s="128" t="s">
        <v>934</v>
      </c>
      <c r="D991" s="128" t="s">
        <v>1656</v>
      </c>
      <c r="E991" s="147" t="s">
        <v>38</v>
      </c>
      <c r="F991" s="129" t="s">
        <v>1703</v>
      </c>
      <c r="G991" s="147" t="s">
        <v>1731</v>
      </c>
      <c r="H991" s="189">
        <f t="shared" si="16"/>
        <v>6.93</v>
      </c>
      <c r="I991" s="180" t="s">
        <v>2213</v>
      </c>
      <c r="J991" s="150"/>
      <c r="K991" s="147">
        <v>1</v>
      </c>
      <c r="L991" s="147">
        <v>1</v>
      </c>
      <c r="M991" s="147">
        <v>2</v>
      </c>
      <c r="N991" s="275"/>
      <c r="O991" s="194"/>
      <c r="P991" s="179"/>
      <c r="Q991" s="173">
        <v>6.88</v>
      </c>
      <c r="R991" s="271">
        <v>0.05</v>
      </c>
      <c r="S991" s="147"/>
      <c r="T991" s="129" t="s">
        <v>1703</v>
      </c>
      <c r="U991" s="147" t="s">
        <v>37</v>
      </c>
      <c r="V991" s="129"/>
      <c r="W991" s="147" t="s">
        <v>2450</v>
      </c>
      <c r="X991" s="205" t="s">
        <v>1904</v>
      </c>
      <c r="Y991" s="251"/>
      <c r="Z991" s="290"/>
      <c r="AA991" s="286"/>
      <c r="XFB991" s="155"/>
    </row>
    <row r="992" spans="1:27 16382:16382" s="181" customFormat="1" x14ac:dyDescent="0.25">
      <c r="A992" s="131">
        <v>1</v>
      </c>
      <c r="B992" s="136">
        <v>1407022</v>
      </c>
      <c r="C992" s="128" t="s">
        <v>934</v>
      </c>
      <c r="D992" s="128" t="s">
        <v>1657</v>
      </c>
      <c r="E992" s="147" t="s">
        <v>38</v>
      </c>
      <c r="F992" s="129" t="s">
        <v>1703</v>
      </c>
      <c r="G992" s="147" t="s">
        <v>1731</v>
      </c>
      <c r="H992" s="189">
        <f t="shared" si="16"/>
        <v>11.780000000000001</v>
      </c>
      <c r="I992" s="180" t="s">
        <v>2213</v>
      </c>
      <c r="J992" s="150"/>
      <c r="K992" s="147">
        <v>1</v>
      </c>
      <c r="L992" s="147">
        <v>1</v>
      </c>
      <c r="M992" s="147">
        <v>2</v>
      </c>
      <c r="N992" s="275"/>
      <c r="O992" s="194"/>
      <c r="P992" s="179"/>
      <c r="Q992" s="173">
        <v>11.73</v>
      </c>
      <c r="R992" s="271">
        <v>0.05</v>
      </c>
      <c r="S992" s="147"/>
      <c r="T992" s="129" t="s">
        <v>1703</v>
      </c>
      <c r="U992" s="147" t="s">
        <v>37</v>
      </c>
      <c r="V992" s="129"/>
      <c r="W992" s="147" t="s">
        <v>2450</v>
      </c>
      <c r="X992" s="205" t="s">
        <v>1904</v>
      </c>
      <c r="Y992" s="251"/>
      <c r="Z992" s="290"/>
      <c r="AA992" s="286"/>
    </row>
    <row r="993" spans="1:27" ht="24" x14ac:dyDescent="0.25">
      <c r="A993" s="141"/>
      <c r="B993" s="136">
        <v>1407023</v>
      </c>
      <c r="C993" s="128" t="s">
        <v>934</v>
      </c>
      <c r="D993" s="128" t="s">
        <v>2311</v>
      </c>
      <c r="E993" s="147" t="s">
        <v>38</v>
      </c>
      <c r="F993" s="129" t="s">
        <v>1941</v>
      </c>
      <c r="G993" s="147" t="s">
        <v>1731</v>
      </c>
      <c r="H993" s="189">
        <f t="shared" si="16"/>
        <v>3.28</v>
      </c>
      <c r="I993" s="210" t="s">
        <v>2452</v>
      </c>
      <c r="J993" s="146">
        <v>30</v>
      </c>
      <c r="K993" s="147">
        <v>21</v>
      </c>
      <c r="L993" s="147">
        <v>1</v>
      </c>
      <c r="M993" s="147">
        <v>22</v>
      </c>
      <c r="N993" s="275">
        <v>200</v>
      </c>
      <c r="O993" s="193"/>
      <c r="P993" s="179">
        <v>45919</v>
      </c>
      <c r="Q993" s="173">
        <v>3.28</v>
      </c>
      <c r="R993" s="271">
        <v>0</v>
      </c>
      <c r="S993" s="147"/>
      <c r="T993" s="129" t="s">
        <v>242</v>
      </c>
      <c r="U993" s="147" t="s">
        <v>35</v>
      </c>
      <c r="V993" s="129"/>
      <c r="W993" s="147" t="s">
        <v>2450</v>
      </c>
      <c r="X993" s="205" t="s">
        <v>1904</v>
      </c>
      <c r="Y993" s="253" t="s">
        <v>2129</v>
      </c>
      <c r="Z993" s="155"/>
      <c r="AA993" s="230"/>
    </row>
    <row r="994" spans="1:27" s="181" customFormat="1" ht="24" x14ac:dyDescent="0.25">
      <c r="A994" s="131"/>
      <c r="B994" s="136">
        <v>1407024</v>
      </c>
      <c r="C994" s="128" t="s">
        <v>934</v>
      </c>
      <c r="D994" s="128" t="s">
        <v>2311</v>
      </c>
      <c r="E994" s="147" t="s">
        <v>38</v>
      </c>
      <c r="F994" s="129" t="s">
        <v>1941</v>
      </c>
      <c r="G994" s="147" t="s">
        <v>1731</v>
      </c>
      <c r="H994" s="189">
        <f t="shared" si="16"/>
        <v>0</v>
      </c>
      <c r="I994" s="210" t="s">
        <v>2452</v>
      </c>
      <c r="J994" s="146">
        <v>30</v>
      </c>
      <c r="K994" s="147">
        <v>21</v>
      </c>
      <c r="L994" s="147">
        <v>1</v>
      </c>
      <c r="M994" s="147">
        <v>22</v>
      </c>
      <c r="N994" s="275"/>
      <c r="O994" s="193"/>
      <c r="P994" s="179"/>
      <c r="Q994" s="173"/>
      <c r="R994" s="271">
        <v>0</v>
      </c>
      <c r="S994" s="147"/>
      <c r="T994" s="129" t="s">
        <v>242</v>
      </c>
      <c r="U994" s="147" t="s">
        <v>35</v>
      </c>
      <c r="V994" s="129"/>
      <c r="W994" s="147" t="s">
        <v>2450</v>
      </c>
      <c r="X994" s="205" t="s">
        <v>1904</v>
      </c>
      <c r="Y994" s="253" t="s">
        <v>2129</v>
      </c>
      <c r="Z994" s="155"/>
      <c r="AA994" s="230"/>
    </row>
    <row r="995" spans="1:27" hidden="1" x14ac:dyDescent="0.25">
      <c r="B995" s="136">
        <v>1407026</v>
      </c>
      <c r="C995" s="128" t="s">
        <v>934</v>
      </c>
      <c r="D995" s="128" t="s">
        <v>1718</v>
      </c>
      <c r="E995" s="147" t="s">
        <v>38</v>
      </c>
      <c r="F995" s="129" t="s">
        <v>2456</v>
      </c>
      <c r="G995" s="147" t="s">
        <v>1731</v>
      </c>
      <c r="H995" s="189">
        <f t="shared" si="16"/>
        <v>8.3378115942028985E-2</v>
      </c>
      <c r="I995" s="180" t="s">
        <v>2213</v>
      </c>
      <c r="J995" s="146">
        <v>45</v>
      </c>
      <c r="K995" s="147">
        <v>11</v>
      </c>
      <c r="L995" s="147">
        <v>1</v>
      </c>
      <c r="M995" s="147">
        <v>12</v>
      </c>
      <c r="N995" s="275">
        <v>12000</v>
      </c>
      <c r="O995" s="193"/>
      <c r="P995" s="179">
        <v>45083</v>
      </c>
      <c r="Q995" s="173">
        <v>8.2110000000000002E-2</v>
      </c>
      <c r="R995" s="271">
        <v>1.2681159420289854E-3</v>
      </c>
      <c r="S995" s="147" t="s">
        <v>35</v>
      </c>
      <c r="T995" s="129" t="s">
        <v>1850</v>
      </c>
      <c r="U995" s="147" t="s">
        <v>35</v>
      </c>
      <c r="V995" s="129" t="s">
        <v>1715</v>
      </c>
      <c r="W995" s="176" t="s">
        <v>54</v>
      </c>
      <c r="X995" s="205" t="s">
        <v>1904</v>
      </c>
      <c r="Y995" s="295">
        <v>45012</v>
      </c>
      <c r="Z995" s="290"/>
      <c r="AA995" s="286"/>
    </row>
    <row r="996" spans="1:27" s="181" customFormat="1" hidden="1" x14ac:dyDescent="0.25">
      <c r="A996" s="131"/>
      <c r="B996" s="136">
        <v>1407027</v>
      </c>
      <c r="C996" s="128" t="s">
        <v>934</v>
      </c>
      <c r="D996" s="128" t="s">
        <v>1741</v>
      </c>
      <c r="E996" s="147" t="s">
        <v>38</v>
      </c>
      <c r="F996" s="129" t="s">
        <v>2456</v>
      </c>
      <c r="G996" s="147" t="s">
        <v>1731</v>
      </c>
      <c r="H996" s="189">
        <f t="shared" si="16"/>
        <v>3.3433999999999999</v>
      </c>
      <c r="I996" s="180" t="s">
        <v>2213</v>
      </c>
      <c r="J996" s="148">
        <v>60</v>
      </c>
      <c r="K996" s="147">
        <v>1</v>
      </c>
      <c r="L996" s="147">
        <v>1</v>
      </c>
      <c r="M996" s="147">
        <v>2</v>
      </c>
      <c r="N996" s="275"/>
      <c r="O996" s="193"/>
      <c r="P996" s="179"/>
      <c r="Q996" s="173">
        <v>3.3433999999999999</v>
      </c>
      <c r="R996" s="271">
        <v>0</v>
      </c>
      <c r="S996" s="147" t="s">
        <v>35</v>
      </c>
      <c r="T996" s="129" t="s">
        <v>1850</v>
      </c>
      <c r="U996" s="147" t="s">
        <v>35</v>
      </c>
      <c r="V996" s="129" t="s">
        <v>1716</v>
      </c>
      <c r="W996" s="176" t="s">
        <v>54</v>
      </c>
      <c r="X996" s="205" t="s">
        <v>1904</v>
      </c>
      <c r="Y996" s="253" t="s">
        <v>2129</v>
      </c>
      <c r="Z996" s="290"/>
      <c r="AA996" s="286"/>
    </row>
    <row r="997" spans="1:27" s="181" customFormat="1" hidden="1" x14ac:dyDescent="0.25">
      <c r="A997" s="131"/>
      <c r="B997" s="136">
        <v>1407028</v>
      </c>
      <c r="C997" s="128" t="s">
        <v>934</v>
      </c>
      <c r="D997" s="128" t="s">
        <v>1742</v>
      </c>
      <c r="E997" s="147" t="s">
        <v>38</v>
      </c>
      <c r="F997" s="129" t="s">
        <v>2456</v>
      </c>
      <c r="G997" s="147" t="s">
        <v>1731</v>
      </c>
      <c r="H997" s="189">
        <f t="shared" si="16"/>
        <v>3.3433999999999999</v>
      </c>
      <c r="I997" s="180" t="s">
        <v>2213</v>
      </c>
      <c r="J997" s="148">
        <v>60</v>
      </c>
      <c r="K997" s="147">
        <v>1</v>
      </c>
      <c r="L997" s="147">
        <v>1</v>
      </c>
      <c r="M997" s="147">
        <v>2</v>
      </c>
      <c r="N997" s="275"/>
      <c r="O997" s="193"/>
      <c r="P997" s="179"/>
      <c r="Q997" s="173">
        <v>3.3433999999999999</v>
      </c>
      <c r="R997" s="271">
        <v>0</v>
      </c>
      <c r="S997" s="147" t="s">
        <v>35</v>
      </c>
      <c r="T997" s="129" t="s">
        <v>1850</v>
      </c>
      <c r="U997" s="147" t="s">
        <v>35</v>
      </c>
      <c r="V997" s="129" t="s">
        <v>1717</v>
      </c>
      <c r="W997" s="176" t="s">
        <v>54</v>
      </c>
      <c r="X997" s="205" t="s">
        <v>1904</v>
      </c>
      <c r="Y997" s="253" t="s">
        <v>2129</v>
      </c>
      <c r="Z997" s="290"/>
      <c r="AA997" s="286"/>
    </row>
    <row r="998" spans="1:27" ht="24" x14ac:dyDescent="0.25">
      <c r="B998" s="136">
        <v>1407029</v>
      </c>
      <c r="C998" s="128" t="s">
        <v>934</v>
      </c>
      <c r="D998" s="128" t="s">
        <v>2153</v>
      </c>
      <c r="E998" s="147" t="s">
        <v>38</v>
      </c>
      <c r="F998" s="129" t="s">
        <v>1908</v>
      </c>
      <c r="G998" s="147" t="s">
        <v>1731</v>
      </c>
      <c r="H998" s="189">
        <f t="shared" si="16"/>
        <v>0.15000000000000002</v>
      </c>
      <c r="I998" s="210" t="s">
        <v>2087</v>
      </c>
      <c r="J998" s="148">
        <v>30</v>
      </c>
      <c r="K998" s="147">
        <v>7</v>
      </c>
      <c r="L998" s="147">
        <v>1</v>
      </c>
      <c r="M998" s="147">
        <v>8</v>
      </c>
      <c r="N998" s="275">
        <v>25000</v>
      </c>
      <c r="O998" s="193">
        <v>8.2000000000000003E-2</v>
      </c>
      <c r="P998" s="179">
        <v>45450</v>
      </c>
      <c r="Q998" s="173">
        <v>0.1</v>
      </c>
      <c r="R998" s="271">
        <v>0.05</v>
      </c>
      <c r="S998" s="147" t="s">
        <v>35</v>
      </c>
      <c r="T998" s="129" t="s">
        <v>1799</v>
      </c>
      <c r="U998" s="147" t="s">
        <v>35</v>
      </c>
      <c r="V998" s="129"/>
      <c r="W998" s="147" t="s">
        <v>2208</v>
      </c>
      <c r="X998" s="205" t="s">
        <v>1009</v>
      </c>
      <c r="Y998" s="289">
        <v>46063</v>
      </c>
      <c r="Z998" s="290"/>
      <c r="AA998" s="286"/>
    </row>
    <row r="999" spans="1:27" ht="24" x14ac:dyDescent="0.25">
      <c r="B999" s="156">
        <v>1407030</v>
      </c>
      <c r="C999" s="128" t="s">
        <v>934</v>
      </c>
      <c r="D999" s="128" t="s">
        <v>1819</v>
      </c>
      <c r="E999" s="147" t="s">
        <v>38</v>
      </c>
      <c r="F999" s="129" t="s">
        <v>1817</v>
      </c>
      <c r="G999" s="147" t="s">
        <v>1731</v>
      </c>
      <c r="H999" s="189">
        <f t="shared" si="16"/>
        <v>0.12634000000000001</v>
      </c>
      <c r="I999" s="210" t="s">
        <v>2221</v>
      </c>
      <c r="J999" s="148">
        <v>30</v>
      </c>
      <c r="K999" s="147">
        <v>8</v>
      </c>
      <c r="L999" s="147">
        <v>8</v>
      </c>
      <c r="M999" s="147">
        <v>16</v>
      </c>
      <c r="N999" s="275">
        <v>160000</v>
      </c>
      <c r="O999" s="193"/>
      <c r="P999" s="179">
        <v>45474</v>
      </c>
      <c r="Q999" s="177">
        <v>0.11634</v>
      </c>
      <c r="R999" s="271">
        <v>0.01</v>
      </c>
      <c r="S999" s="147" t="s">
        <v>35</v>
      </c>
      <c r="T999" s="129" t="s">
        <v>2206</v>
      </c>
      <c r="U999" s="147" t="s">
        <v>37</v>
      </c>
      <c r="V999" s="147">
        <v>3500294</v>
      </c>
      <c r="W999" s="147" t="s">
        <v>2208</v>
      </c>
      <c r="X999" s="205" t="s">
        <v>1854</v>
      </c>
      <c r="Y999" s="251"/>
      <c r="Z999" s="290"/>
      <c r="AA999" s="286"/>
    </row>
    <row r="1000" spans="1:27" ht="24" x14ac:dyDescent="0.25">
      <c r="B1000" s="136">
        <v>1407031</v>
      </c>
      <c r="C1000" s="128" t="s">
        <v>934</v>
      </c>
      <c r="D1000" s="128" t="s">
        <v>1847</v>
      </c>
      <c r="E1000" s="147" t="s">
        <v>38</v>
      </c>
      <c r="F1000" s="174" t="s">
        <v>1952</v>
      </c>
      <c r="G1000" s="147" t="s">
        <v>1731</v>
      </c>
      <c r="H1000" s="189">
        <f t="shared" si="16"/>
        <v>0.12209230769230769</v>
      </c>
      <c r="I1000" s="210" t="s">
        <v>2221</v>
      </c>
      <c r="J1000" s="148">
        <v>0</v>
      </c>
      <c r="K1000" s="147">
        <v>8</v>
      </c>
      <c r="L1000" s="147">
        <v>8</v>
      </c>
      <c r="M1000" s="147">
        <v>16</v>
      </c>
      <c r="N1000" s="275">
        <v>130000</v>
      </c>
      <c r="O1000" s="193"/>
      <c r="P1000" s="179">
        <v>45474</v>
      </c>
      <c r="Q1000" s="173">
        <v>0.10440000000000001</v>
      </c>
      <c r="R1000" s="271">
        <v>1.7692307692307691E-2</v>
      </c>
      <c r="S1000" s="147" t="s">
        <v>35</v>
      </c>
      <c r="T1000" s="129" t="s">
        <v>2206</v>
      </c>
      <c r="U1000" s="147" t="s">
        <v>37</v>
      </c>
      <c r="V1000" s="147">
        <v>3500294</v>
      </c>
      <c r="W1000" s="147" t="s">
        <v>2208</v>
      </c>
      <c r="X1000" s="205" t="s">
        <v>1917</v>
      </c>
      <c r="Y1000" s="251"/>
      <c r="Z1000" s="290"/>
      <c r="AA1000" s="286"/>
    </row>
    <row r="1001" spans="1:27" ht="24" x14ac:dyDescent="0.25">
      <c r="B1001" s="129">
        <v>1407032</v>
      </c>
      <c r="C1001" s="128" t="s">
        <v>934</v>
      </c>
      <c r="D1001" s="136" t="s">
        <v>1855</v>
      </c>
      <c r="E1001" s="147" t="s">
        <v>38</v>
      </c>
      <c r="F1001" s="129" t="s">
        <v>1860</v>
      </c>
      <c r="G1001" s="147" t="s">
        <v>1731</v>
      </c>
      <c r="H1001" s="189">
        <f t="shared" si="16"/>
        <v>6.0243243243243247E-2</v>
      </c>
      <c r="I1001" s="210" t="s">
        <v>2221</v>
      </c>
      <c r="J1001" s="146">
        <v>30</v>
      </c>
      <c r="K1001" s="147">
        <v>9</v>
      </c>
      <c r="L1001" s="147">
        <v>8</v>
      </c>
      <c r="M1001" s="147">
        <v>17</v>
      </c>
      <c r="N1001" s="275">
        <v>60000</v>
      </c>
      <c r="O1001" s="196"/>
      <c r="P1001" s="179">
        <v>45400</v>
      </c>
      <c r="Q1001" s="175">
        <v>3.15E-2</v>
      </c>
      <c r="R1001" s="345">
        <v>2.8743243243243243E-2</v>
      </c>
      <c r="S1001" s="164" t="s">
        <v>35</v>
      </c>
      <c r="T1001" s="129" t="s">
        <v>2206</v>
      </c>
      <c r="U1001" s="147" t="s">
        <v>37</v>
      </c>
      <c r="V1001" s="147">
        <v>3500330</v>
      </c>
      <c r="W1001" s="147" t="s">
        <v>2208</v>
      </c>
      <c r="X1001" s="205" t="s">
        <v>1854</v>
      </c>
      <c r="Y1001" s="251"/>
      <c r="Z1001" s="290"/>
      <c r="AA1001" s="286"/>
    </row>
    <row r="1002" spans="1:27" hidden="1" x14ac:dyDescent="0.25">
      <c r="B1002" s="129">
        <v>1407033</v>
      </c>
      <c r="C1002" s="128" t="s">
        <v>934</v>
      </c>
      <c r="D1002" s="128" t="s">
        <v>1997</v>
      </c>
      <c r="E1002" s="147" t="s">
        <v>38</v>
      </c>
      <c r="F1002" s="129"/>
      <c r="G1002" s="147" t="s">
        <v>1731</v>
      </c>
      <c r="H1002" s="189">
        <f t="shared" si="16"/>
        <v>0</v>
      </c>
      <c r="I1002" s="134"/>
      <c r="J1002" s="146"/>
      <c r="K1002" s="147">
        <v>11</v>
      </c>
      <c r="L1002" s="147">
        <v>1</v>
      </c>
      <c r="M1002" s="147">
        <v>12</v>
      </c>
      <c r="N1002" s="275"/>
      <c r="O1002" s="193"/>
      <c r="P1002" s="179"/>
      <c r="Q1002" s="173"/>
      <c r="R1002" s="271">
        <v>0</v>
      </c>
      <c r="S1002" s="167"/>
      <c r="T1002" s="129"/>
      <c r="U1002" s="147" t="s">
        <v>37</v>
      </c>
      <c r="V1002" s="129"/>
      <c r="W1002" s="147" t="s">
        <v>2209</v>
      </c>
      <c r="X1002" s="205" t="s">
        <v>1904</v>
      </c>
      <c r="Y1002" s="251"/>
      <c r="Z1002" s="155"/>
      <c r="AA1002" s="230"/>
    </row>
    <row r="1003" spans="1:27" ht="48" x14ac:dyDescent="0.25">
      <c r="B1003" s="129">
        <v>1407034</v>
      </c>
      <c r="C1003" s="128" t="s">
        <v>934</v>
      </c>
      <c r="D1003" s="128" t="s">
        <v>2001</v>
      </c>
      <c r="E1003" s="147" t="s">
        <v>38</v>
      </c>
      <c r="F1003" s="129" t="s">
        <v>1907</v>
      </c>
      <c r="G1003" s="147" t="s">
        <v>1731</v>
      </c>
      <c r="H1003" s="189">
        <f t="shared" si="16"/>
        <v>0.44</v>
      </c>
      <c r="I1003" s="210" t="s">
        <v>2227</v>
      </c>
      <c r="J1003" s="146">
        <v>30</v>
      </c>
      <c r="K1003" s="147">
        <v>3</v>
      </c>
      <c r="L1003" s="147">
        <v>1</v>
      </c>
      <c r="M1003" s="147">
        <v>4</v>
      </c>
      <c r="N1003" s="275">
        <v>65000</v>
      </c>
      <c r="O1003" s="193">
        <v>0.151</v>
      </c>
      <c r="P1003" s="179">
        <v>45474</v>
      </c>
      <c r="Q1003" s="173">
        <v>0.44</v>
      </c>
      <c r="R1003" s="271">
        <v>0</v>
      </c>
      <c r="S1003" s="147" t="s">
        <v>35</v>
      </c>
      <c r="T1003" s="129" t="s">
        <v>1868</v>
      </c>
      <c r="U1003" s="147" t="s">
        <v>37</v>
      </c>
      <c r="V1003" s="136" t="s">
        <v>1989</v>
      </c>
      <c r="W1003" s="147" t="s">
        <v>2208</v>
      </c>
      <c r="X1003" s="205" t="s">
        <v>1904</v>
      </c>
      <c r="Y1003" s="251"/>
      <c r="Z1003" s="290"/>
      <c r="AA1003" s="286"/>
    </row>
    <row r="1004" spans="1:27" ht="24" x14ac:dyDescent="0.25">
      <c r="B1004" s="136">
        <v>1407035</v>
      </c>
      <c r="C1004" s="128" t="s">
        <v>934</v>
      </c>
      <c r="D1004" s="128" t="s">
        <v>1944</v>
      </c>
      <c r="E1004" s="147" t="s">
        <v>38</v>
      </c>
      <c r="F1004" s="129" t="s">
        <v>1907</v>
      </c>
      <c r="G1004" s="147" t="s">
        <v>1731</v>
      </c>
      <c r="H1004" s="189">
        <f t="shared" si="16"/>
        <v>2.85</v>
      </c>
      <c r="I1004" s="210" t="s">
        <v>2223</v>
      </c>
      <c r="J1004" s="146">
        <v>30</v>
      </c>
      <c r="K1004" s="147">
        <v>3</v>
      </c>
      <c r="L1004" s="147">
        <v>1</v>
      </c>
      <c r="M1004" s="147">
        <v>4</v>
      </c>
      <c r="N1004" s="275">
        <v>1000</v>
      </c>
      <c r="O1004" s="193">
        <v>15</v>
      </c>
      <c r="P1004" s="179">
        <v>45474</v>
      </c>
      <c r="Q1004" s="173">
        <v>2.85</v>
      </c>
      <c r="R1004" s="271">
        <v>0</v>
      </c>
      <c r="S1004" s="147" t="s">
        <v>35</v>
      </c>
      <c r="T1004" s="129" t="s">
        <v>1868</v>
      </c>
      <c r="U1004" s="147" t="s">
        <v>37</v>
      </c>
      <c r="V1004" s="129" t="s">
        <v>1990</v>
      </c>
      <c r="W1004" s="147" t="s">
        <v>2208</v>
      </c>
      <c r="X1004" s="205" t="s">
        <v>1904</v>
      </c>
      <c r="Y1004" s="251"/>
      <c r="Z1004" s="290"/>
      <c r="AA1004" s="286"/>
    </row>
    <row r="1005" spans="1:27" hidden="1" x14ac:dyDescent="0.25">
      <c r="B1005" s="136">
        <v>1407036</v>
      </c>
      <c r="C1005" s="128" t="s">
        <v>934</v>
      </c>
      <c r="D1005" s="128" t="s">
        <v>1997</v>
      </c>
      <c r="E1005" s="147" t="s">
        <v>38</v>
      </c>
      <c r="F1005" s="129"/>
      <c r="G1005" s="147" t="s">
        <v>1731</v>
      </c>
      <c r="H1005" s="189">
        <f t="shared" si="16"/>
        <v>0</v>
      </c>
      <c r="I1005" s="134"/>
      <c r="J1005" s="150"/>
      <c r="K1005" s="147">
        <v>11</v>
      </c>
      <c r="L1005" s="147">
        <v>1</v>
      </c>
      <c r="M1005" s="147">
        <v>12</v>
      </c>
      <c r="N1005" s="275"/>
      <c r="O1005" s="193"/>
      <c r="P1005" s="179"/>
      <c r="Q1005" s="173"/>
      <c r="R1005" s="271"/>
      <c r="S1005" s="147"/>
      <c r="T1005" s="129"/>
      <c r="U1005" s="147" t="s">
        <v>37</v>
      </c>
      <c r="V1005" s="129"/>
      <c r="W1005" s="147" t="s">
        <v>2209</v>
      </c>
      <c r="X1005" s="205"/>
      <c r="Y1005" s="251"/>
      <c r="Z1005" s="155"/>
      <c r="AA1005" s="230"/>
    </row>
    <row r="1006" spans="1:27" ht="24" x14ac:dyDescent="0.25">
      <c r="B1006" s="136">
        <v>1407037</v>
      </c>
      <c r="C1006" s="128" t="s">
        <v>934</v>
      </c>
      <c r="D1006" s="128" t="s">
        <v>1984</v>
      </c>
      <c r="E1006" s="147" t="s">
        <v>38</v>
      </c>
      <c r="F1006" s="129" t="s">
        <v>1853</v>
      </c>
      <c r="G1006" s="147" t="s">
        <v>1731</v>
      </c>
      <c r="H1006" s="189">
        <f t="shared" si="16"/>
        <v>9.3799999999999994E-2</v>
      </c>
      <c r="I1006" s="180" t="s">
        <v>2213</v>
      </c>
      <c r="J1006" s="150"/>
      <c r="K1006" s="147">
        <v>1</v>
      </c>
      <c r="L1006" s="147">
        <v>1</v>
      </c>
      <c r="M1006" s="147">
        <v>2</v>
      </c>
      <c r="N1006" s="275"/>
      <c r="O1006" s="193"/>
      <c r="P1006" s="179"/>
      <c r="Q1006" s="173">
        <v>4.3799999999999999E-2</v>
      </c>
      <c r="R1006" s="271">
        <v>0.05</v>
      </c>
      <c r="S1006" s="147" t="s">
        <v>35</v>
      </c>
      <c r="T1006" s="129" t="s">
        <v>2206</v>
      </c>
      <c r="U1006" s="147" t="s">
        <v>37</v>
      </c>
      <c r="V1006" s="147" t="s">
        <v>1985</v>
      </c>
      <c r="W1006" s="147" t="s">
        <v>2450</v>
      </c>
      <c r="X1006" s="205" t="s">
        <v>2007</v>
      </c>
      <c r="Y1006" s="251"/>
      <c r="Z1006" s="155"/>
      <c r="AA1006" s="230"/>
    </row>
    <row r="1007" spans="1:27" ht="36" x14ac:dyDescent="0.25">
      <c r="B1007" s="136">
        <v>1407038</v>
      </c>
      <c r="C1007" s="128" t="s">
        <v>934</v>
      </c>
      <c r="D1007" s="128" t="s">
        <v>2022</v>
      </c>
      <c r="E1007" s="147" t="s">
        <v>38</v>
      </c>
      <c r="F1007" s="129" t="s">
        <v>2006</v>
      </c>
      <c r="G1007" s="147" t="s">
        <v>1731</v>
      </c>
      <c r="H1007" s="189">
        <f t="shared" si="16"/>
        <v>0.59199999999999997</v>
      </c>
      <c r="I1007" s="210" t="s">
        <v>2082</v>
      </c>
      <c r="J1007" s="146">
        <v>45</v>
      </c>
      <c r="K1007" s="147">
        <v>2</v>
      </c>
      <c r="L1007" s="147">
        <v>1</v>
      </c>
      <c r="M1007" s="147">
        <v>3</v>
      </c>
      <c r="N1007" s="275">
        <v>2500</v>
      </c>
      <c r="O1007" s="193"/>
      <c r="P1007" s="179">
        <v>45625</v>
      </c>
      <c r="Q1007" s="173">
        <v>0.52</v>
      </c>
      <c r="R1007" s="271">
        <v>7.1999999999999995E-2</v>
      </c>
      <c r="S1007" s="147"/>
      <c r="T1007" s="129" t="s">
        <v>2089</v>
      </c>
      <c r="U1007" s="147" t="s">
        <v>37</v>
      </c>
      <c r="V1007" s="129" t="s">
        <v>2009</v>
      </c>
      <c r="W1007" s="147" t="s">
        <v>2208</v>
      </c>
      <c r="X1007" s="205" t="s">
        <v>1009</v>
      </c>
      <c r="Y1007" s="251"/>
      <c r="Z1007" s="290"/>
      <c r="AA1007" s="286"/>
    </row>
    <row r="1008" spans="1:27" s="181" customFormat="1" x14ac:dyDescent="0.25">
      <c r="A1008" s="131"/>
      <c r="B1008" s="136">
        <v>1407039</v>
      </c>
      <c r="C1008" s="128" t="s">
        <v>934</v>
      </c>
      <c r="D1008" s="128" t="s">
        <v>2123</v>
      </c>
      <c r="E1008" s="147" t="s">
        <v>38</v>
      </c>
      <c r="F1008" s="129" t="s">
        <v>2144</v>
      </c>
      <c r="G1008" s="147" t="s">
        <v>1731</v>
      </c>
      <c r="H1008" s="189">
        <f t="shared" si="16"/>
        <v>0.2</v>
      </c>
      <c r="I1008" s="210" t="s">
        <v>2082</v>
      </c>
      <c r="J1008" s="146">
        <v>30</v>
      </c>
      <c r="K1008" s="147">
        <v>12</v>
      </c>
      <c r="L1008" s="147">
        <v>1</v>
      </c>
      <c r="M1008" s="147">
        <v>13</v>
      </c>
      <c r="N1008" s="275">
        <v>5000</v>
      </c>
      <c r="O1008" s="193"/>
      <c r="P1008" s="179">
        <v>45793</v>
      </c>
      <c r="Q1008" s="173">
        <v>0.2</v>
      </c>
      <c r="R1008" s="271">
        <v>0</v>
      </c>
      <c r="S1008" s="147"/>
      <c r="T1008" s="129" t="s">
        <v>2017</v>
      </c>
      <c r="U1008" s="147" t="s">
        <v>37</v>
      </c>
      <c r="V1008" s="129"/>
      <c r="W1008" s="147" t="s">
        <v>2210</v>
      </c>
      <c r="X1008" s="205" t="s">
        <v>1009</v>
      </c>
      <c r="Y1008" s="251"/>
      <c r="Z1008" s="290"/>
      <c r="AA1008" s="286"/>
    </row>
    <row r="1009" spans="1:16382" s="181" customFormat="1" ht="24" x14ac:dyDescent="0.25">
      <c r="A1009" s="131"/>
      <c r="B1009" s="136">
        <v>1407040</v>
      </c>
      <c r="C1009" s="128" t="s">
        <v>934</v>
      </c>
      <c r="D1009" s="128" t="s">
        <v>2154</v>
      </c>
      <c r="E1009" s="147" t="s">
        <v>38</v>
      </c>
      <c r="F1009" s="129" t="s">
        <v>2041</v>
      </c>
      <c r="G1009" s="147" t="s">
        <v>1731</v>
      </c>
      <c r="H1009" s="189">
        <f t="shared" si="16"/>
        <v>0.34375</v>
      </c>
      <c r="I1009" s="210" t="s">
        <v>2082</v>
      </c>
      <c r="J1009" s="146">
        <v>0</v>
      </c>
      <c r="K1009" s="147">
        <v>10</v>
      </c>
      <c r="L1009" s="147">
        <v>2</v>
      </c>
      <c r="M1009" s="147">
        <v>12</v>
      </c>
      <c r="N1009" s="275">
        <v>5000</v>
      </c>
      <c r="O1009" s="193"/>
      <c r="P1009" s="179">
        <v>45700</v>
      </c>
      <c r="Q1009" s="254">
        <v>0.29375000000000001</v>
      </c>
      <c r="R1009" s="271">
        <v>0.05</v>
      </c>
      <c r="S1009" s="147"/>
      <c r="T1009" s="129" t="s">
        <v>102</v>
      </c>
      <c r="U1009" s="147" t="s">
        <v>35</v>
      </c>
      <c r="V1009" s="129"/>
      <c r="W1009" s="147" t="s">
        <v>2208</v>
      </c>
      <c r="X1009" s="205" t="s">
        <v>1009</v>
      </c>
      <c r="Y1009" s="253" t="s">
        <v>2524</v>
      </c>
      <c r="Z1009" s="155"/>
      <c r="AA1009" s="230"/>
    </row>
    <row r="1010" spans="1:16382" s="181" customFormat="1" ht="36" x14ac:dyDescent="0.25">
      <c r="A1010" s="131"/>
      <c r="B1010" s="136">
        <v>1407041</v>
      </c>
      <c r="C1010" s="128" t="s">
        <v>934</v>
      </c>
      <c r="D1010" s="128" t="s">
        <v>2533</v>
      </c>
      <c r="E1010" s="147" t="s">
        <v>38</v>
      </c>
      <c r="F1010" s="129" t="s">
        <v>2530</v>
      </c>
      <c r="G1010" s="147" t="s">
        <v>1731</v>
      </c>
      <c r="H1010" s="189">
        <f t="shared" si="16"/>
        <v>1.2491000000000001</v>
      </c>
      <c r="I1010" s="210" t="s">
        <v>2361</v>
      </c>
      <c r="J1010" s="146">
        <v>30</v>
      </c>
      <c r="K1010" s="147">
        <f>30/5</f>
        <v>6</v>
      </c>
      <c r="L1010" s="147">
        <v>8</v>
      </c>
      <c r="M1010" s="147">
        <v>14</v>
      </c>
      <c r="N1010" s="275">
        <v>1000</v>
      </c>
      <c r="O1010" s="254">
        <v>1.26</v>
      </c>
      <c r="P1010" s="179">
        <v>46062</v>
      </c>
      <c r="Q1010" s="254">
        <v>1.2491000000000001</v>
      </c>
      <c r="R1010" s="260">
        <v>0</v>
      </c>
      <c r="S1010" s="147"/>
      <c r="T1010" s="129" t="s">
        <v>2089</v>
      </c>
      <c r="U1010" s="147" t="s">
        <v>37</v>
      </c>
      <c r="V1010" s="129"/>
      <c r="W1010" s="147" t="s">
        <v>2208</v>
      </c>
      <c r="X1010" s="207" t="s">
        <v>1854</v>
      </c>
      <c r="Y1010" s="251"/>
      <c r="Z1010" s="290"/>
      <c r="AA1010" s="230"/>
    </row>
    <row r="1011" spans="1:16382" ht="36" x14ac:dyDescent="0.25">
      <c r="A1011" s="258"/>
      <c r="B1011" s="128">
        <v>1407042</v>
      </c>
      <c r="C1011" s="128" t="s">
        <v>934</v>
      </c>
      <c r="D1011" s="136" t="s">
        <v>2429</v>
      </c>
      <c r="E1011" s="147" t="s">
        <v>38</v>
      </c>
      <c r="F1011" s="129" t="s">
        <v>2089</v>
      </c>
      <c r="G1011" s="147" t="s">
        <v>1731</v>
      </c>
      <c r="H1011" s="189">
        <f t="shared" si="16"/>
        <v>0.87</v>
      </c>
      <c r="I1011" s="136" t="s">
        <v>2428</v>
      </c>
      <c r="J1011" s="146">
        <v>90</v>
      </c>
      <c r="K1011" s="147">
        <v>11</v>
      </c>
      <c r="L1011" s="147">
        <v>1</v>
      </c>
      <c r="M1011" s="147">
        <v>12</v>
      </c>
      <c r="N1011" s="275">
        <v>2400</v>
      </c>
      <c r="O1011" s="179"/>
      <c r="P1011" s="254"/>
      <c r="Q1011" s="278">
        <v>0.87</v>
      </c>
      <c r="R1011" s="271">
        <v>0</v>
      </c>
      <c r="S1011" s="129"/>
      <c r="T1011" s="129" t="s">
        <v>2089</v>
      </c>
      <c r="U1011" s="147" t="s">
        <v>37</v>
      </c>
      <c r="V1011" s="147"/>
      <c r="W1011" s="147" t="s">
        <v>2208</v>
      </c>
      <c r="X1011" s="218" t="s">
        <v>1854</v>
      </c>
      <c r="Y1011" s="251"/>
      <c r="Z1011" s="290"/>
      <c r="AA1011" s="155"/>
      <c r="AB1011" s="181"/>
      <c r="AC1011" s="181"/>
      <c r="AD1011" s="181"/>
      <c r="AE1011" s="181"/>
      <c r="AF1011" s="181"/>
      <c r="AG1011" s="181"/>
      <c r="AH1011" s="181"/>
      <c r="AI1011" s="181"/>
      <c r="AJ1011" s="181"/>
      <c r="AK1011" s="181"/>
      <c r="AL1011" s="181"/>
      <c r="AM1011" s="181"/>
      <c r="AN1011" s="181"/>
      <c r="AO1011" s="181"/>
      <c r="AP1011" s="181"/>
      <c r="AQ1011" s="181"/>
      <c r="AR1011" s="181"/>
      <c r="AS1011" s="181"/>
      <c r="AT1011" s="181"/>
      <c r="AU1011" s="181"/>
      <c r="AV1011" s="181"/>
      <c r="AW1011" s="181"/>
      <c r="AX1011" s="181"/>
      <c r="AY1011" s="181"/>
      <c r="AZ1011" s="181"/>
      <c r="BA1011" s="181"/>
      <c r="BB1011" s="181"/>
      <c r="BC1011" s="181"/>
      <c r="BD1011" s="181"/>
      <c r="BE1011" s="181"/>
      <c r="BF1011" s="181"/>
      <c r="BG1011" s="181"/>
      <c r="BH1011" s="181"/>
      <c r="BI1011" s="181"/>
      <c r="BJ1011" s="181"/>
      <c r="BK1011" s="181"/>
      <c r="BL1011" s="181"/>
      <c r="BM1011" s="181"/>
      <c r="BN1011" s="181"/>
      <c r="BO1011" s="181"/>
      <c r="BP1011" s="181"/>
      <c r="BQ1011" s="181"/>
      <c r="BR1011" s="181"/>
      <c r="BS1011" s="181"/>
      <c r="BT1011" s="181"/>
      <c r="BU1011" s="181"/>
      <c r="BV1011" s="181"/>
      <c r="BW1011" s="181"/>
      <c r="BX1011" s="181"/>
      <c r="BY1011" s="181"/>
      <c r="BZ1011" s="181"/>
      <c r="CA1011" s="181"/>
      <c r="CB1011" s="181"/>
      <c r="CC1011" s="181"/>
      <c r="CD1011" s="181"/>
      <c r="CE1011" s="181"/>
      <c r="CF1011" s="181"/>
      <c r="CG1011" s="181"/>
      <c r="CH1011" s="181"/>
      <c r="CI1011" s="181"/>
      <c r="CJ1011" s="181"/>
      <c r="CK1011" s="181"/>
      <c r="CL1011" s="181"/>
      <c r="CM1011" s="181"/>
      <c r="CN1011" s="181"/>
      <c r="CO1011" s="181"/>
      <c r="CP1011" s="181"/>
      <c r="CQ1011" s="181"/>
      <c r="CR1011" s="181"/>
      <c r="CS1011" s="181"/>
      <c r="CT1011" s="181"/>
      <c r="CU1011" s="181"/>
      <c r="CV1011" s="181"/>
      <c r="CW1011" s="181"/>
      <c r="CX1011" s="181"/>
      <c r="CY1011" s="181"/>
      <c r="CZ1011" s="181"/>
      <c r="DA1011" s="181"/>
      <c r="DB1011" s="181"/>
      <c r="DC1011" s="181"/>
      <c r="DD1011" s="181"/>
      <c r="DE1011" s="181"/>
      <c r="DF1011" s="181"/>
      <c r="DG1011" s="181"/>
      <c r="DH1011" s="181"/>
      <c r="DI1011" s="181"/>
      <c r="DJ1011" s="181"/>
      <c r="DK1011" s="181"/>
      <c r="DL1011" s="181"/>
      <c r="DM1011" s="181"/>
      <c r="DN1011" s="181"/>
      <c r="DO1011" s="181"/>
      <c r="DP1011" s="181"/>
      <c r="DQ1011" s="181"/>
      <c r="DR1011" s="181"/>
      <c r="DS1011" s="181"/>
      <c r="DT1011" s="181"/>
      <c r="DU1011" s="181"/>
      <c r="DV1011" s="181"/>
      <c r="DW1011" s="181"/>
      <c r="DX1011" s="181"/>
      <c r="DY1011" s="181"/>
      <c r="DZ1011" s="181"/>
      <c r="EA1011" s="181"/>
      <c r="EB1011" s="181"/>
      <c r="EC1011" s="181"/>
      <c r="ED1011" s="181"/>
      <c r="EE1011" s="181"/>
      <c r="EF1011" s="181"/>
      <c r="EG1011" s="181"/>
      <c r="EH1011" s="181"/>
      <c r="EI1011" s="181"/>
      <c r="EJ1011" s="181"/>
      <c r="EK1011" s="181"/>
      <c r="EL1011" s="181"/>
      <c r="EM1011" s="181"/>
      <c r="EN1011" s="181"/>
      <c r="EO1011" s="181"/>
      <c r="EP1011" s="181"/>
      <c r="EQ1011" s="181"/>
      <c r="ER1011" s="181"/>
      <c r="ES1011" s="181"/>
      <c r="ET1011" s="181"/>
      <c r="EU1011" s="181"/>
      <c r="EV1011" s="181"/>
      <c r="EW1011" s="181"/>
      <c r="EX1011" s="181"/>
      <c r="EY1011" s="181"/>
      <c r="EZ1011" s="181"/>
      <c r="FA1011" s="181"/>
      <c r="FB1011" s="181"/>
      <c r="FC1011" s="181"/>
      <c r="FD1011" s="181"/>
      <c r="FE1011" s="181"/>
      <c r="FF1011" s="181"/>
      <c r="FG1011" s="181"/>
      <c r="FH1011" s="181"/>
      <c r="FI1011" s="181"/>
      <c r="FJ1011" s="181"/>
      <c r="FK1011" s="181"/>
      <c r="FL1011" s="181"/>
      <c r="FM1011" s="181"/>
      <c r="FN1011" s="181"/>
      <c r="FO1011" s="181"/>
      <c r="FP1011" s="181"/>
      <c r="FQ1011" s="181"/>
      <c r="FR1011" s="181"/>
      <c r="FS1011" s="181"/>
      <c r="FT1011" s="181"/>
      <c r="FU1011" s="181"/>
      <c r="FV1011" s="181"/>
      <c r="FW1011" s="181"/>
      <c r="FX1011" s="181"/>
      <c r="FY1011" s="181"/>
      <c r="FZ1011" s="181"/>
      <c r="GA1011" s="181"/>
      <c r="GB1011" s="181"/>
      <c r="GC1011" s="181"/>
      <c r="GD1011" s="181"/>
      <c r="GE1011" s="181"/>
      <c r="GF1011" s="181"/>
      <c r="GG1011" s="181"/>
      <c r="GH1011" s="181"/>
      <c r="GI1011" s="181"/>
      <c r="GJ1011" s="181"/>
      <c r="GK1011" s="181"/>
      <c r="GL1011" s="181"/>
      <c r="GM1011" s="181"/>
      <c r="GN1011" s="181"/>
      <c r="GO1011" s="181"/>
      <c r="GP1011" s="181"/>
      <c r="GQ1011" s="181"/>
      <c r="GR1011" s="181"/>
      <c r="GS1011" s="181"/>
      <c r="GT1011" s="181"/>
      <c r="GU1011" s="181"/>
      <c r="GV1011" s="181"/>
      <c r="GW1011" s="181"/>
      <c r="GX1011" s="181"/>
      <c r="GY1011" s="181"/>
      <c r="GZ1011" s="181"/>
      <c r="HA1011" s="181"/>
      <c r="HB1011" s="181"/>
      <c r="HC1011" s="181"/>
      <c r="HD1011" s="181"/>
      <c r="HE1011" s="181"/>
      <c r="HF1011" s="181"/>
      <c r="HG1011" s="181"/>
      <c r="HH1011" s="181"/>
      <c r="HI1011" s="181"/>
      <c r="HJ1011" s="181"/>
      <c r="HK1011" s="181"/>
      <c r="HL1011" s="181"/>
      <c r="HM1011" s="181"/>
      <c r="HN1011" s="181"/>
      <c r="HO1011" s="181"/>
      <c r="HP1011" s="181"/>
      <c r="HQ1011" s="181"/>
      <c r="HR1011" s="181"/>
      <c r="HS1011" s="181"/>
      <c r="HT1011" s="181"/>
      <c r="HU1011" s="181"/>
      <c r="HV1011" s="181"/>
      <c r="HW1011" s="181"/>
      <c r="HX1011" s="181"/>
      <c r="HY1011" s="181"/>
      <c r="HZ1011" s="181"/>
      <c r="IA1011" s="181"/>
      <c r="IB1011" s="181"/>
      <c r="IC1011" s="181"/>
      <c r="ID1011" s="181"/>
      <c r="IE1011" s="181"/>
      <c r="IF1011" s="181"/>
      <c r="IG1011" s="181"/>
      <c r="IH1011" s="181"/>
      <c r="II1011" s="181"/>
      <c r="IJ1011" s="181"/>
      <c r="IK1011" s="181"/>
      <c r="IL1011" s="181"/>
      <c r="IM1011" s="181"/>
      <c r="IN1011" s="181"/>
      <c r="IO1011" s="181"/>
      <c r="IP1011" s="181"/>
      <c r="IQ1011" s="181"/>
      <c r="IR1011" s="181"/>
      <c r="IS1011" s="181"/>
      <c r="IT1011" s="181"/>
      <c r="IU1011" s="181"/>
      <c r="IV1011" s="181"/>
      <c r="IW1011" s="181"/>
      <c r="IX1011" s="181"/>
      <c r="IY1011" s="181"/>
      <c r="IZ1011" s="181"/>
      <c r="JA1011" s="181"/>
      <c r="JB1011" s="181"/>
      <c r="JC1011" s="181"/>
      <c r="JD1011" s="181"/>
      <c r="JE1011" s="181"/>
      <c r="JF1011" s="181"/>
      <c r="JG1011" s="181"/>
      <c r="JH1011" s="181"/>
      <c r="JI1011" s="181"/>
      <c r="JJ1011" s="181"/>
      <c r="JK1011" s="181"/>
      <c r="JL1011" s="181"/>
      <c r="JM1011" s="181"/>
      <c r="JN1011" s="181"/>
      <c r="JO1011" s="181"/>
      <c r="JP1011" s="181"/>
      <c r="JQ1011" s="181"/>
      <c r="JR1011" s="181"/>
      <c r="JS1011" s="181"/>
      <c r="JT1011" s="181"/>
      <c r="JU1011" s="181"/>
      <c r="JV1011" s="181"/>
      <c r="JW1011" s="181"/>
      <c r="JX1011" s="181"/>
      <c r="JY1011" s="181"/>
      <c r="JZ1011" s="181"/>
      <c r="KA1011" s="181"/>
      <c r="KB1011" s="181"/>
      <c r="KC1011" s="181"/>
      <c r="KD1011" s="181"/>
      <c r="KE1011" s="181"/>
      <c r="KF1011" s="181"/>
      <c r="KG1011" s="181"/>
      <c r="KH1011" s="181"/>
      <c r="KI1011" s="181"/>
      <c r="KJ1011" s="181"/>
      <c r="KK1011" s="181"/>
      <c r="KL1011" s="181"/>
      <c r="KM1011" s="181"/>
      <c r="KN1011" s="181"/>
      <c r="KO1011" s="181"/>
      <c r="KP1011" s="181"/>
      <c r="KQ1011" s="181"/>
      <c r="KR1011" s="181"/>
      <c r="KS1011" s="181"/>
      <c r="KT1011" s="181"/>
      <c r="KU1011" s="181"/>
      <c r="KV1011" s="181"/>
      <c r="KW1011" s="181"/>
      <c r="KX1011" s="181"/>
      <c r="KY1011" s="181"/>
      <c r="KZ1011" s="181"/>
      <c r="LA1011" s="181"/>
      <c r="LB1011" s="181"/>
      <c r="LC1011" s="181"/>
      <c r="LD1011" s="181"/>
      <c r="LE1011" s="181"/>
      <c r="LF1011" s="181"/>
      <c r="LG1011" s="181"/>
      <c r="LH1011" s="181"/>
      <c r="LI1011" s="181"/>
      <c r="LJ1011" s="181"/>
      <c r="LK1011" s="181"/>
      <c r="LL1011" s="181"/>
      <c r="LM1011" s="181"/>
      <c r="LN1011" s="181"/>
      <c r="LO1011" s="181"/>
      <c r="LP1011" s="181"/>
      <c r="LQ1011" s="181"/>
      <c r="LR1011" s="181"/>
      <c r="LS1011" s="181"/>
      <c r="LT1011" s="181"/>
      <c r="LU1011" s="181"/>
      <c r="LV1011" s="181"/>
      <c r="LW1011" s="181"/>
      <c r="LX1011" s="181"/>
      <c r="LY1011" s="181"/>
      <c r="LZ1011" s="181"/>
      <c r="MA1011" s="181"/>
      <c r="MB1011" s="181"/>
      <c r="MC1011" s="181"/>
      <c r="MD1011" s="181"/>
      <c r="ME1011" s="181"/>
      <c r="MF1011" s="181"/>
      <c r="MG1011" s="181"/>
      <c r="MH1011" s="181"/>
      <c r="MI1011" s="181"/>
      <c r="MJ1011" s="181"/>
      <c r="MK1011" s="181"/>
      <c r="ML1011" s="181"/>
      <c r="MM1011" s="181"/>
      <c r="MN1011" s="181"/>
      <c r="MO1011" s="181"/>
      <c r="MP1011" s="181"/>
      <c r="MQ1011" s="181"/>
      <c r="MR1011" s="181"/>
      <c r="MS1011" s="181"/>
      <c r="MT1011" s="181"/>
      <c r="MU1011" s="181"/>
      <c r="MV1011" s="181"/>
      <c r="MW1011" s="181"/>
      <c r="MX1011" s="181"/>
      <c r="MY1011" s="181"/>
      <c r="MZ1011" s="181"/>
      <c r="NA1011" s="181"/>
      <c r="NB1011" s="181"/>
      <c r="NC1011" s="181"/>
      <c r="ND1011" s="181"/>
      <c r="NE1011" s="181"/>
      <c r="NF1011" s="181"/>
      <c r="NG1011" s="181"/>
      <c r="NH1011" s="181"/>
      <c r="NI1011" s="181"/>
      <c r="NJ1011" s="181"/>
      <c r="NK1011" s="181"/>
      <c r="NL1011" s="181"/>
      <c r="NM1011" s="181"/>
      <c r="NN1011" s="181"/>
      <c r="NO1011" s="181"/>
      <c r="NP1011" s="181"/>
      <c r="NQ1011" s="181"/>
      <c r="NR1011" s="181"/>
      <c r="NS1011" s="181"/>
      <c r="NT1011" s="181"/>
      <c r="NU1011" s="181"/>
      <c r="NV1011" s="181"/>
      <c r="NW1011" s="181"/>
      <c r="NX1011" s="181"/>
      <c r="NY1011" s="181"/>
      <c r="NZ1011" s="181"/>
      <c r="OA1011" s="181"/>
      <c r="OB1011" s="181"/>
      <c r="OC1011" s="181"/>
      <c r="OD1011" s="181"/>
      <c r="OE1011" s="181"/>
      <c r="OF1011" s="181"/>
      <c r="OG1011" s="181"/>
      <c r="OH1011" s="181"/>
      <c r="OI1011" s="181"/>
      <c r="OJ1011" s="181"/>
      <c r="OK1011" s="181"/>
      <c r="OL1011" s="181"/>
      <c r="OM1011" s="181"/>
      <c r="ON1011" s="181"/>
      <c r="OO1011" s="181"/>
      <c r="OP1011" s="181"/>
      <c r="OQ1011" s="181"/>
      <c r="OR1011" s="181"/>
      <c r="OS1011" s="181"/>
      <c r="OT1011" s="181"/>
      <c r="OU1011" s="181"/>
      <c r="OV1011" s="181"/>
      <c r="OW1011" s="181"/>
      <c r="OX1011" s="181"/>
      <c r="OY1011" s="181"/>
      <c r="OZ1011" s="181"/>
      <c r="PA1011" s="181"/>
      <c r="PB1011" s="181"/>
      <c r="PC1011" s="181"/>
      <c r="PD1011" s="181"/>
      <c r="PE1011" s="181"/>
      <c r="PF1011" s="181"/>
      <c r="PG1011" s="181"/>
      <c r="PH1011" s="181"/>
      <c r="PI1011" s="181"/>
      <c r="PJ1011" s="181"/>
      <c r="PK1011" s="181"/>
      <c r="PL1011" s="181"/>
      <c r="PM1011" s="181"/>
      <c r="PN1011" s="181"/>
      <c r="PO1011" s="181"/>
      <c r="PP1011" s="181"/>
      <c r="PQ1011" s="181"/>
      <c r="PR1011" s="181"/>
      <c r="PS1011" s="181"/>
      <c r="PT1011" s="181"/>
      <c r="PU1011" s="181"/>
      <c r="PV1011" s="181"/>
      <c r="PW1011" s="181"/>
      <c r="PX1011" s="181"/>
      <c r="PY1011" s="181"/>
      <c r="PZ1011" s="181"/>
      <c r="QA1011" s="181"/>
      <c r="QB1011" s="181"/>
      <c r="QC1011" s="181"/>
      <c r="QD1011" s="181"/>
      <c r="QE1011" s="181"/>
      <c r="QF1011" s="181"/>
      <c r="QG1011" s="181"/>
      <c r="QH1011" s="181"/>
      <c r="QI1011" s="181"/>
      <c r="QJ1011" s="181"/>
      <c r="QK1011" s="181"/>
      <c r="QL1011" s="181"/>
      <c r="QM1011" s="181"/>
      <c r="QN1011" s="181"/>
      <c r="QO1011" s="181"/>
      <c r="QP1011" s="181"/>
      <c r="QQ1011" s="181"/>
      <c r="QR1011" s="181"/>
      <c r="QS1011" s="181"/>
      <c r="QT1011" s="181"/>
      <c r="QU1011" s="181"/>
      <c r="QV1011" s="181"/>
      <c r="QW1011" s="181"/>
      <c r="QX1011" s="181"/>
      <c r="QY1011" s="181"/>
      <c r="QZ1011" s="181"/>
      <c r="RA1011" s="181"/>
      <c r="RB1011" s="181"/>
      <c r="RC1011" s="181"/>
      <c r="RD1011" s="181"/>
      <c r="RE1011" s="181"/>
      <c r="RF1011" s="181"/>
      <c r="RG1011" s="181"/>
      <c r="RH1011" s="181"/>
      <c r="RI1011" s="181"/>
      <c r="RJ1011" s="181"/>
      <c r="RK1011" s="181"/>
      <c r="RL1011" s="181"/>
      <c r="RM1011" s="181"/>
      <c r="RN1011" s="181"/>
      <c r="RO1011" s="181"/>
      <c r="RP1011" s="181"/>
      <c r="RQ1011" s="181"/>
      <c r="RR1011" s="181"/>
      <c r="RS1011" s="181"/>
      <c r="RT1011" s="181"/>
      <c r="RU1011" s="181"/>
      <c r="RV1011" s="181"/>
      <c r="RW1011" s="181"/>
      <c r="RX1011" s="181"/>
      <c r="RY1011" s="181"/>
      <c r="RZ1011" s="181"/>
      <c r="SA1011" s="181"/>
      <c r="SB1011" s="181"/>
      <c r="SC1011" s="181"/>
      <c r="SD1011" s="181"/>
      <c r="SE1011" s="181"/>
      <c r="SF1011" s="181"/>
      <c r="SG1011" s="181"/>
      <c r="SH1011" s="181"/>
      <c r="SI1011" s="181"/>
      <c r="SJ1011" s="181"/>
      <c r="SK1011" s="181"/>
      <c r="SL1011" s="181"/>
      <c r="SM1011" s="181"/>
      <c r="SN1011" s="181"/>
      <c r="SO1011" s="181"/>
      <c r="SP1011" s="181"/>
      <c r="SQ1011" s="181"/>
      <c r="SR1011" s="181"/>
      <c r="SS1011" s="181"/>
      <c r="ST1011" s="181"/>
      <c r="SU1011" s="181"/>
      <c r="SV1011" s="181"/>
      <c r="SW1011" s="181"/>
      <c r="SX1011" s="181"/>
      <c r="SY1011" s="181"/>
      <c r="SZ1011" s="181"/>
      <c r="TA1011" s="181"/>
      <c r="TB1011" s="181"/>
      <c r="TC1011" s="181"/>
      <c r="TD1011" s="181"/>
      <c r="TE1011" s="181"/>
      <c r="TF1011" s="181"/>
      <c r="TG1011" s="181"/>
      <c r="TH1011" s="181"/>
      <c r="TI1011" s="181"/>
      <c r="TJ1011" s="181"/>
      <c r="TK1011" s="181"/>
      <c r="TL1011" s="181"/>
      <c r="TM1011" s="181"/>
      <c r="TN1011" s="181"/>
      <c r="TO1011" s="181"/>
      <c r="TP1011" s="181"/>
      <c r="TQ1011" s="181"/>
      <c r="TR1011" s="181"/>
      <c r="TS1011" s="181"/>
      <c r="TT1011" s="181"/>
      <c r="TU1011" s="181"/>
      <c r="TV1011" s="181"/>
      <c r="TW1011" s="181"/>
      <c r="TX1011" s="181"/>
      <c r="TY1011" s="181"/>
      <c r="TZ1011" s="181"/>
      <c r="UA1011" s="181"/>
      <c r="UB1011" s="181"/>
      <c r="UC1011" s="181"/>
      <c r="UD1011" s="181"/>
      <c r="UE1011" s="181"/>
      <c r="UF1011" s="181"/>
      <c r="UG1011" s="181"/>
      <c r="UH1011" s="181"/>
      <c r="UI1011" s="181"/>
      <c r="UJ1011" s="181"/>
      <c r="UK1011" s="181"/>
      <c r="UL1011" s="181"/>
      <c r="UM1011" s="181"/>
      <c r="UN1011" s="181"/>
      <c r="UO1011" s="181"/>
      <c r="UP1011" s="181"/>
      <c r="UQ1011" s="181"/>
      <c r="UR1011" s="181"/>
      <c r="US1011" s="181"/>
      <c r="UT1011" s="181"/>
      <c r="UU1011" s="181"/>
      <c r="UV1011" s="181"/>
      <c r="UW1011" s="181"/>
      <c r="UX1011" s="181"/>
      <c r="UY1011" s="181"/>
      <c r="UZ1011" s="181"/>
      <c r="VA1011" s="181"/>
      <c r="VB1011" s="181"/>
      <c r="VC1011" s="181"/>
      <c r="VD1011" s="181"/>
      <c r="VE1011" s="181"/>
      <c r="VF1011" s="181"/>
      <c r="VG1011" s="181"/>
      <c r="VH1011" s="181"/>
      <c r="VI1011" s="181"/>
      <c r="VJ1011" s="181"/>
      <c r="VK1011" s="181"/>
      <c r="VL1011" s="181"/>
      <c r="VM1011" s="181"/>
      <c r="VN1011" s="181"/>
      <c r="VO1011" s="181"/>
      <c r="VP1011" s="181"/>
      <c r="VQ1011" s="181"/>
      <c r="VR1011" s="181"/>
      <c r="VS1011" s="181"/>
      <c r="VT1011" s="181"/>
      <c r="VU1011" s="181"/>
      <c r="VV1011" s="181"/>
      <c r="VW1011" s="181"/>
      <c r="VX1011" s="181"/>
      <c r="VY1011" s="181"/>
      <c r="VZ1011" s="181"/>
      <c r="WA1011" s="181"/>
      <c r="WB1011" s="181"/>
      <c r="WC1011" s="181"/>
      <c r="WD1011" s="181"/>
      <c r="WE1011" s="181"/>
      <c r="WF1011" s="181"/>
      <c r="WG1011" s="181"/>
      <c r="WH1011" s="181"/>
      <c r="WI1011" s="181"/>
      <c r="WJ1011" s="181"/>
      <c r="WK1011" s="181"/>
      <c r="WL1011" s="181"/>
      <c r="WM1011" s="181"/>
      <c r="WN1011" s="181"/>
      <c r="WO1011" s="181"/>
      <c r="WP1011" s="181"/>
      <c r="WQ1011" s="181"/>
      <c r="WR1011" s="181"/>
      <c r="WS1011" s="181"/>
      <c r="WT1011" s="181"/>
      <c r="WU1011" s="181"/>
      <c r="WV1011" s="181"/>
      <c r="WW1011" s="181"/>
      <c r="WX1011" s="181"/>
      <c r="WY1011" s="181"/>
      <c r="WZ1011" s="181"/>
      <c r="XA1011" s="181"/>
      <c r="XB1011" s="181"/>
      <c r="XC1011" s="181"/>
      <c r="XD1011" s="181"/>
      <c r="XE1011" s="181"/>
      <c r="XF1011" s="181"/>
      <c r="XG1011" s="181"/>
      <c r="XH1011" s="181"/>
      <c r="XI1011" s="181"/>
      <c r="XJ1011" s="181"/>
      <c r="XK1011" s="181"/>
      <c r="XL1011" s="181"/>
      <c r="XM1011" s="181"/>
      <c r="XN1011" s="181"/>
      <c r="XO1011" s="181"/>
      <c r="XP1011" s="181"/>
      <c r="XQ1011" s="181"/>
      <c r="XR1011" s="181"/>
      <c r="XS1011" s="181"/>
      <c r="XT1011" s="181"/>
      <c r="XU1011" s="181"/>
      <c r="XV1011" s="181"/>
      <c r="XW1011" s="181"/>
      <c r="XX1011" s="181"/>
      <c r="XY1011" s="181"/>
      <c r="XZ1011" s="181"/>
      <c r="YA1011" s="181"/>
      <c r="YB1011" s="181"/>
      <c r="YC1011" s="181"/>
      <c r="YD1011" s="181"/>
      <c r="YE1011" s="181"/>
      <c r="YF1011" s="181"/>
      <c r="YG1011" s="181"/>
      <c r="YH1011" s="181"/>
      <c r="YI1011" s="181"/>
      <c r="YJ1011" s="181"/>
      <c r="YK1011" s="181"/>
      <c r="YL1011" s="181"/>
      <c r="YM1011" s="181"/>
      <c r="YN1011" s="181"/>
      <c r="YO1011" s="181"/>
      <c r="YP1011" s="181"/>
      <c r="YQ1011" s="181"/>
      <c r="YR1011" s="181"/>
      <c r="YS1011" s="181"/>
      <c r="YT1011" s="181"/>
      <c r="YU1011" s="181"/>
      <c r="YV1011" s="181"/>
      <c r="YW1011" s="181"/>
      <c r="YX1011" s="181"/>
      <c r="YY1011" s="181"/>
      <c r="YZ1011" s="181"/>
      <c r="ZA1011" s="181"/>
      <c r="ZB1011" s="181"/>
      <c r="ZC1011" s="181"/>
      <c r="ZD1011" s="181"/>
      <c r="ZE1011" s="181"/>
      <c r="ZF1011" s="181"/>
      <c r="ZG1011" s="181"/>
      <c r="ZH1011" s="181"/>
      <c r="ZI1011" s="181"/>
      <c r="ZJ1011" s="181"/>
      <c r="ZK1011" s="181"/>
      <c r="ZL1011" s="181"/>
      <c r="ZM1011" s="181"/>
      <c r="ZN1011" s="181"/>
      <c r="ZO1011" s="181"/>
      <c r="ZP1011" s="181"/>
      <c r="ZQ1011" s="181"/>
      <c r="ZR1011" s="181"/>
      <c r="ZS1011" s="181"/>
      <c r="ZT1011" s="181"/>
      <c r="ZU1011" s="181"/>
      <c r="ZV1011" s="181"/>
      <c r="ZW1011" s="181"/>
      <c r="ZX1011" s="181"/>
      <c r="ZY1011" s="181"/>
      <c r="ZZ1011" s="181"/>
      <c r="AAA1011" s="181"/>
      <c r="AAB1011" s="181"/>
      <c r="AAC1011" s="181"/>
      <c r="AAD1011" s="181"/>
      <c r="AAE1011" s="181"/>
      <c r="AAF1011" s="181"/>
      <c r="AAG1011" s="181"/>
      <c r="AAH1011" s="181"/>
      <c r="AAI1011" s="181"/>
      <c r="AAJ1011" s="181"/>
      <c r="AAK1011" s="181"/>
      <c r="AAL1011" s="181"/>
      <c r="AAM1011" s="181"/>
      <c r="AAN1011" s="181"/>
      <c r="AAO1011" s="181"/>
      <c r="AAP1011" s="181"/>
      <c r="AAQ1011" s="181"/>
      <c r="AAR1011" s="181"/>
      <c r="AAS1011" s="181"/>
      <c r="AAT1011" s="181"/>
      <c r="AAU1011" s="181"/>
      <c r="AAV1011" s="181"/>
      <c r="AAW1011" s="181"/>
      <c r="AAX1011" s="181"/>
      <c r="AAY1011" s="181"/>
      <c r="AAZ1011" s="181"/>
      <c r="ABA1011" s="181"/>
      <c r="ABB1011" s="181"/>
      <c r="ABC1011" s="181"/>
      <c r="ABD1011" s="181"/>
      <c r="ABE1011" s="181"/>
      <c r="ABF1011" s="181"/>
      <c r="ABG1011" s="181"/>
      <c r="ABH1011" s="181"/>
      <c r="ABI1011" s="181"/>
      <c r="ABJ1011" s="181"/>
      <c r="ABK1011" s="181"/>
      <c r="ABL1011" s="181"/>
      <c r="ABM1011" s="181"/>
      <c r="ABN1011" s="181"/>
      <c r="ABO1011" s="181"/>
      <c r="ABP1011" s="181"/>
      <c r="ABQ1011" s="181"/>
      <c r="ABR1011" s="181"/>
      <c r="ABS1011" s="181"/>
      <c r="ABT1011" s="181"/>
      <c r="ABU1011" s="181"/>
      <c r="ABV1011" s="181"/>
      <c r="ABW1011" s="181"/>
      <c r="ABX1011" s="181"/>
      <c r="ABY1011" s="181"/>
      <c r="ABZ1011" s="181"/>
      <c r="ACA1011" s="181"/>
      <c r="ACB1011" s="181"/>
      <c r="ACC1011" s="181"/>
      <c r="ACD1011" s="181"/>
      <c r="ACE1011" s="181"/>
      <c r="ACF1011" s="181"/>
      <c r="ACG1011" s="181"/>
      <c r="ACH1011" s="181"/>
      <c r="ACI1011" s="181"/>
      <c r="ACJ1011" s="181"/>
      <c r="ACK1011" s="181"/>
      <c r="ACL1011" s="181"/>
      <c r="ACM1011" s="181"/>
      <c r="ACN1011" s="181"/>
      <c r="ACO1011" s="181"/>
      <c r="ACP1011" s="181"/>
      <c r="ACQ1011" s="181"/>
      <c r="ACR1011" s="181"/>
      <c r="ACS1011" s="181"/>
      <c r="ACT1011" s="181"/>
      <c r="ACU1011" s="181"/>
      <c r="ACV1011" s="181"/>
      <c r="ACW1011" s="181"/>
      <c r="ACX1011" s="181"/>
      <c r="ACY1011" s="181"/>
      <c r="ACZ1011" s="181"/>
      <c r="ADA1011" s="181"/>
      <c r="ADB1011" s="181"/>
      <c r="ADC1011" s="181"/>
      <c r="ADD1011" s="181"/>
      <c r="ADE1011" s="181"/>
      <c r="ADF1011" s="181"/>
      <c r="ADG1011" s="181"/>
      <c r="ADH1011" s="181"/>
      <c r="ADI1011" s="181"/>
      <c r="ADJ1011" s="181"/>
      <c r="ADK1011" s="181"/>
      <c r="ADL1011" s="181"/>
      <c r="ADM1011" s="181"/>
      <c r="ADN1011" s="181"/>
      <c r="ADO1011" s="181"/>
      <c r="ADP1011" s="181"/>
      <c r="ADQ1011" s="181"/>
      <c r="ADR1011" s="181"/>
      <c r="ADS1011" s="181"/>
      <c r="ADT1011" s="181"/>
      <c r="ADU1011" s="181"/>
      <c r="ADV1011" s="181"/>
      <c r="ADW1011" s="181"/>
      <c r="ADX1011" s="181"/>
      <c r="ADY1011" s="181"/>
      <c r="ADZ1011" s="181"/>
      <c r="AEA1011" s="181"/>
      <c r="AEB1011" s="181"/>
      <c r="AEC1011" s="181"/>
      <c r="AED1011" s="181"/>
      <c r="AEE1011" s="181"/>
      <c r="AEF1011" s="181"/>
      <c r="AEG1011" s="181"/>
      <c r="AEH1011" s="181"/>
      <c r="AEI1011" s="181"/>
      <c r="AEJ1011" s="181"/>
      <c r="AEK1011" s="181"/>
      <c r="AEL1011" s="181"/>
      <c r="AEM1011" s="181"/>
      <c r="AEN1011" s="181"/>
      <c r="AEO1011" s="181"/>
      <c r="AEP1011" s="181"/>
      <c r="AEQ1011" s="181"/>
      <c r="AER1011" s="181"/>
      <c r="AES1011" s="181"/>
      <c r="AET1011" s="181"/>
      <c r="AEU1011" s="181"/>
      <c r="AEV1011" s="181"/>
      <c r="AEW1011" s="181"/>
      <c r="AEX1011" s="181"/>
      <c r="AEY1011" s="181"/>
      <c r="AEZ1011" s="181"/>
      <c r="AFA1011" s="181"/>
      <c r="AFB1011" s="181"/>
      <c r="AFC1011" s="181"/>
      <c r="AFD1011" s="181"/>
      <c r="AFE1011" s="181"/>
      <c r="AFF1011" s="181"/>
      <c r="AFG1011" s="181"/>
      <c r="AFH1011" s="181"/>
      <c r="AFI1011" s="181"/>
      <c r="AFJ1011" s="181"/>
      <c r="AFK1011" s="181"/>
      <c r="AFL1011" s="181"/>
      <c r="AFM1011" s="181"/>
      <c r="AFN1011" s="181"/>
      <c r="AFO1011" s="181"/>
      <c r="AFP1011" s="181"/>
      <c r="AFQ1011" s="181"/>
      <c r="AFR1011" s="181"/>
      <c r="AFS1011" s="181"/>
      <c r="AFT1011" s="181"/>
      <c r="AFU1011" s="181"/>
      <c r="AFV1011" s="181"/>
      <c r="AFW1011" s="181"/>
      <c r="AFX1011" s="181"/>
      <c r="AFY1011" s="181"/>
      <c r="AFZ1011" s="181"/>
      <c r="AGA1011" s="181"/>
      <c r="AGB1011" s="181"/>
      <c r="AGC1011" s="181"/>
      <c r="AGD1011" s="181"/>
      <c r="AGE1011" s="181"/>
      <c r="AGF1011" s="181"/>
      <c r="AGG1011" s="181"/>
      <c r="AGH1011" s="181"/>
      <c r="AGI1011" s="181"/>
      <c r="AGJ1011" s="181"/>
      <c r="AGK1011" s="181"/>
      <c r="AGL1011" s="181"/>
      <c r="AGM1011" s="181"/>
      <c r="AGN1011" s="181"/>
      <c r="AGO1011" s="181"/>
      <c r="AGP1011" s="181"/>
      <c r="AGQ1011" s="181"/>
      <c r="AGR1011" s="181"/>
      <c r="AGS1011" s="181"/>
      <c r="AGT1011" s="181"/>
      <c r="AGU1011" s="181"/>
      <c r="AGV1011" s="181"/>
      <c r="AGW1011" s="181"/>
      <c r="AGX1011" s="181"/>
      <c r="AGY1011" s="181"/>
      <c r="AGZ1011" s="181"/>
      <c r="AHA1011" s="181"/>
      <c r="AHB1011" s="181"/>
      <c r="AHC1011" s="181"/>
      <c r="AHD1011" s="181"/>
      <c r="AHE1011" s="181"/>
      <c r="AHF1011" s="181"/>
      <c r="AHG1011" s="181"/>
      <c r="AHH1011" s="181"/>
      <c r="AHI1011" s="181"/>
      <c r="AHJ1011" s="181"/>
      <c r="AHK1011" s="181"/>
      <c r="AHL1011" s="181"/>
      <c r="AHM1011" s="181"/>
      <c r="AHN1011" s="181"/>
      <c r="AHO1011" s="181"/>
      <c r="AHP1011" s="181"/>
      <c r="AHQ1011" s="181"/>
      <c r="AHR1011" s="181"/>
      <c r="AHS1011" s="181"/>
      <c r="AHT1011" s="181"/>
      <c r="AHU1011" s="181"/>
      <c r="AHV1011" s="181"/>
      <c r="AHW1011" s="181"/>
      <c r="AHX1011" s="181"/>
      <c r="AHY1011" s="181"/>
      <c r="AHZ1011" s="181"/>
      <c r="AIA1011" s="181"/>
      <c r="AIB1011" s="181"/>
      <c r="AIC1011" s="181"/>
      <c r="AID1011" s="181"/>
      <c r="AIE1011" s="181"/>
      <c r="AIF1011" s="181"/>
      <c r="AIG1011" s="181"/>
      <c r="AIH1011" s="181"/>
      <c r="AII1011" s="181"/>
      <c r="AIJ1011" s="181"/>
      <c r="AIK1011" s="181"/>
      <c r="AIL1011" s="181"/>
      <c r="AIM1011" s="181"/>
      <c r="AIN1011" s="181"/>
      <c r="AIO1011" s="181"/>
      <c r="AIP1011" s="181"/>
      <c r="AIQ1011" s="181"/>
      <c r="AIR1011" s="181"/>
      <c r="AIS1011" s="181"/>
      <c r="AIT1011" s="181"/>
      <c r="AIU1011" s="181"/>
      <c r="AIV1011" s="181"/>
      <c r="AIW1011" s="181"/>
      <c r="AIX1011" s="181"/>
      <c r="AIY1011" s="181"/>
      <c r="AIZ1011" s="181"/>
      <c r="AJA1011" s="181"/>
      <c r="AJB1011" s="181"/>
      <c r="AJC1011" s="181"/>
      <c r="AJD1011" s="181"/>
      <c r="AJE1011" s="181"/>
      <c r="AJF1011" s="181"/>
      <c r="AJG1011" s="181"/>
      <c r="AJH1011" s="181"/>
      <c r="AJI1011" s="181"/>
      <c r="AJJ1011" s="181"/>
      <c r="AJK1011" s="181"/>
      <c r="AJL1011" s="181"/>
      <c r="AJM1011" s="181"/>
      <c r="AJN1011" s="181"/>
      <c r="AJO1011" s="181"/>
      <c r="AJP1011" s="181"/>
      <c r="AJQ1011" s="181"/>
      <c r="AJR1011" s="181"/>
      <c r="AJS1011" s="181"/>
      <c r="AJT1011" s="181"/>
      <c r="AJU1011" s="181"/>
      <c r="AJV1011" s="181"/>
      <c r="AJW1011" s="181"/>
      <c r="AJX1011" s="181"/>
      <c r="AJY1011" s="181"/>
      <c r="AJZ1011" s="181"/>
      <c r="AKA1011" s="181"/>
      <c r="AKB1011" s="181"/>
      <c r="AKC1011" s="181"/>
      <c r="AKD1011" s="181"/>
      <c r="AKE1011" s="181"/>
      <c r="AKF1011" s="181"/>
      <c r="AKG1011" s="181"/>
      <c r="AKH1011" s="181"/>
      <c r="AKI1011" s="181"/>
      <c r="AKJ1011" s="181"/>
      <c r="AKK1011" s="181"/>
      <c r="AKL1011" s="181"/>
      <c r="AKM1011" s="181"/>
      <c r="AKN1011" s="181"/>
      <c r="AKO1011" s="181"/>
      <c r="AKP1011" s="181"/>
      <c r="AKQ1011" s="181"/>
      <c r="AKR1011" s="181"/>
      <c r="AKS1011" s="181"/>
      <c r="AKT1011" s="181"/>
      <c r="AKU1011" s="181"/>
      <c r="AKV1011" s="181"/>
      <c r="AKW1011" s="181"/>
      <c r="AKX1011" s="181"/>
      <c r="AKY1011" s="181"/>
      <c r="AKZ1011" s="181"/>
      <c r="ALA1011" s="181"/>
      <c r="ALB1011" s="181"/>
      <c r="ALC1011" s="181"/>
      <c r="ALD1011" s="181"/>
      <c r="ALE1011" s="181"/>
      <c r="ALF1011" s="181"/>
      <c r="ALG1011" s="181"/>
      <c r="ALH1011" s="181"/>
      <c r="ALI1011" s="181"/>
      <c r="ALJ1011" s="181"/>
      <c r="ALK1011" s="181"/>
      <c r="ALL1011" s="181"/>
      <c r="ALM1011" s="181"/>
      <c r="ALN1011" s="181"/>
      <c r="ALO1011" s="181"/>
      <c r="ALP1011" s="181"/>
      <c r="ALQ1011" s="181"/>
      <c r="ALR1011" s="181"/>
      <c r="ALS1011" s="181"/>
      <c r="ALT1011" s="181"/>
      <c r="ALU1011" s="181"/>
      <c r="ALV1011" s="181"/>
      <c r="ALW1011" s="181"/>
      <c r="ALX1011" s="181"/>
      <c r="ALY1011" s="181"/>
      <c r="ALZ1011" s="181"/>
      <c r="AMA1011" s="181"/>
      <c r="AMB1011" s="181"/>
      <c r="AMC1011" s="181"/>
      <c r="AMD1011" s="181"/>
      <c r="AME1011" s="181"/>
      <c r="AMF1011" s="181"/>
      <c r="AMG1011" s="181"/>
      <c r="AMH1011" s="181"/>
      <c r="AMI1011" s="181"/>
      <c r="AMJ1011" s="181"/>
      <c r="AMK1011" s="181"/>
      <c r="AML1011" s="181"/>
      <c r="AMM1011" s="181"/>
      <c r="AMN1011" s="181"/>
      <c r="AMO1011" s="181"/>
      <c r="AMP1011" s="181"/>
      <c r="AMQ1011" s="181"/>
      <c r="AMR1011" s="181"/>
      <c r="AMS1011" s="181"/>
      <c r="AMT1011" s="181"/>
      <c r="AMU1011" s="181"/>
      <c r="AMV1011" s="181"/>
      <c r="AMW1011" s="181"/>
      <c r="AMX1011" s="181"/>
      <c r="AMY1011" s="181"/>
      <c r="AMZ1011" s="181"/>
      <c r="ANA1011" s="181"/>
      <c r="ANB1011" s="181"/>
      <c r="ANC1011" s="181"/>
      <c r="AND1011" s="181"/>
      <c r="ANE1011" s="181"/>
      <c r="ANF1011" s="181"/>
      <c r="ANG1011" s="181"/>
      <c r="ANH1011" s="181"/>
      <c r="ANI1011" s="181"/>
      <c r="ANJ1011" s="181"/>
      <c r="ANK1011" s="181"/>
      <c r="ANL1011" s="181"/>
      <c r="ANM1011" s="181"/>
      <c r="ANN1011" s="181"/>
      <c r="ANO1011" s="181"/>
      <c r="ANP1011" s="181"/>
      <c r="ANQ1011" s="181"/>
      <c r="ANR1011" s="181"/>
      <c r="ANS1011" s="181"/>
      <c r="ANT1011" s="181"/>
      <c r="ANU1011" s="181"/>
      <c r="ANV1011" s="181"/>
      <c r="ANW1011" s="181"/>
      <c r="ANX1011" s="181"/>
      <c r="ANY1011" s="181"/>
      <c r="ANZ1011" s="181"/>
      <c r="AOA1011" s="181"/>
      <c r="AOB1011" s="181"/>
      <c r="AOC1011" s="181"/>
      <c r="AOD1011" s="181"/>
      <c r="AOE1011" s="181"/>
      <c r="AOF1011" s="181"/>
      <c r="AOG1011" s="181"/>
      <c r="AOH1011" s="181"/>
      <c r="AOI1011" s="181"/>
      <c r="AOJ1011" s="181"/>
      <c r="AOK1011" s="181"/>
      <c r="AOL1011" s="181"/>
      <c r="AOM1011" s="181"/>
      <c r="AON1011" s="181"/>
      <c r="AOO1011" s="181"/>
      <c r="AOP1011" s="181"/>
      <c r="AOQ1011" s="181"/>
      <c r="AOR1011" s="181"/>
      <c r="AOS1011" s="181"/>
      <c r="AOT1011" s="181"/>
      <c r="AOU1011" s="181"/>
      <c r="AOV1011" s="181"/>
      <c r="AOW1011" s="181"/>
      <c r="AOX1011" s="181"/>
      <c r="AOY1011" s="181"/>
      <c r="AOZ1011" s="181"/>
      <c r="APA1011" s="181"/>
      <c r="APB1011" s="181"/>
      <c r="APC1011" s="181"/>
      <c r="APD1011" s="181"/>
      <c r="APE1011" s="181"/>
      <c r="APF1011" s="181"/>
      <c r="APG1011" s="181"/>
      <c r="APH1011" s="181"/>
      <c r="API1011" s="181"/>
      <c r="APJ1011" s="181"/>
      <c r="APK1011" s="181"/>
      <c r="APL1011" s="181"/>
      <c r="APM1011" s="181"/>
      <c r="APN1011" s="181"/>
      <c r="APO1011" s="181"/>
      <c r="APP1011" s="181"/>
      <c r="APQ1011" s="181"/>
      <c r="APR1011" s="181"/>
      <c r="APS1011" s="181"/>
      <c r="APT1011" s="181"/>
      <c r="APU1011" s="181"/>
      <c r="APV1011" s="181"/>
      <c r="APW1011" s="181"/>
      <c r="APX1011" s="181"/>
      <c r="APY1011" s="181"/>
      <c r="APZ1011" s="181"/>
      <c r="AQA1011" s="181"/>
      <c r="AQB1011" s="181"/>
      <c r="AQC1011" s="181"/>
      <c r="AQD1011" s="181"/>
      <c r="AQE1011" s="181"/>
      <c r="AQF1011" s="181"/>
      <c r="AQG1011" s="181"/>
      <c r="AQH1011" s="181"/>
      <c r="AQI1011" s="181"/>
      <c r="AQJ1011" s="181"/>
      <c r="AQK1011" s="181"/>
      <c r="AQL1011" s="181"/>
      <c r="AQM1011" s="181"/>
      <c r="AQN1011" s="181"/>
      <c r="AQO1011" s="181"/>
      <c r="AQP1011" s="181"/>
      <c r="AQQ1011" s="181"/>
      <c r="AQR1011" s="181"/>
      <c r="AQS1011" s="181"/>
      <c r="AQT1011" s="181"/>
      <c r="AQU1011" s="181"/>
      <c r="AQV1011" s="181"/>
      <c r="AQW1011" s="181"/>
      <c r="AQX1011" s="181"/>
      <c r="AQY1011" s="181"/>
      <c r="AQZ1011" s="181"/>
      <c r="ARA1011" s="181"/>
      <c r="ARB1011" s="181"/>
      <c r="ARC1011" s="181"/>
      <c r="ARD1011" s="181"/>
      <c r="ARE1011" s="181"/>
      <c r="ARF1011" s="181"/>
      <c r="ARG1011" s="181"/>
      <c r="ARH1011" s="181"/>
      <c r="ARI1011" s="181"/>
      <c r="ARJ1011" s="181"/>
      <c r="ARK1011" s="181"/>
      <c r="ARL1011" s="181"/>
      <c r="ARM1011" s="181"/>
      <c r="ARN1011" s="181"/>
      <c r="ARO1011" s="181"/>
      <c r="ARP1011" s="181"/>
      <c r="ARQ1011" s="181"/>
      <c r="ARR1011" s="181"/>
      <c r="ARS1011" s="181"/>
      <c r="ART1011" s="181"/>
      <c r="ARU1011" s="181"/>
      <c r="ARV1011" s="181"/>
      <c r="ARW1011" s="181"/>
      <c r="ARX1011" s="181"/>
      <c r="ARY1011" s="181"/>
      <c r="ARZ1011" s="181"/>
      <c r="ASA1011" s="181"/>
      <c r="ASB1011" s="181"/>
      <c r="ASC1011" s="181"/>
      <c r="ASD1011" s="181"/>
      <c r="ASE1011" s="181"/>
      <c r="ASF1011" s="181"/>
      <c r="ASG1011" s="181"/>
      <c r="ASH1011" s="181"/>
      <c r="ASI1011" s="181"/>
      <c r="ASJ1011" s="181"/>
      <c r="ASK1011" s="181"/>
      <c r="ASL1011" s="181"/>
      <c r="ASM1011" s="181"/>
      <c r="ASN1011" s="181"/>
      <c r="ASO1011" s="181"/>
      <c r="ASP1011" s="181"/>
      <c r="ASQ1011" s="181"/>
      <c r="ASR1011" s="181"/>
      <c r="ASS1011" s="181"/>
      <c r="AST1011" s="181"/>
      <c r="ASU1011" s="181"/>
      <c r="ASV1011" s="181"/>
      <c r="ASW1011" s="181"/>
      <c r="ASX1011" s="181"/>
      <c r="ASY1011" s="181"/>
      <c r="ASZ1011" s="181"/>
      <c r="ATA1011" s="181"/>
      <c r="ATB1011" s="181"/>
      <c r="ATC1011" s="181"/>
      <c r="ATD1011" s="181"/>
      <c r="ATE1011" s="181"/>
      <c r="ATF1011" s="181"/>
      <c r="ATG1011" s="181"/>
      <c r="ATH1011" s="181"/>
      <c r="ATI1011" s="181"/>
      <c r="ATJ1011" s="181"/>
      <c r="ATK1011" s="181"/>
      <c r="ATL1011" s="181"/>
      <c r="ATM1011" s="181"/>
      <c r="ATN1011" s="181"/>
      <c r="ATO1011" s="181"/>
      <c r="ATP1011" s="181"/>
      <c r="ATQ1011" s="181"/>
      <c r="ATR1011" s="181"/>
      <c r="ATS1011" s="181"/>
      <c r="ATT1011" s="181"/>
      <c r="ATU1011" s="181"/>
      <c r="ATV1011" s="181"/>
      <c r="ATW1011" s="181"/>
      <c r="ATX1011" s="181"/>
      <c r="ATY1011" s="181"/>
      <c r="ATZ1011" s="181"/>
      <c r="AUA1011" s="181"/>
      <c r="AUB1011" s="181"/>
      <c r="AUC1011" s="181"/>
      <c r="AUD1011" s="181"/>
      <c r="AUE1011" s="181"/>
      <c r="AUF1011" s="181"/>
      <c r="AUG1011" s="181"/>
      <c r="AUH1011" s="181"/>
      <c r="AUI1011" s="181"/>
      <c r="AUJ1011" s="181"/>
      <c r="AUK1011" s="181"/>
      <c r="AUL1011" s="181"/>
      <c r="AUM1011" s="181"/>
      <c r="AUN1011" s="181"/>
      <c r="AUO1011" s="181"/>
      <c r="AUP1011" s="181"/>
      <c r="AUQ1011" s="181"/>
      <c r="AUR1011" s="181"/>
      <c r="AUS1011" s="181"/>
      <c r="AUT1011" s="181"/>
      <c r="AUU1011" s="181"/>
      <c r="AUV1011" s="181"/>
      <c r="AUW1011" s="181"/>
      <c r="AUX1011" s="181"/>
      <c r="AUY1011" s="181"/>
      <c r="AUZ1011" s="181"/>
      <c r="AVA1011" s="181"/>
      <c r="AVB1011" s="181"/>
      <c r="AVC1011" s="181"/>
      <c r="AVD1011" s="181"/>
      <c r="AVE1011" s="181"/>
      <c r="AVF1011" s="181"/>
      <c r="AVG1011" s="181"/>
      <c r="AVH1011" s="181"/>
      <c r="AVI1011" s="181"/>
      <c r="AVJ1011" s="181"/>
      <c r="AVK1011" s="181"/>
      <c r="AVL1011" s="181"/>
      <c r="AVM1011" s="181"/>
      <c r="AVN1011" s="181"/>
      <c r="AVO1011" s="181"/>
      <c r="AVP1011" s="181"/>
      <c r="AVQ1011" s="181"/>
      <c r="AVR1011" s="181"/>
      <c r="AVS1011" s="181"/>
      <c r="AVT1011" s="181"/>
      <c r="AVU1011" s="181"/>
      <c r="AVV1011" s="181"/>
      <c r="AVW1011" s="181"/>
      <c r="AVX1011" s="181"/>
      <c r="AVY1011" s="181"/>
      <c r="AVZ1011" s="181"/>
      <c r="AWA1011" s="181"/>
      <c r="AWB1011" s="181"/>
      <c r="AWC1011" s="181"/>
      <c r="AWD1011" s="181"/>
      <c r="AWE1011" s="181"/>
      <c r="AWF1011" s="181"/>
      <c r="AWG1011" s="181"/>
      <c r="AWH1011" s="181"/>
      <c r="AWI1011" s="181"/>
      <c r="AWJ1011" s="181"/>
      <c r="AWK1011" s="181"/>
      <c r="AWL1011" s="181"/>
      <c r="AWM1011" s="181"/>
      <c r="AWN1011" s="181"/>
      <c r="AWO1011" s="181"/>
      <c r="AWP1011" s="181"/>
      <c r="AWQ1011" s="181"/>
      <c r="AWR1011" s="181"/>
      <c r="AWS1011" s="181"/>
      <c r="AWT1011" s="181"/>
      <c r="AWU1011" s="181"/>
      <c r="AWV1011" s="181"/>
      <c r="AWW1011" s="181"/>
      <c r="AWX1011" s="181"/>
      <c r="AWY1011" s="181"/>
      <c r="AWZ1011" s="181"/>
      <c r="AXA1011" s="181"/>
      <c r="AXB1011" s="181"/>
      <c r="AXC1011" s="181"/>
      <c r="AXD1011" s="181"/>
      <c r="AXE1011" s="181"/>
      <c r="AXF1011" s="181"/>
      <c r="AXG1011" s="181"/>
      <c r="AXH1011" s="181"/>
      <c r="AXI1011" s="181"/>
      <c r="AXJ1011" s="181"/>
      <c r="AXK1011" s="181"/>
      <c r="AXL1011" s="181"/>
      <c r="AXM1011" s="181"/>
      <c r="AXN1011" s="181"/>
      <c r="AXO1011" s="181"/>
      <c r="AXP1011" s="181"/>
      <c r="AXQ1011" s="181"/>
      <c r="AXR1011" s="181"/>
      <c r="AXS1011" s="181"/>
      <c r="AXT1011" s="181"/>
      <c r="AXU1011" s="181"/>
      <c r="AXV1011" s="181"/>
      <c r="AXW1011" s="181"/>
      <c r="AXX1011" s="181"/>
      <c r="AXY1011" s="181"/>
      <c r="AXZ1011" s="181"/>
      <c r="AYA1011" s="181"/>
      <c r="AYB1011" s="181"/>
      <c r="AYC1011" s="181"/>
      <c r="AYD1011" s="181"/>
      <c r="AYE1011" s="181"/>
      <c r="AYF1011" s="181"/>
      <c r="AYG1011" s="181"/>
      <c r="AYH1011" s="181"/>
      <c r="AYI1011" s="181"/>
      <c r="AYJ1011" s="181"/>
      <c r="AYK1011" s="181"/>
      <c r="AYL1011" s="181"/>
      <c r="AYM1011" s="181"/>
      <c r="AYN1011" s="181"/>
      <c r="AYO1011" s="181"/>
      <c r="AYP1011" s="181"/>
      <c r="AYQ1011" s="181"/>
      <c r="AYR1011" s="181"/>
      <c r="AYS1011" s="181"/>
      <c r="AYT1011" s="181"/>
      <c r="AYU1011" s="181"/>
      <c r="AYV1011" s="181"/>
      <c r="AYW1011" s="181"/>
      <c r="AYX1011" s="181"/>
      <c r="AYY1011" s="181"/>
      <c r="AYZ1011" s="181"/>
      <c r="AZA1011" s="181"/>
      <c r="AZB1011" s="181"/>
      <c r="AZC1011" s="181"/>
      <c r="AZD1011" s="181"/>
      <c r="AZE1011" s="181"/>
      <c r="AZF1011" s="181"/>
      <c r="AZG1011" s="181"/>
      <c r="AZH1011" s="181"/>
      <c r="AZI1011" s="181"/>
      <c r="AZJ1011" s="181"/>
      <c r="AZK1011" s="181"/>
      <c r="AZL1011" s="181"/>
      <c r="AZM1011" s="181"/>
      <c r="AZN1011" s="181"/>
      <c r="AZO1011" s="181"/>
      <c r="AZP1011" s="181"/>
      <c r="AZQ1011" s="181"/>
      <c r="AZR1011" s="181"/>
      <c r="AZS1011" s="181"/>
      <c r="AZT1011" s="181"/>
      <c r="AZU1011" s="181"/>
      <c r="AZV1011" s="181"/>
      <c r="AZW1011" s="181"/>
      <c r="AZX1011" s="181"/>
      <c r="AZY1011" s="181"/>
      <c r="AZZ1011" s="181"/>
      <c r="BAA1011" s="181"/>
      <c r="BAB1011" s="181"/>
      <c r="BAC1011" s="181"/>
      <c r="BAD1011" s="181"/>
      <c r="BAE1011" s="181"/>
      <c r="BAF1011" s="181"/>
      <c r="BAG1011" s="181"/>
      <c r="BAH1011" s="181"/>
      <c r="BAI1011" s="181"/>
      <c r="BAJ1011" s="181"/>
      <c r="BAK1011" s="181"/>
      <c r="BAL1011" s="181"/>
      <c r="BAM1011" s="181"/>
      <c r="BAN1011" s="181"/>
      <c r="BAO1011" s="181"/>
      <c r="BAP1011" s="181"/>
      <c r="BAQ1011" s="181"/>
      <c r="BAR1011" s="181"/>
      <c r="BAS1011" s="181"/>
      <c r="BAT1011" s="181"/>
      <c r="BAU1011" s="181"/>
      <c r="BAV1011" s="181"/>
      <c r="BAW1011" s="181"/>
      <c r="BAX1011" s="181"/>
      <c r="BAY1011" s="181"/>
      <c r="BAZ1011" s="181"/>
      <c r="BBA1011" s="181"/>
      <c r="BBB1011" s="181"/>
      <c r="BBC1011" s="181"/>
      <c r="BBD1011" s="181"/>
      <c r="BBE1011" s="181"/>
      <c r="BBF1011" s="181"/>
      <c r="BBG1011" s="181"/>
      <c r="BBH1011" s="181"/>
      <c r="BBI1011" s="181"/>
      <c r="BBJ1011" s="181"/>
      <c r="BBK1011" s="181"/>
      <c r="BBL1011" s="181"/>
      <c r="BBM1011" s="181"/>
      <c r="BBN1011" s="181"/>
      <c r="BBO1011" s="181"/>
      <c r="BBP1011" s="181"/>
      <c r="BBQ1011" s="181"/>
      <c r="BBR1011" s="181"/>
      <c r="BBS1011" s="181"/>
      <c r="BBT1011" s="181"/>
      <c r="BBU1011" s="181"/>
      <c r="BBV1011" s="181"/>
      <c r="BBW1011" s="181"/>
      <c r="BBX1011" s="181"/>
      <c r="BBY1011" s="181"/>
      <c r="BBZ1011" s="181"/>
      <c r="BCA1011" s="181"/>
      <c r="BCB1011" s="181"/>
      <c r="BCC1011" s="181"/>
      <c r="BCD1011" s="181"/>
      <c r="BCE1011" s="181"/>
      <c r="BCF1011" s="181"/>
      <c r="BCG1011" s="181"/>
      <c r="BCH1011" s="181"/>
      <c r="BCI1011" s="181"/>
      <c r="BCJ1011" s="181"/>
      <c r="BCK1011" s="181"/>
      <c r="BCL1011" s="181"/>
      <c r="BCM1011" s="181"/>
      <c r="BCN1011" s="181"/>
      <c r="BCO1011" s="181"/>
      <c r="BCP1011" s="181"/>
      <c r="BCQ1011" s="181"/>
      <c r="BCR1011" s="181"/>
      <c r="BCS1011" s="181"/>
      <c r="BCT1011" s="181"/>
      <c r="BCU1011" s="181"/>
      <c r="BCV1011" s="181"/>
      <c r="BCW1011" s="181"/>
      <c r="BCX1011" s="181"/>
      <c r="BCY1011" s="181"/>
      <c r="BCZ1011" s="181"/>
      <c r="BDA1011" s="181"/>
      <c r="BDB1011" s="181"/>
      <c r="BDC1011" s="181"/>
      <c r="BDD1011" s="181"/>
      <c r="BDE1011" s="181"/>
      <c r="BDF1011" s="181"/>
      <c r="BDG1011" s="181"/>
      <c r="BDH1011" s="181"/>
      <c r="BDI1011" s="181"/>
      <c r="BDJ1011" s="181"/>
      <c r="BDK1011" s="181"/>
      <c r="BDL1011" s="181"/>
      <c r="BDM1011" s="181"/>
      <c r="BDN1011" s="181"/>
      <c r="BDO1011" s="181"/>
      <c r="BDP1011" s="181"/>
      <c r="BDQ1011" s="181"/>
      <c r="BDR1011" s="181"/>
      <c r="BDS1011" s="181"/>
      <c r="BDT1011" s="181"/>
      <c r="BDU1011" s="181"/>
      <c r="BDV1011" s="181"/>
      <c r="BDW1011" s="181"/>
      <c r="BDX1011" s="181"/>
      <c r="BDY1011" s="181"/>
      <c r="BDZ1011" s="181"/>
      <c r="BEA1011" s="181"/>
      <c r="BEB1011" s="181"/>
      <c r="BEC1011" s="181"/>
      <c r="BED1011" s="181"/>
      <c r="BEE1011" s="181"/>
      <c r="BEF1011" s="181"/>
      <c r="BEG1011" s="181"/>
      <c r="BEH1011" s="181"/>
      <c r="BEI1011" s="181"/>
      <c r="BEJ1011" s="181"/>
      <c r="BEK1011" s="181"/>
      <c r="BEL1011" s="181"/>
      <c r="BEM1011" s="181"/>
      <c r="BEN1011" s="181"/>
      <c r="BEO1011" s="181"/>
      <c r="BEP1011" s="181"/>
      <c r="BEQ1011" s="181"/>
      <c r="BER1011" s="181"/>
      <c r="BES1011" s="181"/>
      <c r="BET1011" s="181"/>
      <c r="BEU1011" s="181"/>
      <c r="BEV1011" s="181"/>
      <c r="BEW1011" s="181"/>
      <c r="BEX1011" s="181"/>
      <c r="BEY1011" s="181"/>
      <c r="BEZ1011" s="181"/>
      <c r="BFA1011" s="181"/>
      <c r="BFB1011" s="181"/>
      <c r="BFC1011" s="181"/>
      <c r="BFD1011" s="181"/>
      <c r="BFE1011" s="181"/>
      <c r="BFF1011" s="181"/>
      <c r="BFG1011" s="181"/>
      <c r="BFH1011" s="181"/>
      <c r="BFI1011" s="181"/>
      <c r="BFJ1011" s="181"/>
      <c r="BFK1011" s="181"/>
      <c r="BFL1011" s="181"/>
      <c r="BFM1011" s="181"/>
      <c r="BFN1011" s="181"/>
      <c r="BFO1011" s="181"/>
      <c r="BFP1011" s="181"/>
      <c r="BFQ1011" s="181"/>
      <c r="BFR1011" s="181"/>
      <c r="BFS1011" s="181"/>
      <c r="BFT1011" s="181"/>
      <c r="BFU1011" s="181"/>
      <c r="BFV1011" s="181"/>
      <c r="BFW1011" s="181"/>
      <c r="BFX1011" s="181"/>
      <c r="BFY1011" s="181"/>
      <c r="BFZ1011" s="181"/>
      <c r="BGA1011" s="181"/>
      <c r="BGB1011" s="181"/>
      <c r="BGC1011" s="181"/>
      <c r="BGD1011" s="181"/>
      <c r="BGE1011" s="181"/>
      <c r="BGF1011" s="181"/>
      <c r="BGG1011" s="181"/>
      <c r="BGH1011" s="181"/>
      <c r="BGI1011" s="181"/>
      <c r="BGJ1011" s="181"/>
      <c r="BGK1011" s="181"/>
      <c r="BGL1011" s="181"/>
      <c r="BGM1011" s="181"/>
      <c r="BGN1011" s="181"/>
      <c r="BGO1011" s="181"/>
      <c r="BGP1011" s="181"/>
      <c r="BGQ1011" s="181"/>
      <c r="BGR1011" s="181"/>
      <c r="BGS1011" s="181"/>
      <c r="BGT1011" s="181"/>
      <c r="BGU1011" s="181"/>
      <c r="BGV1011" s="181"/>
      <c r="BGW1011" s="181"/>
      <c r="BGX1011" s="181"/>
      <c r="BGY1011" s="181"/>
      <c r="BGZ1011" s="181"/>
      <c r="BHA1011" s="181"/>
      <c r="BHB1011" s="181"/>
      <c r="BHC1011" s="181"/>
      <c r="BHD1011" s="181"/>
      <c r="BHE1011" s="181"/>
      <c r="BHF1011" s="181"/>
      <c r="BHG1011" s="181"/>
      <c r="BHH1011" s="181"/>
      <c r="BHI1011" s="181"/>
      <c r="BHJ1011" s="181"/>
      <c r="BHK1011" s="181"/>
      <c r="BHL1011" s="181"/>
      <c r="BHM1011" s="181"/>
      <c r="BHN1011" s="181"/>
      <c r="BHO1011" s="181"/>
      <c r="BHP1011" s="181"/>
      <c r="BHQ1011" s="181"/>
      <c r="BHR1011" s="181"/>
      <c r="BHS1011" s="181"/>
      <c r="BHT1011" s="181"/>
      <c r="BHU1011" s="181"/>
      <c r="BHV1011" s="181"/>
      <c r="BHW1011" s="181"/>
      <c r="BHX1011" s="181"/>
      <c r="BHY1011" s="181"/>
      <c r="BHZ1011" s="181"/>
      <c r="BIA1011" s="181"/>
      <c r="BIB1011" s="181"/>
      <c r="BIC1011" s="181"/>
      <c r="BID1011" s="181"/>
      <c r="BIE1011" s="181"/>
      <c r="BIF1011" s="181"/>
      <c r="BIG1011" s="181"/>
      <c r="BIH1011" s="181"/>
      <c r="BII1011" s="181"/>
      <c r="BIJ1011" s="181"/>
      <c r="BIK1011" s="181"/>
      <c r="BIL1011" s="181"/>
      <c r="BIM1011" s="181"/>
      <c r="BIN1011" s="181"/>
      <c r="BIO1011" s="181"/>
      <c r="BIP1011" s="181"/>
      <c r="BIQ1011" s="181"/>
      <c r="BIR1011" s="181"/>
      <c r="BIS1011" s="181"/>
      <c r="BIT1011" s="181"/>
      <c r="BIU1011" s="181"/>
      <c r="BIV1011" s="181"/>
      <c r="BIW1011" s="181"/>
      <c r="BIX1011" s="181"/>
      <c r="BIY1011" s="181"/>
      <c r="BIZ1011" s="181"/>
      <c r="BJA1011" s="181"/>
      <c r="BJB1011" s="181"/>
      <c r="BJC1011" s="181"/>
      <c r="BJD1011" s="181"/>
      <c r="BJE1011" s="181"/>
      <c r="BJF1011" s="181"/>
      <c r="BJG1011" s="181"/>
      <c r="BJH1011" s="181"/>
      <c r="BJI1011" s="181"/>
      <c r="BJJ1011" s="181"/>
      <c r="BJK1011" s="181"/>
      <c r="BJL1011" s="181"/>
      <c r="BJM1011" s="181"/>
      <c r="BJN1011" s="181"/>
      <c r="BJO1011" s="181"/>
      <c r="BJP1011" s="181"/>
      <c r="BJQ1011" s="181"/>
      <c r="BJR1011" s="181"/>
      <c r="BJS1011" s="181"/>
      <c r="BJT1011" s="181"/>
      <c r="BJU1011" s="181"/>
      <c r="BJV1011" s="181"/>
      <c r="BJW1011" s="181"/>
      <c r="BJX1011" s="181"/>
      <c r="BJY1011" s="181"/>
      <c r="BJZ1011" s="181"/>
      <c r="BKA1011" s="181"/>
      <c r="BKB1011" s="181"/>
      <c r="BKC1011" s="181"/>
      <c r="BKD1011" s="181"/>
      <c r="BKE1011" s="181"/>
      <c r="BKF1011" s="181"/>
      <c r="BKG1011" s="181"/>
      <c r="BKH1011" s="181"/>
      <c r="BKI1011" s="181"/>
      <c r="BKJ1011" s="181"/>
      <c r="BKK1011" s="181"/>
      <c r="BKL1011" s="181"/>
      <c r="BKM1011" s="181"/>
      <c r="BKN1011" s="181"/>
      <c r="BKO1011" s="181"/>
      <c r="BKP1011" s="181"/>
      <c r="BKQ1011" s="181"/>
      <c r="BKR1011" s="181"/>
      <c r="BKS1011" s="181"/>
      <c r="BKT1011" s="181"/>
      <c r="BKU1011" s="181"/>
      <c r="BKV1011" s="181"/>
      <c r="BKW1011" s="181"/>
      <c r="BKX1011" s="181"/>
      <c r="BKY1011" s="181"/>
      <c r="BKZ1011" s="181"/>
      <c r="BLA1011" s="181"/>
      <c r="BLB1011" s="181"/>
      <c r="BLC1011" s="181"/>
      <c r="BLD1011" s="181"/>
      <c r="BLE1011" s="181"/>
      <c r="BLF1011" s="181"/>
      <c r="BLG1011" s="181"/>
      <c r="BLH1011" s="181"/>
      <c r="BLI1011" s="181"/>
      <c r="BLJ1011" s="181"/>
      <c r="BLK1011" s="181"/>
      <c r="BLL1011" s="181"/>
      <c r="BLM1011" s="181"/>
      <c r="BLN1011" s="181"/>
      <c r="BLO1011" s="181"/>
      <c r="BLP1011" s="181"/>
      <c r="BLQ1011" s="181"/>
      <c r="BLR1011" s="181"/>
      <c r="BLS1011" s="181"/>
      <c r="BLT1011" s="181"/>
      <c r="BLU1011" s="181"/>
      <c r="BLV1011" s="181"/>
      <c r="BLW1011" s="181"/>
      <c r="BLX1011" s="181"/>
      <c r="BLY1011" s="181"/>
      <c r="BLZ1011" s="181"/>
      <c r="BMA1011" s="181"/>
      <c r="BMB1011" s="181"/>
      <c r="BMC1011" s="181"/>
      <c r="BMD1011" s="181"/>
      <c r="BME1011" s="181"/>
      <c r="BMF1011" s="181"/>
      <c r="BMG1011" s="181"/>
      <c r="BMH1011" s="181"/>
      <c r="BMI1011" s="181"/>
      <c r="BMJ1011" s="181"/>
      <c r="BMK1011" s="181"/>
      <c r="BML1011" s="181"/>
      <c r="BMM1011" s="181"/>
      <c r="BMN1011" s="181"/>
      <c r="BMO1011" s="181"/>
      <c r="BMP1011" s="181"/>
      <c r="BMQ1011" s="181"/>
      <c r="BMR1011" s="181"/>
      <c r="BMS1011" s="181"/>
      <c r="BMT1011" s="181"/>
      <c r="BMU1011" s="181"/>
      <c r="BMV1011" s="181"/>
      <c r="BMW1011" s="181"/>
      <c r="BMX1011" s="181"/>
      <c r="BMY1011" s="181"/>
      <c r="BMZ1011" s="181"/>
      <c r="BNA1011" s="181"/>
      <c r="BNB1011" s="181"/>
      <c r="BNC1011" s="181"/>
      <c r="BND1011" s="181"/>
      <c r="BNE1011" s="181"/>
      <c r="BNF1011" s="181"/>
      <c r="BNG1011" s="181"/>
      <c r="BNH1011" s="181"/>
      <c r="BNI1011" s="181"/>
      <c r="BNJ1011" s="181"/>
      <c r="BNK1011" s="181"/>
      <c r="BNL1011" s="181"/>
      <c r="BNM1011" s="181"/>
      <c r="BNN1011" s="181"/>
      <c r="BNO1011" s="181"/>
      <c r="BNP1011" s="181"/>
      <c r="BNQ1011" s="181"/>
      <c r="BNR1011" s="181"/>
      <c r="BNS1011" s="181"/>
      <c r="BNT1011" s="181"/>
      <c r="BNU1011" s="181"/>
      <c r="BNV1011" s="181"/>
      <c r="BNW1011" s="181"/>
      <c r="BNX1011" s="181"/>
      <c r="BNY1011" s="181"/>
      <c r="BNZ1011" s="181"/>
      <c r="BOA1011" s="181"/>
      <c r="BOB1011" s="181"/>
      <c r="BOC1011" s="181"/>
      <c r="BOD1011" s="181"/>
      <c r="BOE1011" s="181"/>
      <c r="BOF1011" s="181"/>
      <c r="BOG1011" s="181"/>
      <c r="BOH1011" s="181"/>
      <c r="BOI1011" s="181"/>
      <c r="BOJ1011" s="181"/>
      <c r="BOK1011" s="181"/>
      <c r="BOL1011" s="181"/>
      <c r="BOM1011" s="181"/>
      <c r="BON1011" s="181"/>
      <c r="BOO1011" s="181"/>
      <c r="BOP1011" s="181"/>
      <c r="BOQ1011" s="181"/>
      <c r="BOR1011" s="181"/>
      <c r="BOS1011" s="181"/>
      <c r="BOT1011" s="181"/>
      <c r="BOU1011" s="181"/>
      <c r="BOV1011" s="181"/>
      <c r="BOW1011" s="181"/>
      <c r="BOX1011" s="181"/>
      <c r="BOY1011" s="181"/>
      <c r="BOZ1011" s="181"/>
      <c r="BPA1011" s="181"/>
      <c r="BPB1011" s="181"/>
      <c r="BPC1011" s="181"/>
      <c r="BPD1011" s="181"/>
      <c r="BPE1011" s="181"/>
      <c r="BPF1011" s="181"/>
      <c r="BPG1011" s="181"/>
      <c r="BPH1011" s="181"/>
      <c r="BPI1011" s="181"/>
      <c r="BPJ1011" s="181"/>
      <c r="BPK1011" s="181"/>
      <c r="BPL1011" s="181"/>
      <c r="BPM1011" s="181"/>
      <c r="BPN1011" s="181"/>
      <c r="BPO1011" s="181"/>
      <c r="BPP1011" s="181"/>
      <c r="BPQ1011" s="181"/>
      <c r="BPR1011" s="181"/>
      <c r="BPS1011" s="181"/>
      <c r="BPT1011" s="181"/>
      <c r="BPU1011" s="181"/>
      <c r="BPV1011" s="181"/>
      <c r="BPW1011" s="181"/>
      <c r="BPX1011" s="181"/>
      <c r="BPY1011" s="181"/>
      <c r="BPZ1011" s="181"/>
      <c r="BQA1011" s="181"/>
      <c r="BQB1011" s="181"/>
      <c r="BQC1011" s="181"/>
      <c r="BQD1011" s="181"/>
      <c r="BQE1011" s="181"/>
      <c r="BQF1011" s="181"/>
      <c r="BQG1011" s="181"/>
      <c r="BQH1011" s="181"/>
      <c r="BQI1011" s="181"/>
      <c r="BQJ1011" s="181"/>
      <c r="BQK1011" s="181"/>
      <c r="BQL1011" s="181"/>
      <c r="BQM1011" s="181"/>
      <c r="BQN1011" s="181"/>
      <c r="BQO1011" s="181"/>
      <c r="BQP1011" s="181"/>
      <c r="BQQ1011" s="181"/>
      <c r="BQR1011" s="181"/>
      <c r="BQS1011" s="181"/>
      <c r="BQT1011" s="181"/>
      <c r="BQU1011" s="181"/>
      <c r="BQV1011" s="181"/>
      <c r="BQW1011" s="181"/>
      <c r="BQX1011" s="181"/>
      <c r="BQY1011" s="181"/>
      <c r="BQZ1011" s="181"/>
      <c r="BRA1011" s="181"/>
      <c r="BRB1011" s="181"/>
      <c r="BRC1011" s="181"/>
      <c r="BRD1011" s="181"/>
      <c r="BRE1011" s="181"/>
      <c r="BRF1011" s="181"/>
      <c r="BRG1011" s="181"/>
      <c r="BRH1011" s="181"/>
      <c r="BRI1011" s="181"/>
      <c r="BRJ1011" s="181"/>
      <c r="BRK1011" s="181"/>
      <c r="BRL1011" s="181"/>
      <c r="BRM1011" s="181"/>
      <c r="BRN1011" s="181"/>
      <c r="BRO1011" s="181"/>
      <c r="BRP1011" s="181"/>
      <c r="BRQ1011" s="181"/>
      <c r="BRR1011" s="181"/>
      <c r="BRS1011" s="181"/>
      <c r="BRT1011" s="181"/>
      <c r="BRU1011" s="181"/>
      <c r="BRV1011" s="181"/>
      <c r="BRW1011" s="181"/>
      <c r="BRX1011" s="181"/>
      <c r="BRY1011" s="181"/>
      <c r="BRZ1011" s="181"/>
      <c r="BSA1011" s="181"/>
      <c r="BSB1011" s="181"/>
      <c r="BSC1011" s="181"/>
      <c r="BSD1011" s="181"/>
      <c r="BSE1011" s="181"/>
      <c r="BSF1011" s="181"/>
      <c r="BSG1011" s="181"/>
      <c r="BSH1011" s="181"/>
      <c r="BSI1011" s="181"/>
      <c r="BSJ1011" s="181"/>
      <c r="BSK1011" s="181"/>
      <c r="BSL1011" s="181"/>
      <c r="BSM1011" s="181"/>
      <c r="BSN1011" s="181"/>
      <c r="BSO1011" s="181"/>
      <c r="BSP1011" s="181"/>
      <c r="BSQ1011" s="181"/>
      <c r="BSR1011" s="181"/>
      <c r="BSS1011" s="181"/>
      <c r="BST1011" s="181"/>
      <c r="BSU1011" s="181"/>
      <c r="BSV1011" s="181"/>
      <c r="BSW1011" s="181"/>
      <c r="BSX1011" s="181"/>
      <c r="BSY1011" s="181"/>
      <c r="BSZ1011" s="181"/>
      <c r="BTA1011" s="181"/>
      <c r="BTB1011" s="181"/>
      <c r="BTC1011" s="181"/>
      <c r="BTD1011" s="181"/>
      <c r="BTE1011" s="181"/>
      <c r="BTF1011" s="181"/>
      <c r="BTG1011" s="181"/>
      <c r="BTH1011" s="181"/>
      <c r="BTI1011" s="181"/>
      <c r="BTJ1011" s="181"/>
      <c r="BTK1011" s="181"/>
      <c r="BTL1011" s="181"/>
      <c r="BTM1011" s="181"/>
      <c r="BTN1011" s="181"/>
      <c r="BTO1011" s="181"/>
      <c r="BTP1011" s="181"/>
      <c r="BTQ1011" s="181"/>
      <c r="BTR1011" s="181"/>
      <c r="BTS1011" s="181"/>
      <c r="BTT1011" s="181"/>
      <c r="BTU1011" s="181"/>
      <c r="BTV1011" s="181"/>
      <c r="BTW1011" s="181"/>
      <c r="BTX1011" s="181"/>
      <c r="BTY1011" s="181"/>
      <c r="BTZ1011" s="181"/>
      <c r="BUA1011" s="181"/>
      <c r="BUB1011" s="181"/>
      <c r="BUC1011" s="181"/>
      <c r="BUD1011" s="181"/>
      <c r="BUE1011" s="181"/>
      <c r="BUF1011" s="181"/>
      <c r="BUG1011" s="181"/>
      <c r="BUH1011" s="181"/>
      <c r="BUI1011" s="181"/>
      <c r="BUJ1011" s="181"/>
      <c r="BUK1011" s="181"/>
      <c r="BUL1011" s="181"/>
      <c r="BUM1011" s="181"/>
      <c r="BUN1011" s="181"/>
      <c r="BUO1011" s="181"/>
      <c r="BUP1011" s="181"/>
      <c r="BUQ1011" s="181"/>
      <c r="BUR1011" s="181"/>
      <c r="BUS1011" s="181"/>
      <c r="BUT1011" s="181"/>
      <c r="BUU1011" s="181"/>
      <c r="BUV1011" s="181"/>
      <c r="BUW1011" s="181"/>
      <c r="BUX1011" s="181"/>
      <c r="BUY1011" s="181"/>
      <c r="BUZ1011" s="181"/>
      <c r="BVA1011" s="181"/>
      <c r="BVB1011" s="181"/>
      <c r="BVC1011" s="181"/>
      <c r="BVD1011" s="181"/>
      <c r="BVE1011" s="181"/>
      <c r="BVF1011" s="181"/>
      <c r="BVG1011" s="181"/>
      <c r="BVH1011" s="181"/>
      <c r="BVI1011" s="181"/>
      <c r="BVJ1011" s="181"/>
      <c r="BVK1011" s="181"/>
      <c r="BVL1011" s="181"/>
      <c r="BVM1011" s="181"/>
      <c r="BVN1011" s="181"/>
      <c r="BVO1011" s="181"/>
      <c r="BVP1011" s="181"/>
      <c r="BVQ1011" s="181"/>
      <c r="BVR1011" s="181"/>
      <c r="BVS1011" s="181"/>
      <c r="BVT1011" s="181"/>
      <c r="BVU1011" s="181"/>
      <c r="BVV1011" s="181"/>
      <c r="BVW1011" s="181"/>
      <c r="BVX1011" s="181"/>
      <c r="BVY1011" s="181"/>
      <c r="BVZ1011" s="181"/>
      <c r="BWA1011" s="181"/>
      <c r="BWB1011" s="181"/>
      <c r="BWC1011" s="181"/>
      <c r="BWD1011" s="181"/>
      <c r="BWE1011" s="181"/>
      <c r="BWF1011" s="181"/>
      <c r="BWG1011" s="181"/>
      <c r="BWH1011" s="181"/>
      <c r="BWI1011" s="181"/>
      <c r="BWJ1011" s="181"/>
      <c r="BWK1011" s="181"/>
      <c r="BWL1011" s="181"/>
      <c r="BWM1011" s="181"/>
      <c r="BWN1011" s="181"/>
      <c r="BWO1011" s="181"/>
      <c r="BWP1011" s="181"/>
      <c r="BWQ1011" s="181"/>
      <c r="BWR1011" s="181"/>
      <c r="BWS1011" s="181"/>
      <c r="BWT1011" s="181"/>
      <c r="BWU1011" s="181"/>
      <c r="BWV1011" s="181"/>
      <c r="BWW1011" s="181"/>
      <c r="BWX1011" s="181"/>
      <c r="BWY1011" s="181"/>
      <c r="BWZ1011" s="181"/>
      <c r="BXA1011" s="181"/>
      <c r="BXB1011" s="181"/>
      <c r="BXC1011" s="181"/>
      <c r="BXD1011" s="181"/>
      <c r="BXE1011" s="181"/>
      <c r="BXF1011" s="181"/>
      <c r="BXG1011" s="181"/>
      <c r="BXH1011" s="181"/>
      <c r="BXI1011" s="181"/>
      <c r="BXJ1011" s="181"/>
      <c r="BXK1011" s="181"/>
      <c r="BXL1011" s="181"/>
      <c r="BXM1011" s="181"/>
      <c r="BXN1011" s="181"/>
      <c r="BXO1011" s="181"/>
      <c r="BXP1011" s="181"/>
      <c r="BXQ1011" s="181"/>
      <c r="BXR1011" s="181"/>
      <c r="BXS1011" s="181"/>
      <c r="BXT1011" s="181"/>
      <c r="BXU1011" s="181"/>
      <c r="BXV1011" s="181"/>
      <c r="BXW1011" s="181"/>
      <c r="BXX1011" s="181"/>
      <c r="BXY1011" s="181"/>
      <c r="BXZ1011" s="181"/>
      <c r="BYA1011" s="181"/>
      <c r="BYB1011" s="181"/>
      <c r="BYC1011" s="181"/>
      <c r="BYD1011" s="181"/>
      <c r="BYE1011" s="181"/>
      <c r="BYF1011" s="181"/>
      <c r="BYG1011" s="181"/>
      <c r="BYH1011" s="181"/>
      <c r="BYI1011" s="181"/>
      <c r="BYJ1011" s="181"/>
      <c r="BYK1011" s="181"/>
      <c r="BYL1011" s="181"/>
      <c r="BYM1011" s="181"/>
      <c r="BYN1011" s="181"/>
      <c r="BYO1011" s="181"/>
      <c r="BYP1011" s="181"/>
      <c r="BYQ1011" s="181"/>
      <c r="BYR1011" s="181"/>
      <c r="BYS1011" s="181"/>
      <c r="BYT1011" s="181"/>
      <c r="BYU1011" s="181"/>
      <c r="BYV1011" s="181"/>
      <c r="BYW1011" s="181"/>
      <c r="BYX1011" s="181"/>
      <c r="BYY1011" s="181"/>
      <c r="BYZ1011" s="181"/>
      <c r="BZA1011" s="181"/>
      <c r="BZB1011" s="181"/>
      <c r="BZC1011" s="181"/>
      <c r="BZD1011" s="181"/>
      <c r="BZE1011" s="181"/>
      <c r="BZF1011" s="181"/>
      <c r="BZG1011" s="181"/>
      <c r="BZH1011" s="181"/>
      <c r="BZI1011" s="181"/>
      <c r="BZJ1011" s="181"/>
      <c r="BZK1011" s="181"/>
      <c r="BZL1011" s="181"/>
      <c r="BZM1011" s="181"/>
      <c r="BZN1011" s="181"/>
      <c r="BZO1011" s="181"/>
      <c r="BZP1011" s="181"/>
      <c r="BZQ1011" s="181"/>
      <c r="BZR1011" s="181"/>
      <c r="BZS1011" s="181"/>
      <c r="BZT1011" s="181"/>
      <c r="BZU1011" s="181"/>
      <c r="BZV1011" s="181"/>
      <c r="BZW1011" s="181"/>
      <c r="BZX1011" s="181"/>
      <c r="BZY1011" s="181"/>
      <c r="BZZ1011" s="181"/>
      <c r="CAA1011" s="181"/>
      <c r="CAB1011" s="181"/>
      <c r="CAC1011" s="181"/>
      <c r="CAD1011" s="181"/>
      <c r="CAE1011" s="181"/>
      <c r="CAF1011" s="181"/>
      <c r="CAG1011" s="181"/>
      <c r="CAH1011" s="181"/>
      <c r="CAI1011" s="181"/>
      <c r="CAJ1011" s="181"/>
      <c r="CAK1011" s="181"/>
      <c r="CAL1011" s="181"/>
      <c r="CAM1011" s="181"/>
      <c r="CAN1011" s="181"/>
      <c r="CAO1011" s="181"/>
      <c r="CAP1011" s="181"/>
      <c r="CAQ1011" s="181"/>
      <c r="CAR1011" s="181"/>
      <c r="CAS1011" s="181"/>
      <c r="CAT1011" s="181"/>
      <c r="CAU1011" s="181"/>
      <c r="CAV1011" s="181"/>
      <c r="CAW1011" s="181"/>
      <c r="CAX1011" s="181"/>
      <c r="CAY1011" s="181"/>
      <c r="CAZ1011" s="181"/>
      <c r="CBA1011" s="181"/>
      <c r="CBB1011" s="181"/>
      <c r="CBC1011" s="181"/>
      <c r="CBD1011" s="181"/>
      <c r="CBE1011" s="181"/>
      <c r="CBF1011" s="181"/>
      <c r="CBG1011" s="181"/>
      <c r="CBH1011" s="181"/>
      <c r="CBI1011" s="181"/>
      <c r="CBJ1011" s="181"/>
      <c r="CBK1011" s="181"/>
      <c r="CBL1011" s="181"/>
      <c r="CBM1011" s="181"/>
      <c r="CBN1011" s="181"/>
      <c r="CBO1011" s="181"/>
      <c r="CBP1011" s="181"/>
      <c r="CBQ1011" s="181"/>
      <c r="CBR1011" s="181"/>
      <c r="CBS1011" s="181"/>
      <c r="CBT1011" s="181"/>
      <c r="CBU1011" s="181"/>
      <c r="CBV1011" s="181"/>
      <c r="CBW1011" s="181"/>
      <c r="CBX1011" s="181"/>
      <c r="CBY1011" s="181"/>
      <c r="CBZ1011" s="181"/>
      <c r="CCA1011" s="181"/>
      <c r="CCB1011" s="181"/>
      <c r="CCC1011" s="181"/>
      <c r="CCD1011" s="181"/>
      <c r="CCE1011" s="181"/>
      <c r="CCF1011" s="181"/>
      <c r="CCG1011" s="181"/>
      <c r="CCH1011" s="181"/>
      <c r="CCI1011" s="181"/>
      <c r="CCJ1011" s="181"/>
      <c r="CCK1011" s="181"/>
      <c r="CCL1011" s="181"/>
      <c r="CCM1011" s="181"/>
      <c r="CCN1011" s="181"/>
      <c r="CCO1011" s="181"/>
      <c r="CCP1011" s="181"/>
      <c r="CCQ1011" s="181"/>
      <c r="CCR1011" s="181"/>
      <c r="CCS1011" s="181"/>
      <c r="CCT1011" s="181"/>
      <c r="CCU1011" s="181"/>
      <c r="CCV1011" s="181"/>
      <c r="CCW1011" s="181"/>
      <c r="CCX1011" s="181"/>
      <c r="CCY1011" s="181"/>
      <c r="CCZ1011" s="181"/>
      <c r="CDA1011" s="181"/>
      <c r="CDB1011" s="181"/>
      <c r="CDC1011" s="181"/>
      <c r="CDD1011" s="181"/>
      <c r="CDE1011" s="181"/>
      <c r="CDF1011" s="181"/>
      <c r="CDG1011" s="181"/>
      <c r="CDH1011" s="181"/>
      <c r="CDI1011" s="181"/>
      <c r="CDJ1011" s="181"/>
      <c r="CDK1011" s="181"/>
      <c r="CDL1011" s="181"/>
      <c r="CDM1011" s="181"/>
      <c r="CDN1011" s="181"/>
      <c r="CDO1011" s="181"/>
      <c r="CDP1011" s="181"/>
      <c r="CDQ1011" s="181"/>
      <c r="CDR1011" s="181"/>
      <c r="CDS1011" s="181"/>
      <c r="CDT1011" s="181"/>
      <c r="CDU1011" s="181"/>
      <c r="CDV1011" s="181"/>
      <c r="CDW1011" s="181"/>
      <c r="CDX1011" s="181"/>
      <c r="CDY1011" s="181"/>
      <c r="CDZ1011" s="181"/>
      <c r="CEA1011" s="181"/>
      <c r="CEB1011" s="181"/>
      <c r="CEC1011" s="181"/>
      <c r="CED1011" s="181"/>
      <c r="CEE1011" s="181"/>
      <c r="CEF1011" s="181"/>
      <c r="CEG1011" s="181"/>
      <c r="CEH1011" s="181"/>
      <c r="CEI1011" s="181"/>
      <c r="CEJ1011" s="181"/>
      <c r="CEK1011" s="181"/>
      <c r="CEL1011" s="181"/>
      <c r="CEM1011" s="181"/>
      <c r="CEN1011" s="181"/>
      <c r="CEO1011" s="181"/>
      <c r="CEP1011" s="181"/>
      <c r="CEQ1011" s="181"/>
      <c r="CER1011" s="181"/>
      <c r="CES1011" s="181"/>
      <c r="CET1011" s="181"/>
      <c r="CEU1011" s="181"/>
      <c r="CEV1011" s="181"/>
      <c r="CEW1011" s="181"/>
      <c r="CEX1011" s="181"/>
      <c r="CEY1011" s="181"/>
      <c r="CEZ1011" s="181"/>
      <c r="CFA1011" s="181"/>
      <c r="CFB1011" s="181"/>
      <c r="CFC1011" s="181"/>
      <c r="CFD1011" s="181"/>
      <c r="CFE1011" s="181"/>
      <c r="CFF1011" s="181"/>
      <c r="CFG1011" s="181"/>
      <c r="CFH1011" s="181"/>
      <c r="CFI1011" s="181"/>
      <c r="CFJ1011" s="181"/>
      <c r="CFK1011" s="181"/>
      <c r="CFL1011" s="181"/>
      <c r="CFM1011" s="181"/>
      <c r="CFN1011" s="181"/>
      <c r="CFO1011" s="181"/>
      <c r="CFP1011" s="181"/>
      <c r="CFQ1011" s="181"/>
      <c r="CFR1011" s="181"/>
      <c r="CFS1011" s="181"/>
      <c r="CFT1011" s="181"/>
      <c r="CFU1011" s="181"/>
      <c r="CFV1011" s="181"/>
      <c r="CFW1011" s="181"/>
      <c r="CFX1011" s="181"/>
      <c r="CFY1011" s="181"/>
      <c r="CFZ1011" s="181"/>
      <c r="CGA1011" s="181"/>
      <c r="CGB1011" s="181"/>
      <c r="CGC1011" s="181"/>
      <c r="CGD1011" s="181"/>
      <c r="CGE1011" s="181"/>
      <c r="CGF1011" s="181"/>
      <c r="CGG1011" s="181"/>
      <c r="CGH1011" s="181"/>
      <c r="CGI1011" s="181"/>
      <c r="CGJ1011" s="181"/>
      <c r="CGK1011" s="181"/>
      <c r="CGL1011" s="181"/>
      <c r="CGM1011" s="181"/>
      <c r="CGN1011" s="181"/>
      <c r="CGO1011" s="181"/>
      <c r="CGP1011" s="181"/>
      <c r="CGQ1011" s="181"/>
      <c r="CGR1011" s="181"/>
      <c r="CGS1011" s="181"/>
      <c r="CGT1011" s="181"/>
      <c r="CGU1011" s="181"/>
      <c r="CGV1011" s="181"/>
      <c r="CGW1011" s="181"/>
      <c r="CGX1011" s="181"/>
      <c r="CGY1011" s="181"/>
      <c r="CGZ1011" s="181"/>
      <c r="CHA1011" s="181"/>
      <c r="CHB1011" s="181"/>
      <c r="CHC1011" s="181"/>
      <c r="CHD1011" s="181"/>
      <c r="CHE1011" s="181"/>
      <c r="CHF1011" s="181"/>
      <c r="CHG1011" s="181"/>
      <c r="CHH1011" s="181"/>
      <c r="CHI1011" s="181"/>
      <c r="CHJ1011" s="181"/>
      <c r="CHK1011" s="181"/>
      <c r="CHL1011" s="181"/>
      <c r="CHM1011" s="181"/>
      <c r="CHN1011" s="181"/>
      <c r="CHO1011" s="181"/>
      <c r="CHP1011" s="181"/>
      <c r="CHQ1011" s="181"/>
      <c r="CHR1011" s="181"/>
      <c r="CHS1011" s="181"/>
      <c r="CHT1011" s="181"/>
      <c r="CHU1011" s="181"/>
      <c r="CHV1011" s="181"/>
      <c r="CHW1011" s="181"/>
      <c r="CHX1011" s="181"/>
      <c r="CHY1011" s="181"/>
      <c r="CHZ1011" s="181"/>
      <c r="CIA1011" s="181"/>
      <c r="CIB1011" s="181"/>
      <c r="CIC1011" s="181"/>
      <c r="CID1011" s="181"/>
      <c r="CIE1011" s="181"/>
      <c r="CIF1011" s="181"/>
      <c r="CIG1011" s="181"/>
      <c r="CIH1011" s="181"/>
      <c r="CII1011" s="181"/>
      <c r="CIJ1011" s="181"/>
      <c r="CIK1011" s="181"/>
      <c r="CIL1011" s="181"/>
      <c r="CIM1011" s="181"/>
      <c r="CIN1011" s="181"/>
      <c r="CIO1011" s="181"/>
      <c r="CIP1011" s="181"/>
      <c r="CIQ1011" s="181"/>
      <c r="CIR1011" s="181"/>
      <c r="CIS1011" s="181"/>
      <c r="CIT1011" s="181"/>
      <c r="CIU1011" s="181"/>
      <c r="CIV1011" s="181"/>
      <c r="CIW1011" s="181"/>
      <c r="CIX1011" s="181"/>
      <c r="CIY1011" s="181"/>
      <c r="CIZ1011" s="181"/>
      <c r="CJA1011" s="181"/>
      <c r="CJB1011" s="181"/>
      <c r="CJC1011" s="181"/>
      <c r="CJD1011" s="181"/>
      <c r="CJE1011" s="181"/>
      <c r="CJF1011" s="181"/>
      <c r="CJG1011" s="181"/>
      <c r="CJH1011" s="181"/>
      <c r="CJI1011" s="181"/>
      <c r="CJJ1011" s="181"/>
      <c r="CJK1011" s="181"/>
      <c r="CJL1011" s="181"/>
      <c r="CJM1011" s="181"/>
      <c r="CJN1011" s="181"/>
      <c r="CJO1011" s="181"/>
      <c r="CJP1011" s="181"/>
      <c r="CJQ1011" s="181"/>
      <c r="CJR1011" s="181"/>
      <c r="CJS1011" s="181"/>
      <c r="CJT1011" s="181"/>
      <c r="CJU1011" s="181"/>
      <c r="CJV1011" s="181"/>
      <c r="CJW1011" s="181"/>
      <c r="CJX1011" s="181"/>
      <c r="CJY1011" s="181"/>
      <c r="CJZ1011" s="181"/>
      <c r="CKA1011" s="181"/>
      <c r="CKB1011" s="181"/>
      <c r="CKC1011" s="181"/>
      <c r="CKD1011" s="181"/>
      <c r="CKE1011" s="181"/>
      <c r="CKF1011" s="181"/>
      <c r="CKG1011" s="181"/>
      <c r="CKH1011" s="181"/>
      <c r="CKI1011" s="181"/>
      <c r="CKJ1011" s="181"/>
      <c r="CKK1011" s="181"/>
      <c r="CKL1011" s="181"/>
      <c r="CKM1011" s="181"/>
      <c r="CKN1011" s="181"/>
      <c r="CKO1011" s="181"/>
      <c r="CKP1011" s="181"/>
      <c r="CKQ1011" s="181"/>
      <c r="CKR1011" s="181"/>
      <c r="CKS1011" s="181"/>
      <c r="CKT1011" s="181"/>
      <c r="CKU1011" s="181"/>
      <c r="CKV1011" s="181"/>
      <c r="CKW1011" s="181"/>
      <c r="CKX1011" s="181"/>
      <c r="CKY1011" s="181"/>
      <c r="CKZ1011" s="181"/>
      <c r="CLA1011" s="181"/>
      <c r="CLB1011" s="181"/>
      <c r="CLC1011" s="181"/>
      <c r="CLD1011" s="181"/>
      <c r="CLE1011" s="181"/>
      <c r="CLF1011" s="181"/>
      <c r="CLG1011" s="181"/>
      <c r="CLH1011" s="181"/>
      <c r="CLI1011" s="181"/>
      <c r="CLJ1011" s="181"/>
      <c r="CLK1011" s="181"/>
      <c r="CLL1011" s="181"/>
      <c r="CLM1011" s="181"/>
      <c r="CLN1011" s="181"/>
      <c r="CLO1011" s="181"/>
      <c r="CLP1011" s="181"/>
      <c r="CLQ1011" s="181"/>
      <c r="CLR1011" s="181"/>
      <c r="CLS1011" s="181"/>
      <c r="CLT1011" s="181"/>
      <c r="CLU1011" s="181"/>
      <c r="CLV1011" s="181"/>
      <c r="CLW1011" s="181"/>
      <c r="CLX1011" s="181"/>
      <c r="CLY1011" s="181"/>
      <c r="CLZ1011" s="181"/>
      <c r="CMA1011" s="181"/>
      <c r="CMB1011" s="181"/>
      <c r="CMC1011" s="181"/>
      <c r="CMD1011" s="181"/>
      <c r="CME1011" s="181"/>
      <c r="CMF1011" s="181"/>
      <c r="CMG1011" s="181"/>
      <c r="CMH1011" s="181"/>
      <c r="CMI1011" s="181"/>
      <c r="CMJ1011" s="181"/>
      <c r="CMK1011" s="181"/>
      <c r="CML1011" s="181"/>
      <c r="CMM1011" s="181"/>
      <c r="CMN1011" s="181"/>
      <c r="CMO1011" s="181"/>
      <c r="CMP1011" s="181"/>
      <c r="CMQ1011" s="181"/>
      <c r="CMR1011" s="181"/>
      <c r="CMS1011" s="181"/>
      <c r="CMT1011" s="181"/>
      <c r="CMU1011" s="181"/>
      <c r="CMV1011" s="181"/>
      <c r="CMW1011" s="181"/>
      <c r="CMX1011" s="181"/>
      <c r="CMY1011" s="181"/>
      <c r="CMZ1011" s="181"/>
      <c r="CNA1011" s="181"/>
      <c r="CNB1011" s="181"/>
      <c r="CNC1011" s="181"/>
      <c r="CND1011" s="181"/>
      <c r="CNE1011" s="181"/>
      <c r="CNF1011" s="181"/>
      <c r="CNG1011" s="181"/>
      <c r="CNH1011" s="181"/>
      <c r="CNI1011" s="181"/>
      <c r="CNJ1011" s="181"/>
      <c r="CNK1011" s="181"/>
      <c r="CNL1011" s="181"/>
      <c r="CNM1011" s="181"/>
      <c r="CNN1011" s="181"/>
      <c r="CNO1011" s="181"/>
      <c r="CNP1011" s="181"/>
      <c r="CNQ1011" s="181"/>
      <c r="CNR1011" s="181"/>
      <c r="CNS1011" s="181"/>
      <c r="CNT1011" s="181"/>
      <c r="CNU1011" s="181"/>
      <c r="CNV1011" s="181"/>
      <c r="CNW1011" s="181"/>
      <c r="CNX1011" s="181"/>
      <c r="CNY1011" s="181"/>
      <c r="CNZ1011" s="181"/>
      <c r="COA1011" s="181"/>
      <c r="COB1011" s="181"/>
      <c r="COC1011" s="181"/>
      <c r="COD1011" s="181"/>
      <c r="COE1011" s="181"/>
      <c r="COF1011" s="181"/>
      <c r="COG1011" s="181"/>
      <c r="COH1011" s="181"/>
      <c r="COI1011" s="181"/>
      <c r="COJ1011" s="181"/>
      <c r="COK1011" s="181"/>
      <c r="COL1011" s="181"/>
      <c r="COM1011" s="181"/>
      <c r="CON1011" s="181"/>
      <c r="COO1011" s="181"/>
      <c r="COP1011" s="181"/>
      <c r="COQ1011" s="181"/>
      <c r="COR1011" s="181"/>
      <c r="COS1011" s="181"/>
      <c r="COT1011" s="181"/>
      <c r="COU1011" s="181"/>
      <c r="COV1011" s="181"/>
      <c r="COW1011" s="181"/>
      <c r="COX1011" s="181"/>
      <c r="COY1011" s="181"/>
      <c r="COZ1011" s="181"/>
      <c r="CPA1011" s="181"/>
      <c r="CPB1011" s="181"/>
      <c r="CPC1011" s="181"/>
      <c r="CPD1011" s="181"/>
      <c r="CPE1011" s="181"/>
      <c r="CPF1011" s="181"/>
      <c r="CPG1011" s="181"/>
      <c r="CPH1011" s="181"/>
      <c r="CPI1011" s="181"/>
      <c r="CPJ1011" s="181"/>
      <c r="CPK1011" s="181"/>
      <c r="CPL1011" s="181"/>
      <c r="CPM1011" s="181"/>
      <c r="CPN1011" s="181"/>
      <c r="CPO1011" s="181"/>
      <c r="CPP1011" s="181"/>
      <c r="CPQ1011" s="181"/>
      <c r="CPR1011" s="181"/>
      <c r="CPS1011" s="181"/>
      <c r="CPT1011" s="181"/>
      <c r="CPU1011" s="181"/>
      <c r="CPV1011" s="181"/>
      <c r="CPW1011" s="181"/>
      <c r="CPX1011" s="181"/>
      <c r="CPY1011" s="181"/>
      <c r="CPZ1011" s="181"/>
      <c r="CQA1011" s="181"/>
      <c r="CQB1011" s="181"/>
      <c r="CQC1011" s="181"/>
      <c r="CQD1011" s="181"/>
      <c r="CQE1011" s="181"/>
      <c r="CQF1011" s="181"/>
      <c r="CQG1011" s="181"/>
      <c r="CQH1011" s="181"/>
      <c r="CQI1011" s="181"/>
      <c r="CQJ1011" s="181"/>
      <c r="CQK1011" s="181"/>
      <c r="CQL1011" s="181"/>
      <c r="CQM1011" s="181"/>
      <c r="CQN1011" s="181"/>
      <c r="CQO1011" s="181"/>
      <c r="CQP1011" s="181"/>
      <c r="CQQ1011" s="181"/>
      <c r="CQR1011" s="181"/>
      <c r="CQS1011" s="181"/>
      <c r="CQT1011" s="181"/>
      <c r="CQU1011" s="181"/>
      <c r="CQV1011" s="181"/>
      <c r="CQW1011" s="181"/>
      <c r="CQX1011" s="181"/>
      <c r="CQY1011" s="181"/>
      <c r="CQZ1011" s="181"/>
      <c r="CRA1011" s="181"/>
      <c r="CRB1011" s="181"/>
      <c r="CRC1011" s="181"/>
      <c r="CRD1011" s="181"/>
      <c r="CRE1011" s="181"/>
      <c r="CRF1011" s="181"/>
      <c r="CRG1011" s="181"/>
      <c r="CRH1011" s="181"/>
      <c r="CRI1011" s="181"/>
      <c r="CRJ1011" s="181"/>
      <c r="CRK1011" s="181"/>
      <c r="CRL1011" s="181"/>
      <c r="CRM1011" s="181"/>
      <c r="CRN1011" s="181"/>
      <c r="CRO1011" s="181"/>
      <c r="CRP1011" s="181"/>
      <c r="CRQ1011" s="181"/>
      <c r="CRR1011" s="181"/>
      <c r="CRS1011" s="181"/>
      <c r="CRT1011" s="181"/>
      <c r="CRU1011" s="181"/>
      <c r="CRV1011" s="181"/>
      <c r="CRW1011" s="181"/>
      <c r="CRX1011" s="181"/>
      <c r="CRY1011" s="181"/>
      <c r="CRZ1011" s="181"/>
      <c r="CSA1011" s="181"/>
      <c r="CSB1011" s="181"/>
      <c r="CSC1011" s="181"/>
      <c r="CSD1011" s="181"/>
      <c r="CSE1011" s="181"/>
      <c r="CSF1011" s="181"/>
      <c r="CSG1011" s="181"/>
      <c r="CSH1011" s="181"/>
      <c r="CSI1011" s="181"/>
      <c r="CSJ1011" s="181"/>
      <c r="CSK1011" s="181"/>
      <c r="CSL1011" s="181"/>
      <c r="CSM1011" s="181"/>
      <c r="CSN1011" s="181"/>
      <c r="CSO1011" s="181"/>
      <c r="CSP1011" s="181"/>
      <c r="CSQ1011" s="181"/>
      <c r="CSR1011" s="181"/>
      <c r="CSS1011" s="181"/>
      <c r="CST1011" s="181"/>
      <c r="CSU1011" s="181"/>
      <c r="CSV1011" s="181"/>
      <c r="CSW1011" s="181"/>
      <c r="CSX1011" s="181"/>
      <c r="CSY1011" s="181"/>
      <c r="CSZ1011" s="181"/>
      <c r="CTA1011" s="181"/>
      <c r="CTB1011" s="181"/>
      <c r="CTC1011" s="181"/>
      <c r="CTD1011" s="181"/>
      <c r="CTE1011" s="181"/>
      <c r="CTF1011" s="181"/>
      <c r="CTG1011" s="181"/>
      <c r="CTH1011" s="181"/>
      <c r="CTI1011" s="181"/>
      <c r="CTJ1011" s="181"/>
      <c r="CTK1011" s="181"/>
      <c r="CTL1011" s="181"/>
      <c r="CTM1011" s="181"/>
      <c r="CTN1011" s="181"/>
      <c r="CTO1011" s="181"/>
      <c r="CTP1011" s="181"/>
      <c r="CTQ1011" s="181"/>
      <c r="CTR1011" s="181"/>
      <c r="CTS1011" s="181"/>
      <c r="CTT1011" s="181"/>
      <c r="CTU1011" s="181"/>
      <c r="CTV1011" s="181"/>
      <c r="CTW1011" s="181"/>
      <c r="CTX1011" s="181"/>
      <c r="CTY1011" s="181"/>
      <c r="CTZ1011" s="181"/>
      <c r="CUA1011" s="181"/>
      <c r="CUB1011" s="181"/>
      <c r="CUC1011" s="181"/>
      <c r="CUD1011" s="181"/>
      <c r="CUE1011" s="181"/>
      <c r="CUF1011" s="181"/>
      <c r="CUG1011" s="181"/>
      <c r="CUH1011" s="181"/>
      <c r="CUI1011" s="181"/>
      <c r="CUJ1011" s="181"/>
      <c r="CUK1011" s="181"/>
      <c r="CUL1011" s="181"/>
      <c r="CUM1011" s="181"/>
      <c r="CUN1011" s="181"/>
      <c r="CUO1011" s="181"/>
      <c r="CUP1011" s="181"/>
      <c r="CUQ1011" s="181"/>
      <c r="CUR1011" s="181"/>
      <c r="CUS1011" s="181"/>
      <c r="CUT1011" s="181"/>
      <c r="CUU1011" s="181"/>
      <c r="CUV1011" s="181"/>
      <c r="CUW1011" s="181"/>
      <c r="CUX1011" s="181"/>
      <c r="CUY1011" s="181"/>
      <c r="CUZ1011" s="181"/>
      <c r="CVA1011" s="181"/>
      <c r="CVB1011" s="181"/>
      <c r="CVC1011" s="181"/>
      <c r="CVD1011" s="181"/>
      <c r="CVE1011" s="181"/>
      <c r="CVF1011" s="181"/>
      <c r="CVG1011" s="181"/>
      <c r="CVH1011" s="181"/>
      <c r="CVI1011" s="181"/>
      <c r="CVJ1011" s="181"/>
      <c r="CVK1011" s="181"/>
      <c r="CVL1011" s="181"/>
      <c r="CVM1011" s="181"/>
      <c r="CVN1011" s="181"/>
      <c r="CVO1011" s="181"/>
      <c r="CVP1011" s="181"/>
      <c r="CVQ1011" s="181"/>
      <c r="CVR1011" s="181"/>
      <c r="CVS1011" s="181"/>
      <c r="CVT1011" s="181"/>
      <c r="CVU1011" s="181"/>
      <c r="CVV1011" s="181"/>
      <c r="CVW1011" s="181"/>
      <c r="CVX1011" s="181"/>
      <c r="CVY1011" s="181"/>
      <c r="CVZ1011" s="181"/>
      <c r="CWA1011" s="181"/>
      <c r="CWB1011" s="181"/>
      <c r="CWC1011" s="181"/>
      <c r="CWD1011" s="181"/>
      <c r="CWE1011" s="181"/>
      <c r="CWF1011" s="181"/>
      <c r="CWG1011" s="181"/>
      <c r="CWH1011" s="181"/>
      <c r="CWI1011" s="181"/>
      <c r="CWJ1011" s="181"/>
      <c r="CWK1011" s="181"/>
      <c r="CWL1011" s="181"/>
      <c r="CWM1011" s="181"/>
      <c r="CWN1011" s="181"/>
      <c r="CWO1011" s="181"/>
      <c r="CWP1011" s="181"/>
      <c r="CWQ1011" s="181"/>
      <c r="CWR1011" s="181"/>
      <c r="CWS1011" s="181"/>
      <c r="CWT1011" s="181"/>
      <c r="CWU1011" s="181"/>
      <c r="CWV1011" s="181"/>
      <c r="CWW1011" s="181"/>
      <c r="CWX1011" s="181"/>
      <c r="CWY1011" s="181"/>
      <c r="CWZ1011" s="181"/>
      <c r="CXA1011" s="181"/>
      <c r="CXB1011" s="181"/>
      <c r="CXC1011" s="181"/>
      <c r="CXD1011" s="181"/>
      <c r="CXE1011" s="181"/>
      <c r="CXF1011" s="181"/>
      <c r="CXG1011" s="181"/>
      <c r="CXH1011" s="181"/>
      <c r="CXI1011" s="181"/>
      <c r="CXJ1011" s="181"/>
      <c r="CXK1011" s="181"/>
      <c r="CXL1011" s="181"/>
      <c r="CXM1011" s="181"/>
      <c r="CXN1011" s="181"/>
      <c r="CXO1011" s="181"/>
      <c r="CXP1011" s="181"/>
      <c r="CXQ1011" s="181"/>
      <c r="CXR1011" s="181"/>
      <c r="CXS1011" s="181"/>
      <c r="CXT1011" s="181"/>
      <c r="CXU1011" s="181"/>
      <c r="CXV1011" s="181"/>
      <c r="CXW1011" s="181"/>
      <c r="CXX1011" s="181"/>
      <c r="CXY1011" s="181"/>
      <c r="CXZ1011" s="181"/>
      <c r="CYA1011" s="181"/>
      <c r="CYB1011" s="181"/>
      <c r="CYC1011" s="181"/>
      <c r="CYD1011" s="181"/>
      <c r="CYE1011" s="181"/>
      <c r="CYF1011" s="181"/>
      <c r="CYG1011" s="181"/>
      <c r="CYH1011" s="181"/>
      <c r="CYI1011" s="181"/>
      <c r="CYJ1011" s="181"/>
      <c r="CYK1011" s="181"/>
      <c r="CYL1011" s="181"/>
      <c r="CYM1011" s="181"/>
      <c r="CYN1011" s="181"/>
      <c r="CYO1011" s="181"/>
      <c r="CYP1011" s="181"/>
      <c r="CYQ1011" s="181"/>
      <c r="CYR1011" s="181"/>
      <c r="CYS1011" s="181"/>
      <c r="CYT1011" s="181"/>
      <c r="CYU1011" s="181"/>
      <c r="CYV1011" s="181"/>
      <c r="CYW1011" s="181"/>
      <c r="CYX1011" s="181"/>
      <c r="CYY1011" s="181"/>
      <c r="CYZ1011" s="181"/>
      <c r="CZA1011" s="181"/>
      <c r="CZB1011" s="181"/>
      <c r="CZC1011" s="181"/>
      <c r="CZD1011" s="181"/>
      <c r="CZE1011" s="181"/>
      <c r="CZF1011" s="181"/>
      <c r="CZG1011" s="181"/>
      <c r="CZH1011" s="181"/>
      <c r="CZI1011" s="181"/>
      <c r="CZJ1011" s="181"/>
      <c r="CZK1011" s="181"/>
      <c r="CZL1011" s="181"/>
      <c r="CZM1011" s="181"/>
      <c r="CZN1011" s="181"/>
      <c r="CZO1011" s="181"/>
      <c r="CZP1011" s="181"/>
      <c r="CZQ1011" s="181"/>
      <c r="CZR1011" s="181"/>
      <c r="CZS1011" s="181"/>
      <c r="CZT1011" s="181"/>
      <c r="CZU1011" s="181"/>
      <c r="CZV1011" s="181"/>
      <c r="CZW1011" s="181"/>
      <c r="CZX1011" s="181"/>
      <c r="CZY1011" s="181"/>
      <c r="CZZ1011" s="181"/>
      <c r="DAA1011" s="181"/>
      <c r="DAB1011" s="181"/>
      <c r="DAC1011" s="181"/>
      <c r="DAD1011" s="181"/>
      <c r="DAE1011" s="181"/>
      <c r="DAF1011" s="181"/>
      <c r="DAG1011" s="181"/>
      <c r="DAH1011" s="181"/>
      <c r="DAI1011" s="181"/>
      <c r="DAJ1011" s="181"/>
      <c r="DAK1011" s="181"/>
      <c r="DAL1011" s="181"/>
      <c r="DAM1011" s="181"/>
      <c r="DAN1011" s="181"/>
      <c r="DAO1011" s="181"/>
      <c r="DAP1011" s="181"/>
      <c r="DAQ1011" s="181"/>
      <c r="DAR1011" s="181"/>
      <c r="DAS1011" s="181"/>
      <c r="DAT1011" s="181"/>
      <c r="DAU1011" s="181"/>
      <c r="DAV1011" s="181"/>
      <c r="DAW1011" s="181"/>
      <c r="DAX1011" s="181"/>
      <c r="DAY1011" s="181"/>
      <c r="DAZ1011" s="181"/>
      <c r="DBA1011" s="181"/>
      <c r="DBB1011" s="181"/>
      <c r="DBC1011" s="181"/>
      <c r="DBD1011" s="181"/>
      <c r="DBE1011" s="181"/>
      <c r="DBF1011" s="181"/>
      <c r="DBG1011" s="181"/>
      <c r="DBH1011" s="181"/>
      <c r="DBI1011" s="181"/>
      <c r="DBJ1011" s="181"/>
      <c r="DBK1011" s="181"/>
      <c r="DBL1011" s="181"/>
      <c r="DBM1011" s="181"/>
      <c r="DBN1011" s="181"/>
      <c r="DBO1011" s="181"/>
      <c r="DBP1011" s="181"/>
      <c r="DBQ1011" s="181"/>
      <c r="DBR1011" s="181"/>
      <c r="DBS1011" s="181"/>
      <c r="DBT1011" s="181"/>
      <c r="DBU1011" s="181"/>
      <c r="DBV1011" s="181"/>
      <c r="DBW1011" s="181"/>
      <c r="DBX1011" s="181"/>
      <c r="DBY1011" s="181"/>
      <c r="DBZ1011" s="181"/>
      <c r="DCA1011" s="181"/>
      <c r="DCB1011" s="181"/>
      <c r="DCC1011" s="181"/>
      <c r="DCD1011" s="181"/>
      <c r="DCE1011" s="181"/>
      <c r="DCF1011" s="181"/>
      <c r="DCG1011" s="181"/>
      <c r="DCH1011" s="181"/>
      <c r="DCI1011" s="181"/>
      <c r="DCJ1011" s="181"/>
      <c r="DCK1011" s="181"/>
      <c r="DCL1011" s="181"/>
      <c r="DCM1011" s="181"/>
      <c r="DCN1011" s="181"/>
      <c r="DCO1011" s="181"/>
      <c r="DCP1011" s="181"/>
      <c r="DCQ1011" s="181"/>
      <c r="DCR1011" s="181"/>
      <c r="DCS1011" s="181"/>
      <c r="DCT1011" s="181"/>
      <c r="DCU1011" s="181"/>
      <c r="DCV1011" s="181"/>
      <c r="DCW1011" s="181"/>
      <c r="DCX1011" s="181"/>
      <c r="DCY1011" s="181"/>
      <c r="DCZ1011" s="181"/>
      <c r="DDA1011" s="181"/>
      <c r="DDB1011" s="181"/>
      <c r="DDC1011" s="181"/>
      <c r="DDD1011" s="181"/>
      <c r="DDE1011" s="181"/>
      <c r="DDF1011" s="181"/>
      <c r="DDG1011" s="181"/>
      <c r="DDH1011" s="181"/>
      <c r="DDI1011" s="181"/>
      <c r="DDJ1011" s="181"/>
      <c r="DDK1011" s="181"/>
      <c r="DDL1011" s="181"/>
      <c r="DDM1011" s="181"/>
      <c r="DDN1011" s="181"/>
      <c r="DDO1011" s="181"/>
      <c r="DDP1011" s="181"/>
      <c r="DDQ1011" s="181"/>
      <c r="DDR1011" s="181"/>
      <c r="DDS1011" s="181"/>
      <c r="DDT1011" s="181"/>
      <c r="DDU1011" s="181"/>
      <c r="DDV1011" s="181"/>
      <c r="DDW1011" s="181"/>
      <c r="DDX1011" s="181"/>
      <c r="DDY1011" s="181"/>
      <c r="DDZ1011" s="181"/>
      <c r="DEA1011" s="181"/>
      <c r="DEB1011" s="181"/>
      <c r="DEC1011" s="181"/>
      <c r="DED1011" s="181"/>
      <c r="DEE1011" s="181"/>
      <c r="DEF1011" s="181"/>
      <c r="DEG1011" s="181"/>
      <c r="DEH1011" s="181"/>
      <c r="DEI1011" s="181"/>
      <c r="DEJ1011" s="181"/>
      <c r="DEK1011" s="181"/>
      <c r="DEL1011" s="181"/>
      <c r="DEM1011" s="181"/>
      <c r="DEN1011" s="181"/>
      <c r="DEO1011" s="181"/>
      <c r="DEP1011" s="181"/>
      <c r="DEQ1011" s="181"/>
      <c r="DER1011" s="181"/>
      <c r="DES1011" s="181"/>
      <c r="DET1011" s="181"/>
      <c r="DEU1011" s="181"/>
      <c r="DEV1011" s="181"/>
      <c r="DEW1011" s="181"/>
      <c r="DEX1011" s="181"/>
      <c r="DEY1011" s="181"/>
      <c r="DEZ1011" s="181"/>
      <c r="DFA1011" s="181"/>
      <c r="DFB1011" s="181"/>
      <c r="DFC1011" s="181"/>
      <c r="DFD1011" s="181"/>
      <c r="DFE1011" s="181"/>
      <c r="DFF1011" s="181"/>
      <c r="DFG1011" s="181"/>
      <c r="DFH1011" s="181"/>
      <c r="DFI1011" s="181"/>
      <c r="DFJ1011" s="181"/>
      <c r="DFK1011" s="181"/>
      <c r="DFL1011" s="181"/>
      <c r="DFM1011" s="181"/>
      <c r="DFN1011" s="181"/>
      <c r="DFO1011" s="181"/>
      <c r="DFP1011" s="181"/>
      <c r="DFQ1011" s="181"/>
      <c r="DFR1011" s="181"/>
      <c r="DFS1011" s="181"/>
      <c r="DFT1011" s="181"/>
      <c r="DFU1011" s="181"/>
      <c r="DFV1011" s="181"/>
      <c r="DFW1011" s="181"/>
      <c r="DFX1011" s="181"/>
      <c r="DFY1011" s="181"/>
      <c r="DFZ1011" s="181"/>
      <c r="DGA1011" s="181"/>
      <c r="DGB1011" s="181"/>
      <c r="DGC1011" s="181"/>
      <c r="DGD1011" s="181"/>
      <c r="DGE1011" s="181"/>
      <c r="DGF1011" s="181"/>
      <c r="DGG1011" s="181"/>
      <c r="DGH1011" s="181"/>
      <c r="DGI1011" s="181"/>
      <c r="DGJ1011" s="181"/>
      <c r="DGK1011" s="181"/>
      <c r="DGL1011" s="181"/>
      <c r="DGM1011" s="181"/>
      <c r="DGN1011" s="181"/>
      <c r="DGO1011" s="181"/>
      <c r="DGP1011" s="181"/>
      <c r="DGQ1011" s="181"/>
      <c r="DGR1011" s="181"/>
      <c r="DGS1011" s="181"/>
      <c r="DGT1011" s="181"/>
      <c r="DGU1011" s="181"/>
      <c r="DGV1011" s="181"/>
      <c r="DGW1011" s="181"/>
      <c r="DGX1011" s="181"/>
      <c r="DGY1011" s="181"/>
      <c r="DGZ1011" s="181"/>
      <c r="DHA1011" s="181"/>
      <c r="DHB1011" s="181"/>
      <c r="DHC1011" s="181"/>
      <c r="DHD1011" s="181"/>
      <c r="DHE1011" s="181"/>
      <c r="DHF1011" s="181"/>
      <c r="DHG1011" s="181"/>
      <c r="DHH1011" s="181"/>
      <c r="DHI1011" s="181"/>
      <c r="DHJ1011" s="181"/>
      <c r="DHK1011" s="181"/>
      <c r="DHL1011" s="181"/>
      <c r="DHM1011" s="181"/>
      <c r="DHN1011" s="181"/>
      <c r="DHO1011" s="181"/>
      <c r="DHP1011" s="181"/>
      <c r="DHQ1011" s="181"/>
      <c r="DHR1011" s="181"/>
      <c r="DHS1011" s="181"/>
      <c r="DHT1011" s="181"/>
      <c r="DHU1011" s="181"/>
      <c r="DHV1011" s="181"/>
      <c r="DHW1011" s="181"/>
      <c r="DHX1011" s="181"/>
      <c r="DHY1011" s="181"/>
      <c r="DHZ1011" s="181"/>
      <c r="DIA1011" s="181"/>
      <c r="DIB1011" s="181"/>
      <c r="DIC1011" s="181"/>
      <c r="DID1011" s="181"/>
      <c r="DIE1011" s="181"/>
      <c r="DIF1011" s="181"/>
      <c r="DIG1011" s="181"/>
      <c r="DIH1011" s="181"/>
      <c r="DII1011" s="181"/>
      <c r="DIJ1011" s="181"/>
      <c r="DIK1011" s="181"/>
      <c r="DIL1011" s="181"/>
      <c r="DIM1011" s="181"/>
      <c r="DIN1011" s="181"/>
      <c r="DIO1011" s="181"/>
      <c r="DIP1011" s="181"/>
      <c r="DIQ1011" s="181"/>
      <c r="DIR1011" s="181"/>
      <c r="DIS1011" s="181"/>
      <c r="DIT1011" s="181"/>
      <c r="DIU1011" s="181"/>
      <c r="DIV1011" s="181"/>
      <c r="DIW1011" s="181"/>
      <c r="DIX1011" s="181"/>
      <c r="DIY1011" s="181"/>
      <c r="DIZ1011" s="181"/>
      <c r="DJA1011" s="181"/>
      <c r="DJB1011" s="181"/>
      <c r="DJC1011" s="181"/>
      <c r="DJD1011" s="181"/>
      <c r="DJE1011" s="181"/>
      <c r="DJF1011" s="181"/>
      <c r="DJG1011" s="181"/>
      <c r="DJH1011" s="181"/>
      <c r="DJI1011" s="181"/>
      <c r="DJJ1011" s="181"/>
      <c r="DJK1011" s="181"/>
      <c r="DJL1011" s="181"/>
      <c r="DJM1011" s="181"/>
      <c r="DJN1011" s="181"/>
      <c r="DJO1011" s="181"/>
      <c r="DJP1011" s="181"/>
      <c r="DJQ1011" s="181"/>
      <c r="DJR1011" s="181"/>
      <c r="DJS1011" s="181"/>
      <c r="DJT1011" s="181"/>
      <c r="DJU1011" s="181"/>
      <c r="DJV1011" s="181"/>
      <c r="DJW1011" s="181"/>
      <c r="DJX1011" s="181"/>
      <c r="DJY1011" s="181"/>
      <c r="DJZ1011" s="181"/>
      <c r="DKA1011" s="181"/>
      <c r="DKB1011" s="181"/>
      <c r="DKC1011" s="181"/>
      <c r="DKD1011" s="181"/>
      <c r="DKE1011" s="181"/>
      <c r="DKF1011" s="181"/>
      <c r="DKG1011" s="181"/>
      <c r="DKH1011" s="181"/>
      <c r="DKI1011" s="181"/>
      <c r="DKJ1011" s="181"/>
      <c r="DKK1011" s="181"/>
      <c r="DKL1011" s="181"/>
      <c r="DKM1011" s="181"/>
      <c r="DKN1011" s="181"/>
      <c r="DKO1011" s="181"/>
      <c r="DKP1011" s="181"/>
      <c r="DKQ1011" s="181"/>
      <c r="DKR1011" s="181"/>
      <c r="DKS1011" s="181"/>
      <c r="DKT1011" s="181"/>
      <c r="DKU1011" s="181"/>
      <c r="DKV1011" s="181"/>
      <c r="DKW1011" s="181"/>
      <c r="DKX1011" s="181"/>
      <c r="DKY1011" s="181"/>
      <c r="DKZ1011" s="181"/>
      <c r="DLA1011" s="181"/>
      <c r="DLB1011" s="181"/>
      <c r="DLC1011" s="181"/>
      <c r="DLD1011" s="181"/>
      <c r="DLE1011" s="181"/>
      <c r="DLF1011" s="181"/>
      <c r="DLG1011" s="181"/>
      <c r="DLH1011" s="181"/>
      <c r="DLI1011" s="181"/>
      <c r="DLJ1011" s="181"/>
      <c r="DLK1011" s="181"/>
      <c r="DLL1011" s="181"/>
      <c r="DLM1011" s="181"/>
      <c r="DLN1011" s="181"/>
      <c r="DLO1011" s="181"/>
      <c r="DLP1011" s="181"/>
      <c r="DLQ1011" s="181"/>
      <c r="DLR1011" s="181"/>
      <c r="DLS1011" s="181"/>
      <c r="DLT1011" s="181"/>
      <c r="DLU1011" s="181"/>
      <c r="DLV1011" s="181"/>
      <c r="DLW1011" s="181"/>
      <c r="DLX1011" s="181"/>
      <c r="DLY1011" s="181"/>
      <c r="DLZ1011" s="181"/>
      <c r="DMA1011" s="181"/>
      <c r="DMB1011" s="181"/>
      <c r="DMC1011" s="181"/>
      <c r="DMD1011" s="181"/>
      <c r="DME1011" s="181"/>
      <c r="DMF1011" s="181"/>
      <c r="DMG1011" s="181"/>
      <c r="DMH1011" s="181"/>
      <c r="DMI1011" s="181"/>
      <c r="DMJ1011" s="181"/>
      <c r="DMK1011" s="181"/>
      <c r="DML1011" s="181"/>
      <c r="DMM1011" s="181"/>
      <c r="DMN1011" s="181"/>
      <c r="DMO1011" s="181"/>
      <c r="DMP1011" s="181"/>
      <c r="DMQ1011" s="181"/>
      <c r="DMR1011" s="181"/>
      <c r="DMS1011" s="181"/>
      <c r="DMT1011" s="181"/>
      <c r="DMU1011" s="181"/>
      <c r="DMV1011" s="181"/>
      <c r="DMW1011" s="181"/>
      <c r="DMX1011" s="181"/>
      <c r="DMY1011" s="181"/>
      <c r="DMZ1011" s="181"/>
      <c r="DNA1011" s="181"/>
      <c r="DNB1011" s="181"/>
      <c r="DNC1011" s="181"/>
      <c r="DND1011" s="181"/>
      <c r="DNE1011" s="181"/>
      <c r="DNF1011" s="181"/>
      <c r="DNG1011" s="181"/>
      <c r="DNH1011" s="181"/>
      <c r="DNI1011" s="181"/>
      <c r="DNJ1011" s="181"/>
      <c r="DNK1011" s="181"/>
      <c r="DNL1011" s="181"/>
      <c r="DNM1011" s="181"/>
      <c r="DNN1011" s="181"/>
      <c r="DNO1011" s="181"/>
      <c r="DNP1011" s="181"/>
      <c r="DNQ1011" s="181"/>
      <c r="DNR1011" s="181"/>
      <c r="DNS1011" s="181"/>
      <c r="DNT1011" s="181"/>
      <c r="DNU1011" s="181"/>
      <c r="DNV1011" s="181"/>
      <c r="DNW1011" s="181"/>
      <c r="DNX1011" s="181"/>
      <c r="DNY1011" s="181"/>
      <c r="DNZ1011" s="181"/>
      <c r="DOA1011" s="181"/>
      <c r="DOB1011" s="181"/>
      <c r="DOC1011" s="181"/>
      <c r="DOD1011" s="181"/>
      <c r="DOE1011" s="181"/>
      <c r="DOF1011" s="181"/>
      <c r="DOG1011" s="181"/>
      <c r="DOH1011" s="181"/>
      <c r="DOI1011" s="181"/>
      <c r="DOJ1011" s="181"/>
      <c r="DOK1011" s="181"/>
      <c r="DOL1011" s="181"/>
      <c r="DOM1011" s="181"/>
      <c r="DON1011" s="181"/>
      <c r="DOO1011" s="181"/>
      <c r="DOP1011" s="181"/>
      <c r="DOQ1011" s="181"/>
      <c r="DOR1011" s="181"/>
      <c r="DOS1011" s="181"/>
      <c r="DOT1011" s="181"/>
      <c r="DOU1011" s="181"/>
      <c r="DOV1011" s="181"/>
      <c r="DOW1011" s="181"/>
      <c r="DOX1011" s="181"/>
      <c r="DOY1011" s="181"/>
      <c r="DOZ1011" s="181"/>
      <c r="DPA1011" s="181"/>
      <c r="DPB1011" s="181"/>
      <c r="DPC1011" s="181"/>
      <c r="DPD1011" s="181"/>
      <c r="DPE1011" s="181"/>
      <c r="DPF1011" s="181"/>
      <c r="DPG1011" s="181"/>
      <c r="DPH1011" s="181"/>
      <c r="DPI1011" s="181"/>
      <c r="DPJ1011" s="181"/>
      <c r="DPK1011" s="181"/>
      <c r="DPL1011" s="181"/>
      <c r="DPM1011" s="181"/>
      <c r="DPN1011" s="181"/>
      <c r="DPO1011" s="181"/>
      <c r="DPP1011" s="181"/>
      <c r="DPQ1011" s="181"/>
      <c r="DPR1011" s="181"/>
      <c r="DPS1011" s="181"/>
      <c r="DPT1011" s="181"/>
      <c r="DPU1011" s="181"/>
      <c r="DPV1011" s="181"/>
      <c r="DPW1011" s="181"/>
      <c r="DPX1011" s="181"/>
      <c r="DPY1011" s="181"/>
      <c r="DPZ1011" s="181"/>
      <c r="DQA1011" s="181"/>
      <c r="DQB1011" s="181"/>
      <c r="DQC1011" s="181"/>
      <c r="DQD1011" s="181"/>
      <c r="DQE1011" s="181"/>
      <c r="DQF1011" s="181"/>
      <c r="DQG1011" s="181"/>
      <c r="DQH1011" s="181"/>
      <c r="DQI1011" s="181"/>
      <c r="DQJ1011" s="181"/>
      <c r="DQK1011" s="181"/>
      <c r="DQL1011" s="181"/>
      <c r="DQM1011" s="181"/>
      <c r="DQN1011" s="181"/>
      <c r="DQO1011" s="181"/>
      <c r="DQP1011" s="181"/>
      <c r="DQQ1011" s="181"/>
      <c r="DQR1011" s="181"/>
      <c r="DQS1011" s="181"/>
      <c r="DQT1011" s="181"/>
      <c r="DQU1011" s="181"/>
      <c r="DQV1011" s="181"/>
      <c r="DQW1011" s="181"/>
      <c r="DQX1011" s="181"/>
      <c r="DQY1011" s="181"/>
      <c r="DQZ1011" s="181"/>
      <c r="DRA1011" s="181"/>
      <c r="DRB1011" s="181"/>
      <c r="DRC1011" s="181"/>
      <c r="DRD1011" s="181"/>
      <c r="DRE1011" s="181"/>
      <c r="DRF1011" s="181"/>
      <c r="DRG1011" s="181"/>
      <c r="DRH1011" s="181"/>
      <c r="DRI1011" s="181"/>
      <c r="DRJ1011" s="181"/>
      <c r="DRK1011" s="181"/>
      <c r="DRL1011" s="181"/>
      <c r="DRM1011" s="181"/>
      <c r="DRN1011" s="181"/>
      <c r="DRO1011" s="181"/>
      <c r="DRP1011" s="181"/>
      <c r="DRQ1011" s="181"/>
      <c r="DRR1011" s="181"/>
      <c r="DRS1011" s="181"/>
      <c r="DRT1011" s="181"/>
      <c r="DRU1011" s="181"/>
      <c r="DRV1011" s="181"/>
      <c r="DRW1011" s="181"/>
      <c r="DRX1011" s="181"/>
      <c r="DRY1011" s="181"/>
      <c r="DRZ1011" s="181"/>
      <c r="DSA1011" s="181"/>
      <c r="DSB1011" s="181"/>
      <c r="DSC1011" s="181"/>
      <c r="DSD1011" s="181"/>
      <c r="DSE1011" s="181"/>
      <c r="DSF1011" s="181"/>
      <c r="DSG1011" s="181"/>
      <c r="DSH1011" s="181"/>
      <c r="DSI1011" s="181"/>
      <c r="DSJ1011" s="181"/>
      <c r="DSK1011" s="181"/>
      <c r="DSL1011" s="181"/>
      <c r="DSM1011" s="181"/>
      <c r="DSN1011" s="181"/>
      <c r="DSO1011" s="181"/>
      <c r="DSP1011" s="181"/>
      <c r="DSQ1011" s="181"/>
      <c r="DSR1011" s="181"/>
      <c r="DSS1011" s="181"/>
      <c r="DST1011" s="181"/>
      <c r="DSU1011" s="181"/>
      <c r="DSV1011" s="181"/>
      <c r="DSW1011" s="181"/>
      <c r="DSX1011" s="181"/>
      <c r="DSY1011" s="181"/>
      <c r="DSZ1011" s="181"/>
      <c r="DTA1011" s="181"/>
      <c r="DTB1011" s="181"/>
      <c r="DTC1011" s="181"/>
      <c r="DTD1011" s="181"/>
      <c r="DTE1011" s="181"/>
      <c r="DTF1011" s="181"/>
      <c r="DTG1011" s="181"/>
      <c r="DTH1011" s="181"/>
      <c r="DTI1011" s="181"/>
      <c r="DTJ1011" s="181"/>
      <c r="DTK1011" s="181"/>
      <c r="DTL1011" s="181"/>
      <c r="DTM1011" s="181"/>
      <c r="DTN1011" s="181"/>
      <c r="DTO1011" s="181"/>
      <c r="DTP1011" s="181"/>
      <c r="DTQ1011" s="181"/>
      <c r="DTR1011" s="181"/>
      <c r="DTS1011" s="181"/>
      <c r="DTT1011" s="181"/>
      <c r="DTU1011" s="181"/>
      <c r="DTV1011" s="181"/>
      <c r="DTW1011" s="181"/>
      <c r="DTX1011" s="181"/>
      <c r="DTY1011" s="181"/>
      <c r="DTZ1011" s="181"/>
      <c r="DUA1011" s="181"/>
      <c r="DUB1011" s="181"/>
      <c r="DUC1011" s="181"/>
      <c r="DUD1011" s="181"/>
      <c r="DUE1011" s="181"/>
      <c r="DUF1011" s="181"/>
      <c r="DUG1011" s="181"/>
      <c r="DUH1011" s="181"/>
      <c r="DUI1011" s="181"/>
      <c r="DUJ1011" s="181"/>
      <c r="DUK1011" s="181"/>
      <c r="DUL1011" s="181"/>
      <c r="DUM1011" s="181"/>
      <c r="DUN1011" s="181"/>
      <c r="DUO1011" s="181"/>
      <c r="DUP1011" s="181"/>
      <c r="DUQ1011" s="181"/>
      <c r="DUR1011" s="181"/>
      <c r="DUS1011" s="181"/>
      <c r="DUT1011" s="181"/>
      <c r="DUU1011" s="181"/>
      <c r="DUV1011" s="181"/>
      <c r="DUW1011" s="181"/>
      <c r="DUX1011" s="181"/>
      <c r="DUY1011" s="181"/>
      <c r="DUZ1011" s="181"/>
      <c r="DVA1011" s="181"/>
      <c r="DVB1011" s="181"/>
      <c r="DVC1011" s="181"/>
      <c r="DVD1011" s="181"/>
      <c r="DVE1011" s="181"/>
      <c r="DVF1011" s="181"/>
      <c r="DVG1011" s="181"/>
      <c r="DVH1011" s="181"/>
      <c r="DVI1011" s="181"/>
      <c r="DVJ1011" s="181"/>
      <c r="DVK1011" s="181"/>
      <c r="DVL1011" s="181"/>
      <c r="DVM1011" s="181"/>
      <c r="DVN1011" s="181"/>
      <c r="DVO1011" s="181"/>
      <c r="DVP1011" s="181"/>
      <c r="DVQ1011" s="181"/>
      <c r="DVR1011" s="181"/>
      <c r="DVS1011" s="181"/>
      <c r="DVT1011" s="181"/>
      <c r="DVU1011" s="181"/>
      <c r="DVV1011" s="181"/>
      <c r="DVW1011" s="181"/>
      <c r="DVX1011" s="181"/>
      <c r="DVY1011" s="181"/>
      <c r="DVZ1011" s="181"/>
      <c r="DWA1011" s="181"/>
      <c r="DWB1011" s="181"/>
      <c r="DWC1011" s="181"/>
      <c r="DWD1011" s="181"/>
      <c r="DWE1011" s="181"/>
      <c r="DWF1011" s="181"/>
      <c r="DWG1011" s="181"/>
      <c r="DWH1011" s="181"/>
      <c r="DWI1011" s="181"/>
      <c r="DWJ1011" s="181"/>
      <c r="DWK1011" s="181"/>
      <c r="DWL1011" s="181"/>
      <c r="DWM1011" s="181"/>
      <c r="DWN1011" s="181"/>
      <c r="DWO1011" s="181"/>
      <c r="DWP1011" s="181"/>
      <c r="DWQ1011" s="181"/>
      <c r="DWR1011" s="181"/>
      <c r="DWS1011" s="181"/>
      <c r="DWT1011" s="181"/>
      <c r="DWU1011" s="181"/>
      <c r="DWV1011" s="181"/>
      <c r="DWW1011" s="181"/>
      <c r="DWX1011" s="181"/>
      <c r="DWY1011" s="181"/>
      <c r="DWZ1011" s="181"/>
      <c r="DXA1011" s="181"/>
      <c r="DXB1011" s="181"/>
      <c r="DXC1011" s="181"/>
      <c r="DXD1011" s="181"/>
      <c r="DXE1011" s="181"/>
      <c r="DXF1011" s="181"/>
      <c r="DXG1011" s="181"/>
      <c r="DXH1011" s="181"/>
      <c r="DXI1011" s="181"/>
      <c r="DXJ1011" s="181"/>
      <c r="DXK1011" s="181"/>
      <c r="DXL1011" s="181"/>
      <c r="DXM1011" s="181"/>
      <c r="DXN1011" s="181"/>
      <c r="DXO1011" s="181"/>
      <c r="DXP1011" s="181"/>
      <c r="DXQ1011" s="181"/>
      <c r="DXR1011" s="181"/>
      <c r="DXS1011" s="181"/>
      <c r="DXT1011" s="181"/>
      <c r="DXU1011" s="181"/>
      <c r="DXV1011" s="181"/>
      <c r="DXW1011" s="181"/>
      <c r="DXX1011" s="181"/>
      <c r="DXY1011" s="181"/>
      <c r="DXZ1011" s="181"/>
      <c r="DYA1011" s="181"/>
      <c r="DYB1011" s="181"/>
      <c r="DYC1011" s="181"/>
      <c r="DYD1011" s="181"/>
      <c r="DYE1011" s="181"/>
      <c r="DYF1011" s="181"/>
      <c r="DYG1011" s="181"/>
      <c r="DYH1011" s="181"/>
      <c r="DYI1011" s="181"/>
      <c r="DYJ1011" s="181"/>
      <c r="DYK1011" s="181"/>
      <c r="DYL1011" s="181"/>
      <c r="DYM1011" s="181"/>
      <c r="DYN1011" s="181"/>
      <c r="DYO1011" s="181"/>
      <c r="DYP1011" s="181"/>
      <c r="DYQ1011" s="181"/>
      <c r="DYR1011" s="181"/>
      <c r="DYS1011" s="181"/>
      <c r="DYT1011" s="181"/>
      <c r="DYU1011" s="181"/>
      <c r="DYV1011" s="181"/>
      <c r="DYW1011" s="181"/>
      <c r="DYX1011" s="181"/>
      <c r="DYY1011" s="181"/>
      <c r="DYZ1011" s="181"/>
      <c r="DZA1011" s="181"/>
      <c r="DZB1011" s="181"/>
      <c r="DZC1011" s="181"/>
      <c r="DZD1011" s="181"/>
      <c r="DZE1011" s="181"/>
      <c r="DZF1011" s="181"/>
      <c r="DZG1011" s="181"/>
      <c r="DZH1011" s="181"/>
      <c r="DZI1011" s="181"/>
      <c r="DZJ1011" s="181"/>
      <c r="DZK1011" s="181"/>
      <c r="DZL1011" s="181"/>
      <c r="DZM1011" s="181"/>
      <c r="DZN1011" s="181"/>
      <c r="DZO1011" s="181"/>
      <c r="DZP1011" s="181"/>
      <c r="DZQ1011" s="181"/>
      <c r="DZR1011" s="181"/>
      <c r="DZS1011" s="181"/>
      <c r="DZT1011" s="181"/>
      <c r="DZU1011" s="181"/>
      <c r="DZV1011" s="181"/>
      <c r="DZW1011" s="181"/>
      <c r="DZX1011" s="181"/>
      <c r="DZY1011" s="181"/>
      <c r="DZZ1011" s="181"/>
      <c r="EAA1011" s="181"/>
      <c r="EAB1011" s="181"/>
      <c r="EAC1011" s="181"/>
      <c r="EAD1011" s="181"/>
      <c r="EAE1011" s="181"/>
      <c r="EAF1011" s="181"/>
      <c r="EAG1011" s="181"/>
      <c r="EAH1011" s="181"/>
      <c r="EAI1011" s="181"/>
      <c r="EAJ1011" s="181"/>
      <c r="EAK1011" s="181"/>
      <c r="EAL1011" s="181"/>
      <c r="EAM1011" s="181"/>
      <c r="EAN1011" s="181"/>
      <c r="EAO1011" s="181"/>
      <c r="EAP1011" s="181"/>
      <c r="EAQ1011" s="181"/>
      <c r="EAR1011" s="181"/>
      <c r="EAS1011" s="181"/>
      <c r="EAT1011" s="181"/>
      <c r="EAU1011" s="181"/>
      <c r="EAV1011" s="181"/>
      <c r="EAW1011" s="181"/>
      <c r="EAX1011" s="181"/>
      <c r="EAY1011" s="181"/>
      <c r="EAZ1011" s="181"/>
      <c r="EBA1011" s="181"/>
      <c r="EBB1011" s="181"/>
      <c r="EBC1011" s="181"/>
      <c r="EBD1011" s="181"/>
      <c r="EBE1011" s="181"/>
      <c r="EBF1011" s="181"/>
      <c r="EBG1011" s="181"/>
      <c r="EBH1011" s="181"/>
      <c r="EBI1011" s="181"/>
      <c r="EBJ1011" s="181"/>
      <c r="EBK1011" s="181"/>
      <c r="EBL1011" s="181"/>
      <c r="EBM1011" s="181"/>
      <c r="EBN1011" s="181"/>
      <c r="EBO1011" s="181"/>
      <c r="EBP1011" s="181"/>
      <c r="EBQ1011" s="181"/>
      <c r="EBR1011" s="181"/>
      <c r="EBS1011" s="181"/>
      <c r="EBT1011" s="181"/>
      <c r="EBU1011" s="181"/>
      <c r="EBV1011" s="181"/>
      <c r="EBW1011" s="181"/>
      <c r="EBX1011" s="181"/>
      <c r="EBY1011" s="181"/>
      <c r="EBZ1011" s="181"/>
      <c r="ECA1011" s="181"/>
      <c r="ECB1011" s="181"/>
      <c r="ECC1011" s="181"/>
      <c r="ECD1011" s="181"/>
      <c r="ECE1011" s="181"/>
      <c r="ECF1011" s="181"/>
      <c r="ECG1011" s="181"/>
      <c r="ECH1011" s="181"/>
      <c r="ECI1011" s="181"/>
      <c r="ECJ1011" s="181"/>
      <c r="ECK1011" s="181"/>
      <c r="ECL1011" s="181"/>
      <c r="ECM1011" s="181"/>
      <c r="ECN1011" s="181"/>
      <c r="ECO1011" s="181"/>
      <c r="ECP1011" s="181"/>
      <c r="ECQ1011" s="181"/>
      <c r="ECR1011" s="181"/>
      <c r="ECS1011" s="181"/>
      <c r="ECT1011" s="181"/>
      <c r="ECU1011" s="181"/>
      <c r="ECV1011" s="181"/>
      <c r="ECW1011" s="181"/>
      <c r="ECX1011" s="181"/>
      <c r="ECY1011" s="181"/>
      <c r="ECZ1011" s="181"/>
      <c r="EDA1011" s="181"/>
      <c r="EDB1011" s="181"/>
      <c r="EDC1011" s="181"/>
      <c r="EDD1011" s="181"/>
      <c r="EDE1011" s="181"/>
      <c r="EDF1011" s="181"/>
      <c r="EDG1011" s="181"/>
      <c r="EDH1011" s="181"/>
      <c r="EDI1011" s="181"/>
      <c r="EDJ1011" s="181"/>
      <c r="EDK1011" s="181"/>
      <c r="EDL1011" s="181"/>
      <c r="EDM1011" s="181"/>
      <c r="EDN1011" s="181"/>
      <c r="EDO1011" s="181"/>
      <c r="EDP1011" s="181"/>
      <c r="EDQ1011" s="181"/>
      <c r="EDR1011" s="181"/>
      <c r="EDS1011" s="181"/>
      <c r="EDT1011" s="181"/>
      <c r="EDU1011" s="181"/>
      <c r="EDV1011" s="181"/>
      <c r="EDW1011" s="181"/>
      <c r="EDX1011" s="181"/>
      <c r="EDY1011" s="181"/>
      <c r="EDZ1011" s="181"/>
      <c r="EEA1011" s="181"/>
      <c r="EEB1011" s="181"/>
      <c r="EEC1011" s="181"/>
      <c r="EED1011" s="181"/>
      <c r="EEE1011" s="181"/>
      <c r="EEF1011" s="181"/>
      <c r="EEG1011" s="181"/>
      <c r="EEH1011" s="181"/>
      <c r="EEI1011" s="181"/>
      <c r="EEJ1011" s="181"/>
      <c r="EEK1011" s="181"/>
      <c r="EEL1011" s="181"/>
      <c r="EEM1011" s="181"/>
      <c r="EEN1011" s="181"/>
      <c r="EEO1011" s="181"/>
      <c r="EEP1011" s="181"/>
      <c r="EEQ1011" s="181"/>
      <c r="EER1011" s="181"/>
      <c r="EES1011" s="181"/>
      <c r="EET1011" s="181"/>
      <c r="EEU1011" s="181"/>
      <c r="EEV1011" s="181"/>
      <c r="EEW1011" s="181"/>
      <c r="EEX1011" s="181"/>
      <c r="EEY1011" s="181"/>
      <c r="EEZ1011" s="181"/>
      <c r="EFA1011" s="181"/>
      <c r="EFB1011" s="181"/>
      <c r="EFC1011" s="181"/>
      <c r="EFD1011" s="181"/>
      <c r="EFE1011" s="181"/>
      <c r="EFF1011" s="181"/>
      <c r="EFG1011" s="181"/>
      <c r="EFH1011" s="181"/>
      <c r="EFI1011" s="181"/>
      <c r="EFJ1011" s="181"/>
      <c r="EFK1011" s="181"/>
      <c r="EFL1011" s="181"/>
      <c r="EFM1011" s="181"/>
      <c r="EFN1011" s="181"/>
      <c r="EFO1011" s="181"/>
      <c r="EFP1011" s="181"/>
      <c r="EFQ1011" s="181"/>
      <c r="EFR1011" s="181"/>
      <c r="EFS1011" s="181"/>
      <c r="EFT1011" s="181"/>
      <c r="EFU1011" s="181"/>
      <c r="EFV1011" s="181"/>
      <c r="EFW1011" s="181"/>
      <c r="EFX1011" s="181"/>
      <c r="EFY1011" s="181"/>
      <c r="EFZ1011" s="181"/>
      <c r="EGA1011" s="181"/>
      <c r="EGB1011" s="181"/>
      <c r="EGC1011" s="181"/>
      <c r="EGD1011" s="181"/>
      <c r="EGE1011" s="181"/>
      <c r="EGF1011" s="181"/>
      <c r="EGG1011" s="181"/>
      <c r="EGH1011" s="181"/>
      <c r="EGI1011" s="181"/>
      <c r="EGJ1011" s="181"/>
      <c r="EGK1011" s="181"/>
      <c r="EGL1011" s="181"/>
      <c r="EGM1011" s="181"/>
      <c r="EGN1011" s="181"/>
      <c r="EGO1011" s="181"/>
      <c r="EGP1011" s="181"/>
      <c r="EGQ1011" s="181"/>
      <c r="EGR1011" s="181"/>
      <c r="EGS1011" s="181"/>
      <c r="EGT1011" s="181"/>
      <c r="EGU1011" s="181"/>
      <c r="EGV1011" s="181"/>
      <c r="EGW1011" s="181"/>
      <c r="EGX1011" s="181"/>
      <c r="EGY1011" s="181"/>
      <c r="EGZ1011" s="181"/>
      <c r="EHA1011" s="181"/>
      <c r="EHB1011" s="181"/>
      <c r="EHC1011" s="181"/>
      <c r="EHD1011" s="181"/>
      <c r="EHE1011" s="181"/>
      <c r="EHF1011" s="181"/>
      <c r="EHG1011" s="181"/>
      <c r="EHH1011" s="181"/>
      <c r="EHI1011" s="181"/>
      <c r="EHJ1011" s="181"/>
      <c r="EHK1011" s="181"/>
      <c r="EHL1011" s="181"/>
      <c r="EHM1011" s="181"/>
      <c r="EHN1011" s="181"/>
      <c r="EHO1011" s="181"/>
      <c r="EHP1011" s="181"/>
      <c r="EHQ1011" s="181"/>
      <c r="EHR1011" s="181"/>
      <c r="EHS1011" s="181"/>
      <c r="EHT1011" s="181"/>
      <c r="EHU1011" s="181"/>
      <c r="EHV1011" s="181"/>
      <c r="EHW1011" s="181"/>
      <c r="EHX1011" s="181"/>
      <c r="EHY1011" s="181"/>
      <c r="EHZ1011" s="181"/>
      <c r="EIA1011" s="181"/>
      <c r="EIB1011" s="181"/>
      <c r="EIC1011" s="181"/>
      <c r="EID1011" s="181"/>
      <c r="EIE1011" s="181"/>
      <c r="EIF1011" s="181"/>
      <c r="EIG1011" s="181"/>
      <c r="EIH1011" s="181"/>
      <c r="EII1011" s="181"/>
      <c r="EIJ1011" s="181"/>
      <c r="EIK1011" s="181"/>
      <c r="EIL1011" s="181"/>
      <c r="EIM1011" s="181"/>
      <c r="EIN1011" s="181"/>
      <c r="EIO1011" s="181"/>
      <c r="EIP1011" s="181"/>
      <c r="EIQ1011" s="181"/>
      <c r="EIR1011" s="181"/>
      <c r="EIS1011" s="181"/>
      <c r="EIT1011" s="181"/>
      <c r="EIU1011" s="181"/>
      <c r="EIV1011" s="181"/>
      <c r="EIW1011" s="181"/>
      <c r="EIX1011" s="181"/>
      <c r="EIY1011" s="181"/>
      <c r="EIZ1011" s="181"/>
      <c r="EJA1011" s="181"/>
      <c r="EJB1011" s="181"/>
      <c r="EJC1011" s="181"/>
      <c r="EJD1011" s="181"/>
      <c r="EJE1011" s="181"/>
      <c r="EJF1011" s="181"/>
      <c r="EJG1011" s="181"/>
      <c r="EJH1011" s="181"/>
      <c r="EJI1011" s="181"/>
      <c r="EJJ1011" s="181"/>
      <c r="EJK1011" s="181"/>
      <c r="EJL1011" s="181"/>
      <c r="EJM1011" s="181"/>
      <c r="EJN1011" s="181"/>
      <c r="EJO1011" s="181"/>
      <c r="EJP1011" s="181"/>
      <c r="EJQ1011" s="181"/>
      <c r="EJR1011" s="181"/>
      <c r="EJS1011" s="181"/>
      <c r="EJT1011" s="181"/>
      <c r="EJU1011" s="181"/>
      <c r="EJV1011" s="181"/>
      <c r="EJW1011" s="181"/>
      <c r="EJX1011" s="181"/>
      <c r="EJY1011" s="181"/>
      <c r="EJZ1011" s="181"/>
      <c r="EKA1011" s="181"/>
      <c r="EKB1011" s="181"/>
      <c r="EKC1011" s="181"/>
      <c r="EKD1011" s="181"/>
      <c r="EKE1011" s="181"/>
      <c r="EKF1011" s="181"/>
      <c r="EKG1011" s="181"/>
      <c r="EKH1011" s="181"/>
      <c r="EKI1011" s="181"/>
      <c r="EKJ1011" s="181"/>
      <c r="EKK1011" s="181"/>
      <c r="EKL1011" s="181"/>
      <c r="EKM1011" s="181"/>
      <c r="EKN1011" s="181"/>
      <c r="EKO1011" s="181"/>
      <c r="EKP1011" s="181"/>
      <c r="EKQ1011" s="181"/>
      <c r="EKR1011" s="181"/>
      <c r="EKS1011" s="181"/>
      <c r="EKT1011" s="181"/>
      <c r="EKU1011" s="181"/>
      <c r="EKV1011" s="181"/>
      <c r="EKW1011" s="181"/>
      <c r="EKX1011" s="181"/>
      <c r="EKY1011" s="181"/>
      <c r="EKZ1011" s="181"/>
      <c r="ELA1011" s="181"/>
      <c r="ELB1011" s="181"/>
      <c r="ELC1011" s="181"/>
      <c r="ELD1011" s="181"/>
      <c r="ELE1011" s="181"/>
      <c r="ELF1011" s="181"/>
      <c r="ELG1011" s="181"/>
      <c r="ELH1011" s="181"/>
      <c r="ELI1011" s="181"/>
      <c r="ELJ1011" s="181"/>
      <c r="ELK1011" s="181"/>
      <c r="ELL1011" s="181"/>
      <c r="ELM1011" s="181"/>
      <c r="ELN1011" s="181"/>
      <c r="ELO1011" s="181"/>
      <c r="ELP1011" s="181"/>
      <c r="ELQ1011" s="181"/>
      <c r="ELR1011" s="181"/>
      <c r="ELS1011" s="181"/>
      <c r="ELT1011" s="181"/>
      <c r="ELU1011" s="181"/>
      <c r="ELV1011" s="181"/>
      <c r="ELW1011" s="181"/>
      <c r="ELX1011" s="181"/>
      <c r="ELY1011" s="181"/>
      <c r="ELZ1011" s="181"/>
      <c r="EMA1011" s="181"/>
      <c r="EMB1011" s="181"/>
      <c r="EMC1011" s="181"/>
      <c r="EMD1011" s="181"/>
      <c r="EME1011" s="181"/>
      <c r="EMF1011" s="181"/>
      <c r="EMG1011" s="181"/>
      <c r="EMH1011" s="181"/>
      <c r="EMI1011" s="181"/>
      <c r="EMJ1011" s="181"/>
      <c r="EMK1011" s="181"/>
      <c r="EML1011" s="181"/>
      <c r="EMM1011" s="181"/>
      <c r="EMN1011" s="181"/>
      <c r="EMO1011" s="181"/>
      <c r="EMP1011" s="181"/>
      <c r="EMQ1011" s="181"/>
      <c r="EMR1011" s="181"/>
      <c r="EMS1011" s="181"/>
      <c r="EMT1011" s="181"/>
      <c r="EMU1011" s="181"/>
      <c r="EMV1011" s="181"/>
      <c r="EMW1011" s="181"/>
      <c r="EMX1011" s="181"/>
      <c r="EMY1011" s="181"/>
      <c r="EMZ1011" s="181"/>
      <c r="ENA1011" s="181"/>
      <c r="ENB1011" s="181"/>
      <c r="ENC1011" s="181"/>
      <c r="END1011" s="181"/>
      <c r="ENE1011" s="181"/>
      <c r="ENF1011" s="181"/>
      <c r="ENG1011" s="181"/>
      <c r="ENH1011" s="181"/>
      <c r="ENI1011" s="181"/>
      <c r="ENJ1011" s="181"/>
      <c r="ENK1011" s="181"/>
      <c r="ENL1011" s="181"/>
      <c r="ENM1011" s="181"/>
      <c r="ENN1011" s="181"/>
      <c r="ENO1011" s="181"/>
      <c r="ENP1011" s="181"/>
      <c r="ENQ1011" s="181"/>
      <c r="ENR1011" s="181"/>
      <c r="ENS1011" s="181"/>
      <c r="ENT1011" s="181"/>
      <c r="ENU1011" s="181"/>
      <c r="ENV1011" s="181"/>
      <c r="ENW1011" s="181"/>
      <c r="ENX1011" s="181"/>
      <c r="ENY1011" s="181"/>
      <c r="ENZ1011" s="181"/>
      <c r="EOA1011" s="181"/>
      <c r="EOB1011" s="181"/>
      <c r="EOC1011" s="181"/>
      <c r="EOD1011" s="181"/>
      <c r="EOE1011" s="181"/>
      <c r="EOF1011" s="181"/>
      <c r="EOG1011" s="181"/>
      <c r="EOH1011" s="181"/>
      <c r="EOI1011" s="181"/>
      <c r="EOJ1011" s="181"/>
      <c r="EOK1011" s="181"/>
      <c r="EOL1011" s="181"/>
      <c r="EOM1011" s="181"/>
      <c r="EON1011" s="181"/>
      <c r="EOO1011" s="181"/>
      <c r="EOP1011" s="181"/>
      <c r="EOQ1011" s="181"/>
      <c r="EOR1011" s="181"/>
      <c r="EOS1011" s="181"/>
      <c r="EOT1011" s="181"/>
      <c r="EOU1011" s="181"/>
      <c r="EOV1011" s="181"/>
      <c r="EOW1011" s="181"/>
      <c r="EOX1011" s="181"/>
      <c r="EOY1011" s="181"/>
      <c r="EOZ1011" s="181"/>
      <c r="EPA1011" s="181"/>
      <c r="EPB1011" s="181"/>
      <c r="EPC1011" s="181"/>
      <c r="EPD1011" s="181"/>
      <c r="EPE1011" s="181"/>
      <c r="EPF1011" s="181"/>
      <c r="EPG1011" s="181"/>
      <c r="EPH1011" s="181"/>
      <c r="EPI1011" s="181"/>
      <c r="EPJ1011" s="181"/>
      <c r="EPK1011" s="181"/>
      <c r="EPL1011" s="181"/>
      <c r="EPM1011" s="181"/>
      <c r="EPN1011" s="181"/>
      <c r="EPO1011" s="181"/>
      <c r="EPP1011" s="181"/>
      <c r="EPQ1011" s="181"/>
      <c r="EPR1011" s="181"/>
      <c r="EPS1011" s="181"/>
      <c r="EPT1011" s="181"/>
      <c r="EPU1011" s="181"/>
      <c r="EPV1011" s="181"/>
      <c r="EPW1011" s="181"/>
      <c r="EPX1011" s="181"/>
      <c r="EPY1011" s="181"/>
      <c r="EPZ1011" s="181"/>
      <c r="EQA1011" s="181"/>
      <c r="EQB1011" s="181"/>
      <c r="EQC1011" s="181"/>
      <c r="EQD1011" s="181"/>
      <c r="EQE1011" s="181"/>
      <c r="EQF1011" s="181"/>
      <c r="EQG1011" s="181"/>
      <c r="EQH1011" s="181"/>
      <c r="EQI1011" s="181"/>
      <c r="EQJ1011" s="181"/>
      <c r="EQK1011" s="181"/>
      <c r="EQL1011" s="181"/>
      <c r="EQM1011" s="181"/>
      <c r="EQN1011" s="181"/>
      <c r="EQO1011" s="181"/>
      <c r="EQP1011" s="181"/>
      <c r="EQQ1011" s="181"/>
      <c r="EQR1011" s="181"/>
      <c r="EQS1011" s="181"/>
      <c r="EQT1011" s="181"/>
      <c r="EQU1011" s="181"/>
      <c r="EQV1011" s="181"/>
      <c r="EQW1011" s="181"/>
      <c r="EQX1011" s="181"/>
      <c r="EQY1011" s="181"/>
      <c r="EQZ1011" s="181"/>
      <c r="ERA1011" s="181"/>
      <c r="ERB1011" s="181"/>
      <c r="ERC1011" s="181"/>
      <c r="ERD1011" s="181"/>
      <c r="ERE1011" s="181"/>
      <c r="ERF1011" s="181"/>
      <c r="ERG1011" s="181"/>
      <c r="ERH1011" s="181"/>
      <c r="ERI1011" s="181"/>
      <c r="ERJ1011" s="181"/>
      <c r="ERK1011" s="181"/>
      <c r="ERL1011" s="181"/>
      <c r="ERM1011" s="181"/>
      <c r="ERN1011" s="181"/>
      <c r="ERO1011" s="181"/>
      <c r="ERP1011" s="181"/>
      <c r="ERQ1011" s="181"/>
      <c r="ERR1011" s="181"/>
      <c r="ERS1011" s="181"/>
      <c r="ERT1011" s="181"/>
      <c r="ERU1011" s="181"/>
      <c r="ERV1011" s="181"/>
      <c r="ERW1011" s="181"/>
      <c r="ERX1011" s="181"/>
      <c r="ERY1011" s="181"/>
      <c r="ERZ1011" s="181"/>
      <c r="ESA1011" s="181"/>
      <c r="ESB1011" s="181"/>
      <c r="ESC1011" s="181"/>
      <c r="ESD1011" s="181"/>
      <c r="ESE1011" s="181"/>
      <c r="ESF1011" s="181"/>
      <c r="ESG1011" s="181"/>
      <c r="ESH1011" s="181"/>
      <c r="ESI1011" s="181"/>
      <c r="ESJ1011" s="181"/>
      <c r="ESK1011" s="181"/>
      <c r="ESL1011" s="181"/>
      <c r="ESM1011" s="181"/>
      <c r="ESN1011" s="181"/>
      <c r="ESO1011" s="181"/>
      <c r="ESP1011" s="181"/>
      <c r="ESQ1011" s="181"/>
      <c r="ESR1011" s="181"/>
      <c r="ESS1011" s="181"/>
      <c r="EST1011" s="181"/>
      <c r="ESU1011" s="181"/>
      <c r="ESV1011" s="181"/>
      <c r="ESW1011" s="181"/>
      <c r="ESX1011" s="181"/>
      <c r="ESY1011" s="181"/>
      <c r="ESZ1011" s="181"/>
      <c r="ETA1011" s="181"/>
      <c r="ETB1011" s="181"/>
      <c r="ETC1011" s="181"/>
      <c r="ETD1011" s="181"/>
      <c r="ETE1011" s="181"/>
      <c r="ETF1011" s="181"/>
      <c r="ETG1011" s="181"/>
      <c r="ETH1011" s="181"/>
      <c r="ETI1011" s="181"/>
      <c r="ETJ1011" s="181"/>
      <c r="ETK1011" s="181"/>
      <c r="ETL1011" s="181"/>
      <c r="ETM1011" s="181"/>
      <c r="ETN1011" s="181"/>
      <c r="ETO1011" s="181"/>
      <c r="ETP1011" s="181"/>
      <c r="ETQ1011" s="181"/>
      <c r="ETR1011" s="181"/>
      <c r="ETS1011" s="181"/>
      <c r="ETT1011" s="181"/>
      <c r="ETU1011" s="181"/>
      <c r="ETV1011" s="181"/>
      <c r="ETW1011" s="181"/>
      <c r="ETX1011" s="181"/>
      <c r="ETY1011" s="181"/>
      <c r="ETZ1011" s="181"/>
      <c r="EUA1011" s="181"/>
      <c r="EUB1011" s="181"/>
      <c r="EUC1011" s="181"/>
      <c r="EUD1011" s="181"/>
      <c r="EUE1011" s="181"/>
      <c r="EUF1011" s="181"/>
      <c r="EUG1011" s="181"/>
      <c r="EUH1011" s="181"/>
      <c r="EUI1011" s="181"/>
      <c r="EUJ1011" s="181"/>
      <c r="EUK1011" s="181"/>
      <c r="EUL1011" s="181"/>
      <c r="EUM1011" s="181"/>
      <c r="EUN1011" s="181"/>
      <c r="EUO1011" s="181"/>
      <c r="EUP1011" s="181"/>
      <c r="EUQ1011" s="181"/>
      <c r="EUR1011" s="181"/>
      <c r="EUS1011" s="181"/>
      <c r="EUT1011" s="181"/>
      <c r="EUU1011" s="181"/>
      <c r="EUV1011" s="181"/>
      <c r="EUW1011" s="181"/>
      <c r="EUX1011" s="181"/>
      <c r="EUY1011" s="181"/>
      <c r="EUZ1011" s="181"/>
      <c r="EVA1011" s="181"/>
      <c r="EVB1011" s="181"/>
      <c r="EVC1011" s="181"/>
      <c r="EVD1011" s="181"/>
      <c r="EVE1011" s="181"/>
      <c r="EVF1011" s="181"/>
      <c r="EVG1011" s="181"/>
      <c r="EVH1011" s="181"/>
      <c r="EVI1011" s="181"/>
      <c r="EVJ1011" s="181"/>
      <c r="EVK1011" s="181"/>
      <c r="EVL1011" s="181"/>
      <c r="EVM1011" s="181"/>
      <c r="EVN1011" s="181"/>
      <c r="EVO1011" s="181"/>
      <c r="EVP1011" s="181"/>
      <c r="EVQ1011" s="181"/>
      <c r="EVR1011" s="181"/>
      <c r="EVS1011" s="181"/>
      <c r="EVT1011" s="181"/>
      <c r="EVU1011" s="181"/>
      <c r="EVV1011" s="181"/>
      <c r="EVW1011" s="181"/>
      <c r="EVX1011" s="181"/>
      <c r="EVY1011" s="181"/>
      <c r="EVZ1011" s="181"/>
      <c r="EWA1011" s="181"/>
      <c r="EWB1011" s="181"/>
      <c r="EWC1011" s="181"/>
      <c r="EWD1011" s="181"/>
      <c r="EWE1011" s="181"/>
      <c r="EWF1011" s="181"/>
      <c r="EWG1011" s="181"/>
      <c r="EWH1011" s="181"/>
      <c r="EWI1011" s="181"/>
      <c r="EWJ1011" s="181"/>
      <c r="EWK1011" s="181"/>
      <c r="EWL1011" s="181"/>
      <c r="EWM1011" s="181"/>
      <c r="EWN1011" s="181"/>
      <c r="EWO1011" s="181"/>
      <c r="EWP1011" s="181"/>
      <c r="EWQ1011" s="181"/>
      <c r="EWR1011" s="181"/>
      <c r="EWS1011" s="181"/>
      <c r="EWT1011" s="181"/>
      <c r="EWU1011" s="181"/>
      <c r="EWV1011" s="181"/>
      <c r="EWW1011" s="181"/>
      <c r="EWX1011" s="181"/>
      <c r="EWY1011" s="181"/>
      <c r="EWZ1011" s="181"/>
      <c r="EXA1011" s="181"/>
      <c r="EXB1011" s="181"/>
      <c r="EXC1011" s="181"/>
      <c r="EXD1011" s="181"/>
      <c r="EXE1011" s="181"/>
      <c r="EXF1011" s="181"/>
      <c r="EXG1011" s="181"/>
      <c r="EXH1011" s="181"/>
      <c r="EXI1011" s="181"/>
      <c r="EXJ1011" s="181"/>
      <c r="EXK1011" s="181"/>
      <c r="EXL1011" s="181"/>
      <c r="EXM1011" s="181"/>
      <c r="EXN1011" s="181"/>
      <c r="EXO1011" s="181"/>
      <c r="EXP1011" s="181"/>
      <c r="EXQ1011" s="181"/>
      <c r="EXR1011" s="181"/>
      <c r="EXS1011" s="181"/>
      <c r="EXT1011" s="181"/>
      <c r="EXU1011" s="181"/>
      <c r="EXV1011" s="181"/>
      <c r="EXW1011" s="181"/>
      <c r="EXX1011" s="181"/>
      <c r="EXY1011" s="181"/>
      <c r="EXZ1011" s="181"/>
      <c r="EYA1011" s="181"/>
      <c r="EYB1011" s="181"/>
      <c r="EYC1011" s="181"/>
      <c r="EYD1011" s="181"/>
      <c r="EYE1011" s="181"/>
      <c r="EYF1011" s="181"/>
      <c r="EYG1011" s="181"/>
      <c r="EYH1011" s="181"/>
      <c r="EYI1011" s="181"/>
      <c r="EYJ1011" s="181"/>
      <c r="EYK1011" s="181"/>
      <c r="EYL1011" s="181"/>
      <c r="EYM1011" s="181"/>
      <c r="EYN1011" s="181"/>
      <c r="EYO1011" s="181"/>
      <c r="EYP1011" s="181"/>
      <c r="EYQ1011" s="181"/>
      <c r="EYR1011" s="181"/>
      <c r="EYS1011" s="181"/>
      <c r="EYT1011" s="181"/>
      <c r="EYU1011" s="181"/>
      <c r="EYV1011" s="181"/>
      <c r="EYW1011" s="181"/>
      <c r="EYX1011" s="181"/>
      <c r="EYY1011" s="181"/>
      <c r="EYZ1011" s="181"/>
      <c r="EZA1011" s="181"/>
      <c r="EZB1011" s="181"/>
      <c r="EZC1011" s="181"/>
      <c r="EZD1011" s="181"/>
      <c r="EZE1011" s="181"/>
      <c r="EZF1011" s="181"/>
      <c r="EZG1011" s="181"/>
      <c r="EZH1011" s="181"/>
      <c r="EZI1011" s="181"/>
      <c r="EZJ1011" s="181"/>
      <c r="EZK1011" s="181"/>
      <c r="EZL1011" s="181"/>
      <c r="EZM1011" s="181"/>
      <c r="EZN1011" s="181"/>
      <c r="EZO1011" s="181"/>
      <c r="EZP1011" s="181"/>
      <c r="EZQ1011" s="181"/>
      <c r="EZR1011" s="181"/>
      <c r="EZS1011" s="181"/>
      <c r="EZT1011" s="181"/>
      <c r="EZU1011" s="181"/>
      <c r="EZV1011" s="181"/>
      <c r="EZW1011" s="181"/>
      <c r="EZX1011" s="181"/>
      <c r="EZY1011" s="181"/>
      <c r="EZZ1011" s="181"/>
      <c r="FAA1011" s="181"/>
      <c r="FAB1011" s="181"/>
      <c r="FAC1011" s="181"/>
      <c r="FAD1011" s="181"/>
      <c r="FAE1011" s="181"/>
      <c r="FAF1011" s="181"/>
      <c r="FAG1011" s="181"/>
      <c r="FAH1011" s="181"/>
      <c r="FAI1011" s="181"/>
      <c r="FAJ1011" s="181"/>
      <c r="FAK1011" s="181"/>
      <c r="FAL1011" s="181"/>
      <c r="FAM1011" s="181"/>
      <c r="FAN1011" s="181"/>
      <c r="FAO1011" s="181"/>
      <c r="FAP1011" s="181"/>
      <c r="FAQ1011" s="181"/>
      <c r="FAR1011" s="181"/>
      <c r="FAS1011" s="181"/>
      <c r="FAT1011" s="181"/>
      <c r="FAU1011" s="181"/>
      <c r="FAV1011" s="181"/>
      <c r="FAW1011" s="181"/>
      <c r="FAX1011" s="181"/>
      <c r="FAY1011" s="181"/>
      <c r="FAZ1011" s="181"/>
      <c r="FBA1011" s="181"/>
      <c r="FBB1011" s="181"/>
      <c r="FBC1011" s="181"/>
      <c r="FBD1011" s="181"/>
      <c r="FBE1011" s="181"/>
      <c r="FBF1011" s="181"/>
      <c r="FBG1011" s="181"/>
      <c r="FBH1011" s="181"/>
      <c r="FBI1011" s="181"/>
      <c r="FBJ1011" s="181"/>
      <c r="FBK1011" s="181"/>
      <c r="FBL1011" s="181"/>
      <c r="FBM1011" s="181"/>
      <c r="FBN1011" s="181"/>
      <c r="FBO1011" s="181"/>
      <c r="FBP1011" s="181"/>
      <c r="FBQ1011" s="181"/>
      <c r="FBR1011" s="181"/>
      <c r="FBS1011" s="181"/>
      <c r="FBT1011" s="181"/>
      <c r="FBU1011" s="181"/>
      <c r="FBV1011" s="181"/>
      <c r="FBW1011" s="181"/>
      <c r="FBX1011" s="181"/>
      <c r="FBY1011" s="181"/>
      <c r="FBZ1011" s="181"/>
      <c r="FCA1011" s="181"/>
      <c r="FCB1011" s="181"/>
      <c r="FCC1011" s="181"/>
      <c r="FCD1011" s="181"/>
      <c r="FCE1011" s="181"/>
      <c r="FCF1011" s="181"/>
      <c r="FCG1011" s="181"/>
      <c r="FCH1011" s="181"/>
      <c r="FCI1011" s="181"/>
      <c r="FCJ1011" s="181"/>
      <c r="FCK1011" s="181"/>
      <c r="FCL1011" s="181"/>
      <c r="FCM1011" s="181"/>
      <c r="FCN1011" s="181"/>
      <c r="FCO1011" s="181"/>
      <c r="FCP1011" s="181"/>
      <c r="FCQ1011" s="181"/>
      <c r="FCR1011" s="181"/>
      <c r="FCS1011" s="181"/>
      <c r="FCT1011" s="181"/>
      <c r="FCU1011" s="181"/>
      <c r="FCV1011" s="181"/>
      <c r="FCW1011" s="181"/>
      <c r="FCX1011" s="181"/>
      <c r="FCY1011" s="181"/>
      <c r="FCZ1011" s="181"/>
      <c r="FDA1011" s="181"/>
      <c r="FDB1011" s="181"/>
      <c r="FDC1011" s="181"/>
      <c r="FDD1011" s="181"/>
      <c r="FDE1011" s="181"/>
      <c r="FDF1011" s="181"/>
      <c r="FDG1011" s="181"/>
      <c r="FDH1011" s="181"/>
      <c r="FDI1011" s="181"/>
      <c r="FDJ1011" s="181"/>
      <c r="FDK1011" s="181"/>
      <c r="FDL1011" s="181"/>
      <c r="FDM1011" s="181"/>
      <c r="FDN1011" s="181"/>
      <c r="FDO1011" s="181"/>
      <c r="FDP1011" s="181"/>
      <c r="FDQ1011" s="181"/>
      <c r="FDR1011" s="181"/>
      <c r="FDS1011" s="181"/>
      <c r="FDT1011" s="181"/>
      <c r="FDU1011" s="181"/>
      <c r="FDV1011" s="181"/>
      <c r="FDW1011" s="181"/>
      <c r="FDX1011" s="181"/>
      <c r="FDY1011" s="181"/>
      <c r="FDZ1011" s="181"/>
      <c r="FEA1011" s="181"/>
      <c r="FEB1011" s="181"/>
      <c r="FEC1011" s="181"/>
      <c r="FED1011" s="181"/>
      <c r="FEE1011" s="181"/>
      <c r="FEF1011" s="181"/>
      <c r="FEG1011" s="181"/>
      <c r="FEH1011" s="181"/>
      <c r="FEI1011" s="181"/>
      <c r="FEJ1011" s="181"/>
      <c r="FEK1011" s="181"/>
      <c r="FEL1011" s="181"/>
      <c r="FEM1011" s="181"/>
      <c r="FEN1011" s="181"/>
      <c r="FEO1011" s="181"/>
      <c r="FEP1011" s="181"/>
      <c r="FEQ1011" s="181"/>
      <c r="FER1011" s="181"/>
      <c r="FES1011" s="181"/>
      <c r="FET1011" s="181"/>
      <c r="FEU1011" s="181"/>
      <c r="FEV1011" s="181"/>
      <c r="FEW1011" s="181"/>
      <c r="FEX1011" s="181"/>
      <c r="FEY1011" s="181"/>
      <c r="FEZ1011" s="181"/>
      <c r="FFA1011" s="181"/>
      <c r="FFB1011" s="181"/>
      <c r="FFC1011" s="181"/>
      <c r="FFD1011" s="181"/>
      <c r="FFE1011" s="181"/>
      <c r="FFF1011" s="181"/>
      <c r="FFG1011" s="181"/>
      <c r="FFH1011" s="181"/>
      <c r="FFI1011" s="181"/>
      <c r="FFJ1011" s="181"/>
      <c r="FFK1011" s="181"/>
      <c r="FFL1011" s="181"/>
      <c r="FFM1011" s="181"/>
      <c r="FFN1011" s="181"/>
      <c r="FFO1011" s="181"/>
      <c r="FFP1011" s="181"/>
      <c r="FFQ1011" s="181"/>
      <c r="FFR1011" s="181"/>
      <c r="FFS1011" s="181"/>
      <c r="FFT1011" s="181"/>
      <c r="FFU1011" s="181"/>
      <c r="FFV1011" s="181"/>
      <c r="FFW1011" s="181"/>
      <c r="FFX1011" s="181"/>
      <c r="FFY1011" s="181"/>
      <c r="FFZ1011" s="181"/>
      <c r="FGA1011" s="181"/>
      <c r="FGB1011" s="181"/>
      <c r="FGC1011" s="181"/>
      <c r="FGD1011" s="181"/>
      <c r="FGE1011" s="181"/>
      <c r="FGF1011" s="181"/>
      <c r="FGG1011" s="181"/>
      <c r="FGH1011" s="181"/>
      <c r="FGI1011" s="181"/>
      <c r="FGJ1011" s="181"/>
      <c r="FGK1011" s="181"/>
      <c r="FGL1011" s="181"/>
      <c r="FGM1011" s="181"/>
      <c r="FGN1011" s="181"/>
      <c r="FGO1011" s="181"/>
      <c r="FGP1011" s="181"/>
      <c r="FGQ1011" s="181"/>
      <c r="FGR1011" s="181"/>
      <c r="FGS1011" s="181"/>
      <c r="FGT1011" s="181"/>
      <c r="FGU1011" s="181"/>
      <c r="FGV1011" s="181"/>
      <c r="FGW1011" s="181"/>
      <c r="FGX1011" s="181"/>
      <c r="FGY1011" s="181"/>
      <c r="FGZ1011" s="181"/>
      <c r="FHA1011" s="181"/>
      <c r="FHB1011" s="181"/>
      <c r="FHC1011" s="181"/>
      <c r="FHD1011" s="181"/>
      <c r="FHE1011" s="181"/>
      <c r="FHF1011" s="181"/>
      <c r="FHG1011" s="181"/>
      <c r="FHH1011" s="181"/>
      <c r="FHI1011" s="181"/>
      <c r="FHJ1011" s="181"/>
      <c r="FHK1011" s="181"/>
      <c r="FHL1011" s="181"/>
      <c r="FHM1011" s="181"/>
      <c r="FHN1011" s="181"/>
      <c r="FHO1011" s="181"/>
      <c r="FHP1011" s="181"/>
      <c r="FHQ1011" s="181"/>
      <c r="FHR1011" s="181"/>
      <c r="FHS1011" s="181"/>
      <c r="FHT1011" s="181"/>
      <c r="FHU1011" s="181"/>
      <c r="FHV1011" s="181"/>
      <c r="FHW1011" s="181"/>
      <c r="FHX1011" s="181"/>
      <c r="FHY1011" s="181"/>
      <c r="FHZ1011" s="181"/>
      <c r="FIA1011" s="181"/>
      <c r="FIB1011" s="181"/>
      <c r="FIC1011" s="181"/>
      <c r="FID1011" s="181"/>
      <c r="FIE1011" s="181"/>
      <c r="FIF1011" s="181"/>
      <c r="FIG1011" s="181"/>
      <c r="FIH1011" s="181"/>
      <c r="FII1011" s="181"/>
      <c r="FIJ1011" s="181"/>
      <c r="FIK1011" s="181"/>
      <c r="FIL1011" s="181"/>
      <c r="FIM1011" s="181"/>
      <c r="FIN1011" s="181"/>
      <c r="FIO1011" s="181"/>
      <c r="FIP1011" s="181"/>
      <c r="FIQ1011" s="181"/>
      <c r="FIR1011" s="181"/>
      <c r="FIS1011" s="181"/>
      <c r="FIT1011" s="181"/>
      <c r="FIU1011" s="181"/>
      <c r="FIV1011" s="181"/>
      <c r="FIW1011" s="181"/>
      <c r="FIX1011" s="181"/>
      <c r="FIY1011" s="181"/>
      <c r="FIZ1011" s="181"/>
      <c r="FJA1011" s="181"/>
      <c r="FJB1011" s="181"/>
      <c r="FJC1011" s="181"/>
      <c r="FJD1011" s="181"/>
      <c r="FJE1011" s="181"/>
      <c r="FJF1011" s="181"/>
      <c r="FJG1011" s="181"/>
      <c r="FJH1011" s="181"/>
      <c r="FJI1011" s="181"/>
      <c r="FJJ1011" s="181"/>
      <c r="FJK1011" s="181"/>
      <c r="FJL1011" s="181"/>
      <c r="FJM1011" s="181"/>
      <c r="FJN1011" s="181"/>
      <c r="FJO1011" s="181"/>
      <c r="FJP1011" s="181"/>
      <c r="FJQ1011" s="181"/>
      <c r="FJR1011" s="181"/>
      <c r="FJS1011" s="181"/>
      <c r="FJT1011" s="181"/>
      <c r="FJU1011" s="181"/>
      <c r="FJV1011" s="181"/>
      <c r="FJW1011" s="181"/>
      <c r="FJX1011" s="181"/>
      <c r="FJY1011" s="181"/>
      <c r="FJZ1011" s="181"/>
      <c r="FKA1011" s="181"/>
      <c r="FKB1011" s="181"/>
      <c r="FKC1011" s="181"/>
      <c r="FKD1011" s="181"/>
      <c r="FKE1011" s="181"/>
      <c r="FKF1011" s="181"/>
      <c r="FKG1011" s="181"/>
      <c r="FKH1011" s="181"/>
      <c r="FKI1011" s="181"/>
      <c r="FKJ1011" s="181"/>
      <c r="FKK1011" s="181"/>
      <c r="FKL1011" s="181"/>
      <c r="FKM1011" s="181"/>
      <c r="FKN1011" s="181"/>
      <c r="FKO1011" s="181"/>
      <c r="FKP1011" s="181"/>
      <c r="FKQ1011" s="181"/>
      <c r="FKR1011" s="181"/>
      <c r="FKS1011" s="181"/>
      <c r="FKT1011" s="181"/>
      <c r="FKU1011" s="181"/>
      <c r="FKV1011" s="181"/>
      <c r="FKW1011" s="181"/>
      <c r="FKX1011" s="181"/>
      <c r="FKY1011" s="181"/>
      <c r="FKZ1011" s="181"/>
      <c r="FLA1011" s="181"/>
      <c r="FLB1011" s="181"/>
      <c r="FLC1011" s="181"/>
      <c r="FLD1011" s="181"/>
      <c r="FLE1011" s="181"/>
      <c r="FLF1011" s="181"/>
      <c r="FLG1011" s="181"/>
      <c r="FLH1011" s="181"/>
      <c r="FLI1011" s="181"/>
      <c r="FLJ1011" s="181"/>
      <c r="FLK1011" s="181"/>
      <c r="FLL1011" s="181"/>
      <c r="FLM1011" s="181"/>
      <c r="FLN1011" s="181"/>
      <c r="FLO1011" s="181"/>
      <c r="FLP1011" s="181"/>
      <c r="FLQ1011" s="181"/>
      <c r="FLR1011" s="181"/>
      <c r="FLS1011" s="181"/>
      <c r="FLT1011" s="181"/>
      <c r="FLU1011" s="181"/>
      <c r="FLV1011" s="181"/>
      <c r="FLW1011" s="181"/>
      <c r="FLX1011" s="181"/>
      <c r="FLY1011" s="181"/>
      <c r="FLZ1011" s="181"/>
      <c r="FMA1011" s="181"/>
      <c r="FMB1011" s="181"/>
      <c r="FMC1011" s="181"/>
      <c r="FMD1011" s="181"/>
      <c r="FME1011" s="181"/>
      <c r="FMF1011" s="181"/>
      <c r="FMG1011" s="181"/>
      <c r="FMH1011" s="181"/>
      <c r="FMI1011" s="181"/>
      <c r="FMJ1011" s="181"/>
      <c r="FMK1011" s="181"/>
      <c r="FML1011" s="181"/>
      <c r="FMM1011" s="181"/>
      <c r="FMN1011" s="181"/>
      <c r="FMO1011" s="181"/>
      <c r="FMP1011" s="181"/>
      <c r="FMQ1011" s="181"/>
      <c r="FMR1011" s="181"/>
      <c r="FMS1011" s="181"/>
      <c r="FMT1011" s="181"/>
      <c r="FMU1011" s="181"/>
      <c r="FMV1011" s="181"/>
      <c r="FMW1011" s="181"/>
      <c r="FMX1011" s="181"/>
      <c r="FMY1011" s="181"/>
      <c r="FMZ1011" s="181"/>
      <c r="FNA1011" s="181"/>
      <c r="FNB1011" s="181"/>
      <c r="FNC1011" s="181"/>
      <c r="FND1011" s="181"/>
      <c r="FNE1011" s="181"/>
      <c r="FNF1011" s="181"/>
      <c r="FNG1011" s="181"/>
      <c r="FNH1011" s="181"/>
      <c r="FNI1011" s="181"/>
      <c r="FNJ1011" s="181"/>
      <c r="FNK1011" s="181"/>
      <c r="FNL1011" s="181"/>
      <c r="FNM1011" s="181"/>
      <c r="FNN1011" s="181"/>
      <c r="FNO1011" s="181"/>
      <c r="FNP1011" s="181"/>
      <c r="FNQ1011" s="181"/>
      <c r="FNR1011" s="181"/>
      <c r="FNS1011" s="181"/>
      <c r="FNT1011" s="181"/>
      <c r="FNU1011" s="181"/>
      <c r="FNV1011" s="181"/>
      <c r="FNW1011" s="181"/>
      <c r="FNX1011" s="181"/>
      <c r="FNY1011" s="181"/>
      <c r="FNZ1011" s="181"/>
      <c r="FOA1011" s="181"/>
      <c r="FOB1011" s="181"/>
      <c r="FOC1011" s="181"/>
      <c r="FOD1011" s="181"/>
      <c r="FOE1011" s="181"/>
      <c r="FOF1011" s="181"/>
      <c r="FOG1011" s="181"/>
      <c r="FOH1011" s="181"/>
      <c r="FOI1011" s="181"/>
      <c r="FOJ1011" s="181"/>
      <c r="FOK1011" s="181"/>
      <c r="FOL1011" s="181"/>
      <c r="FOM1011" s="181"/>
      <c r="FON1011" s="181"/>
      <c r="FOO1011" s="181"/>
      <c r="FOP1011" s="181"/>
      <c r="FOQ1011" s="181"/>
      <c r="FOR1011" s="181"/>
      <c r="FOS1011" s="181"/>
      <c r="FOT1011" s="181"/>
      <c r="FOU1011" s="181"/>
      <c r="FOV1011" s="181"/>
      <c r="FOW1011" s="181"/>
      <c r="FOX1011" s="181"/>
      <c r="FOY1011" s="181"/>
      <c r="FOZ1011" s="181"/>
      <c r="FPA1011" s="181"/>
      <c r="FPB1011" s="181"/>
      <c r="FPC1011" s="181"/>
      <c r="FPD1011" s="181"/>
      <c r="FPE1011" s="181"/>
      <c r="FPF1011" s="181"/>
      <c r="FPG1011" s="181"/>
      <c r="FPH1011" s="181"/>
      <c r="FPI1011" s="181"/>
      <c r="FPJ1011" s="181"/>
      <c r="FPK1011" s="181"/>
      <c r="FPL1011" s="181"/>
      <c r="FPM1011" s="181"/>
      <c r="FPN1011" s="181"/>
      <c r="FPO1011" s="181"/>
      <c r="FPP1011" s="181"/>
      <c r="FPQ1011" s="181"/>
      <c r="FPR1011" s="181"/>
      <c r="FPS1011" s="181"/>
      <c r="FPT1011" s="181"/>
      <c r="FPU1011" s="181"/>
      <c r="FPV1011" s="181"/>
      <c r="FPW1011" s="181"/>
      <c r="FPX1011" s="181"/>
      <c r="FPY1011" s="181"/>
      <c r="FPZ1011" s="181"/>
      <c r="FQA1011" s="181"/>
      <c r="FQB1011" s="181"/>
      <c r="FQC1011" s="181"/>
      <c r="FQD1011" s="181"/>
      <c r="FQE1011" s="181"/>
      <c r="FQF1011" s="181"/>
      <c r="FQG1011" s="181"/>
      <c r="FQH1011" s="181"/>
      <c r="FQI1011" s="181"/>
      <c r="FQJ1011" s="181"/>
      <c r="FQK1011" s="181"/>
      <c r="FQL1011" s="181"/>
      <c r="FQM1011" s="181"/>
      <c r="FQN1011" s="181"/>
      <c r="FQO1011" s="181"/>
      <c r="FQP1011" s="181"/>
      <c r="FQQ1011" s="181"/>
      <c r="FQR1011" s="181"/>
      <c r="FQS1011" s="181"/>
      <c r="FQT1011" s="181"/>
      <c r="FQU1011" s="181"/>
      <c r="FQV1011" s="181"/>
      <c r="FQW1011" s="181"/>
      <c r="FQX1011" s="181"/>
      <c r="FQY1011" s="181"/>
      <c r="FQZ1011" s="181"/>
      <c r="FRA1011" s="181"/>
      <c r="FRB1011" s="181"/>
      <c r="FRC1011" s="181"/>
      <c r="FRD1011" s="181"/>
      <c r="FRE1011" s="181"/>
      <c r="FRF1011" s="181"/>
      <c r="FRG1011" s="181"/>
      <c r="FRH1011" s="181"/>
      <c r="FRI1011" s="181"/>
      <c r="FRJ1011" s="181"/>
      <c r="FRK1011" s="181"/>
      <c r="FRL1011" s="181"/>
      <c r="FRM1011" s="181"/>
      <c r="FRN1011" s="181"/>
      <c r="FRO1011" s="181"/>
      <c r="FRP1011" s="181"/>
      <c r="FRQ1011" s="181"/>
      <c r="FRR1011" s="181"/>
      <c r="FRS1011" s="181"/>
      <c r="FRT1011" s="181"/>
      <c r="FRU1011" s="181"/>
      <c r="FRV1011" s="181"/>
      <c r="FRW1011" s="181"/>
      <c r="FRX1011" s="181"/>
      <c r="FRY1011" s="181"/>
      <c r="FRZ1011" s="181"/>
      <c r="FSA1011" s="181"/>
      <c r="FSB1011" s="181"/>
      <c r="FSC1011" s="181"/>
      <c r="FSD1011" s="181"/>
      <c r="FSE1011" s="181"/>
      <c r="FSF1011" s="181"/>
      <c r="FSG1011" s="181"/>
      <c r="FSH1011" s="181"/>
      <c r="FSI1011" s="181"/>
      <c r="FSJ1011" s="181"/>
      <c r="FSK1011" s="181"/>
      <c r="FSL1011" s="181"/>
      <c r="FSM1011" s="181"/>
      <c r="FSN1011" s="181"/>
      <c r="FSO1011" s="181"/>
      <c r="FSP1011" s="181"/>
      <c r="FSQ1011" s="181"/>
      <c r="FSR1011" s="181"/>
      <c r="FSS1011" s="181"/>
      <c r="FST1011" s="181"/>
      <c r="FSU1011" s="181"/>
      <c r="FSV1011" s="181"/>
      <c r="FSW1011" s="181"/>
      <c r="FSX1011" s="181"/>
      <c r="FSY1011" s="181"/>
      <c r="FSZ1011" s="181"/>
      <c r="FTA1011" s="181"/>
      <c r="FTB1011" s="181"/>
      <c r="FTC1011" s="181"/>
      <c r="FTD1011" s="181"/>
      <c r="FTE1011" s="181"/>
      <c r="FTF1011" s="181"/>
      <c r="FTG1011" s="181"/>
      <c r="FTH1011" s="181"/>
      <c r="FTI1011" s="181"/>
      <c r="FTJ1011" s="181"/>
      <c r="FTK1011" s="181"/>
      <c r="FTL1011" s="181"/>
      <c r="FTM1011" s="181"/>
      <c r="FTN1011" s="181"/>
      <c r="FTO1011" s="181"/>
      <c r="FTP1011" s="181"/>
      <c r="FTQ1011" s="181"/>
      <c r="FTR1011" s="181"/>
      <c r="FTS1011" s="181"/>
      <c r="FTT1011" s="181"/>
      <c r="FTU1011" s="181"/>
      <c r="FTV1011" s="181"/>
      <c r="FTW1011" s="181"/>
      <c r="FTX1011" s="181"/>
      <c r="FTY1011" s="181"/>
      <c r="FTZ1011" s="181"/>
      <c r="FUA1011" s="181"/>
      <c r="FUB1011" s="181"/>
      <c r="FUC1011" s="181"/>
      <c r="FUD1011" s="181"/>
      <c r="FUE1011" s="181"/>
      <c r="FUF1011" s="181"/>
      <c r="FUG1011" s="181"/>
      <c r="FUH1011" s="181"/>
      <c r="FUI1011" s="181"/>
      <c r="FUJ1011" s="181"/>
      <c r="FUK1011" s="181"/>
      <c r="FUL1011" s="181"/>
      <c r="FUM1011" s="181"/>
      <c r="FUN1011" s="181"/>
      <c r="FUO1011" s="181"/>
      <c r="FUP1011" s="181"/>
      <c r="FUQ1011" s="181"/>
      <c r="FUR1011" s="181"/>
      <c r="FUS1011" s="181"/>
      <c r="FUT1011" s="181"/>
      <c r="FUU1011" s="181"/>
      <c r="FUV1011" s="181"/>
      <c r="FUW1011" s="181"/>
      <c r="FUX1011" s="181"/>
      <c r="FUY1011" s="181"/>
      <c r="FUZ1011" s="181"/>
      <c r="FVA1011" s="181"/>
      <c r="FVB1011" s="181"/>
      <c r="FVC1011" s="181"/>
      <c r="FVD1011" s="181"/>
      <c r="FVE1011" s="181"/>
      <c r="FVF1011" s="181"/>
      <c r="FVG1011" s="181"/>
      <c r="FVH1011" s="181"/>
      <c r="FVI1011" s="181"/>
      <c r="FVJ1011" s="181"/>
      <c r="FVK1011" s="181"/>
      <c r="FVL1011" s="181"/>
      <c r="FVM1011" s="181"/>
      <c r="FVN1011" s="181"/>
      <c r="FVO1011" s="181"/>
      <c r="FVP1011" s="181"/>
      <c r="FVQ1011" s="181"/>
      <c r="FVR1011" s="181"/>
      <c r="FVS1011" s="181"/>
      <c r="FVT1011" s="181"/>
      <c r="FVU1011" s="181"/>
      <c r="FVV1011" s="181"/>
      <c r="FVW1011" s="181"/>
      <c r="FVX1011" s="181"/>
      <c r="FVY1011" s="181"/>
      <c r="FVZ1011" s="181"/>
      <c r="FWA1011" s="181"/>
      <c r="FWB1011" s="181"/>
      <c r="FWC1011" s="181"/>
      <c r="FWD1011" s="181"/>
      <c r="FWE1011" s="181"/>
      <c r="FWF1011" s="181"/>
      <c r="FWG1011" s="181"/>
      <c r="FWH1011" s="181"/>
      <c r="FWI1011" s="181"/>
      <c r="FWJ1011" s="181"/>
      <c r="FWK1011" s="181"/>
      <c r="FWL1011" s="181"/>
      <c r="FWM1011" s="181"/>
      <c r="FWN1011" s="181"/>
      <c r="FWO1011" s="181"/>
      <c r="FWP1011" s="181"/>
      <c r="FWQ1011" s="181"/>
      <c r="FWR1011" s="181"/>
      <c r="FWS1011" s="181"/>
      <c r="FWT1011" s="181"/>
      <c r="FWU1011" s="181"/>
      <c r="FWV1011" s="181"/>
      <c r="FWW1011" s="181"/>
      <c r="FWX1011" s="181"/>
      <c r="FWY1011" s="181"/>
      <c r="FWZ1011" s="181"/>
      <c r="FXA1011" s="181"/>
      <c r="FXB1011" s="181"/>
      <c r="FXC1011" s="181"/>
      <c r="FXD1011" s="181"/>
      <c r="FXE1011" s="181"/>
      <c r="FXF1011" s="181"/>
      <c r="FXG1011" s="181"/>
      <c r="FXH1011" s="181"/>
      <c r="FXI1011" s="181"/>
      <c r="FXJ1011" s="181"/>
      <c r="FXK1011" s="181"/>
      <c r="FXL1011" s="181"/>
      <c r="FXM1011" s="181"/>
      <c r="FXN1011" s="181"/>
      <c r="FXO1011" s="181"/>
      <c r="FXP1011" s="181"/>
      <c r="FXQ1011" s="181"/>
      <c r="FXR1011" s="181"/>
      <c r="FXS1011" s="181"/>
      <c r="FXT1011" s="181"/>
      <c r="FXU1011" s="181"/>
      <c r="FXV1011" s="181"/>
      <c r="FXW1011" s="181"/>
      <c r="FXX1011" s="181"/>
      <c r="FXY1011" s="181"/>
      <c r="FXZ1011" s="181"/>
      <c r="FYA1011" s="181"/>
      <c r="FYB1011" s="181"/>
      <c r="FYC1011" s="181"/>
      <c r="FYD1011" s="181"/>
      <c r="FYE1011" s="181"/>
      <c r="FYF1011" s="181"/>
      <c r="FYG1011" s="181"/>
      <c r="FYH1011" s="181"/>
      <c r="FYI1011" s="181"/>
      <c r="FYJ1011" s="181"/>
      <c r="FYK1011" s="181"/>
      <c r="FYL1011" s="181"/>
      <c r="FYM1011" s="181"/>
      <c r="FYN1011" s="181"/>
      <c r="FYO1011" s="181"/>
      <c r="FYP1011" s="181"/>
      <c r="FYQ1011" s="181"/>
      <c r="FYR1011" s="181"/>
      <c r="FYS1011" s="181"/>
      <c r="FYT1011" s="181"/>
      <c r="FYU1011" s="181"/>
      <c r="FYV1011" s="181"/>
      <c r="FYW1011" s="181"/>
      <c r="FYX1011" s="181"/>
      <c r="FYY1011" s="181"/>
      <c r="FYZ1011" s="181"/>
      <c r="FZA1011" s="181"/>
      <c r="FZB1011" s="181"/>
      <c r="FZC1011" s="181"/>
      <c r="FZD1011" s="181"/>
      <c r="FZE1011" s="181"/>
      <c r="FZF1011" s="181"/>
      <c r="FZG1011" s="181"/>
      <c r="FZH1011" s="181"/>
      <c r="FZI1011" s="181"/>
      <c r="FZJ1011" s="181"/>
      <c r="FZK1011" s="181"/>
      <c r="FZL1011" s="181"/>
      <c r="FZM1011" s="181"/>
      <c r="FZN1011" s="181"/>
      <c r="FZO1011" s="181"/>
      <c r="FZP1011" s="181"/>
      <c r="FZQ1011" s="181"/>
      <c r="FZR1011" s="181"/>
      <c r="FZS1011" s="181"/>
      <c r="FZT1011" s="181"/>
      <c r="FZU1011" s="181"/>
      <c r="FZV1011" s="181"/>
      <c r="FZW1011" s="181"/>
      <c r="FZX1011" s="181"/>
      <c r="FZY1011" s="181"/>
      <c r="FZZ1011" s="181"/>
      <c r="GAA1011" s="181"/>
      <c r="GAB1011" s="181"/>
      <c r="GAC1011" s="181"/>
      <c r="GAD1011" s="181"/>
      <c r="GAE1011" s="181"/>
      <c r="GAF1011" s="181"/>
      <c r="GAG1011" s="181"/>
      <c r="GAH1011" s="181"/>
      <c r="GAI1011" s="181"/>
      <c r="GAJ1011" s="181"/>
      <c r="GAK1011" s="181"/>
      <c r="GAL1011" s="181"/>
      <c r="GAM1011" s="181"/>
      <c r="GAN1011" s="181"/>
      <c r="GAO1011" s="181"/>
      <c r="GAP1011" s="181"/>
      <c r="GAQ1011" s="181"/>
      <c r="GAR1011" s="181"/>
      <c r="GAS1011" s="181"/>
      <c r="GAT1011" s="181"/>
      <c r="GAU1011" s="181"/>
      <c r="GAV1011" s="181"/>
      <c r="GAW1011" s="181"/>
      <c r="GAX1011" s="181"/>
      <c r="GAY1011" s="181"/>
      <c r="GAZ1011" s="181"/>
      <c r="GBA1011" s="181"/>
      <c r="GBB1011" s="181"/>
      <c r="GBC1011" s="181"/>
      <c r="GBD1011" s="181"/>
      <c r="GBE1011" s="181"/>
      <c r="GBF1011" s="181"/>
      <c r="GBG1011" s="181"/>
      <c r="GBH1011" s="181"/>
      <c r="GBI1011" s="181"/>
      <c r="GBJ1011" s="181"/>
      <c r="GBK1011" s="181"/>
      <c r="GBL1011" s="181"/>
      <c r="GBM1011" s="181"/>
      <c r="GBN1011" s="181"/>
      <c r="GBO1011" s="181"/>
      <c r="GBP1011" s="181"/>
      <c r="GBQ1011" s="181"/>
      <c r="GBR1011" s="181"/>
      <c r="GBS1011" s="181"/>
      <c r="GBT1011" s="181"/>
      <c r="GBU1011" s="181"/>
      <c r="GBV1011" s="181"/>
      <c r="GBW1011" s="181"/>
      <c r="GBX1011" s="181"/>
      <c r="GBY1011" s="181"/>
      <c r="GBZ1011" s="181"/>
      <c r="GCA1011" s="181"/>
      <c r="GCB1011" s="181"/>
      <c r="GCC1011" s="181"/>
      <c r="GCD1011" s="181"/>
      <c r="GCE1011" s="181"/>
      <c r="GCF1011" s="181"/>
      <c r="GCG1011" s="181"/>
      <c r="GCH1011" s="181"/>
      <c r="GCI1011" s="181"/>
      <c r="GCJ1011" s="181"/>
      <c r="GCK1011" s="181"/>
      <c r="GCL1011" s="181"/>
      <c r="GCM1011" s="181"/>
      <c r="GCN1011" s="181"/>
      <c r="GCO1011" s="181"/>
      <c r="GCP1011" s="181"/>
      <c r="GCQ1011" s="181"/>
      <c r="GCR1011" s="181"/>
      <c r="GCS1011" s="181"/>
      <c r="GCT1011" s="181"/>
      <c r="GCU1011" s="181"/>
      <c r="GCV1011" s="181"/>
      <c r="GCW1011" s="181"/>
      <c r="GCX1011" s="181"/>
      <c r="GCY1011" s="181"/>
      <c r="GCZ1011" s="181"/>
      <c r="GDA1011" s="181"/>
      <c r="GDB1011" s="181"/>
      <c r="GDC1011" s="181"/>
      <c r="GDD1011" s="181"/>
      <c r="GDE1011" s="181"/>
      <c r="GDF1011" s="181"/>
      <c r="GDG1011" s="181"/>
      <c r="GDH1011" s="181"/>
      <c r="GDI1011" s="181"/>
      <c r="GDJ1011" s="181"/>
      <c r="GDK1011" s="181"/>
      <c r="GDL1011" s="181"/>
      <c r="GDM1011" s="181"/>
      <c r="GDN1011" s="181"/>
      <c r="GDO1011" s="181"/>
      <c r="GDP1011" s="181"/>
      <c r="GDQ1011" s="181"/>
      <c r="GDR1011" s="181"/>
      <c r="GDS1011" s="181"/>
      <c r="GDT1011" s="181"/>
      <c r="GDU1011" s="181"/>
      <c r="GDV1011" s="181"/>
      <c r="GDW1011" s="181"/>
      <c r="GDX1011" s="181"/>
      <c r="GDY1011" s="181"/>
      <c r="GDZ1011" s="181"/>
      <c r="GEA1011" s="181"/>
      <c r="GEB1011" s="181"/>
      <c r="GEC1011" s="181"/>
      <c r="GED1011" s="181"/>
      <c r="GEE1011" s="181"/>
      <c r="GEF1011" s="181"/>
      <c r="GEG1011" s="181"/>
      <c r="GEH1011" s="181"/>
      <c r="GEI1011" s="181"/>
      <c r="GEJ1011" s="181"/>
      <c r="GEK1011" s="181"/>
      <c r="GEL1011" s="181"/>
      <c r="GEM1011" s="181"/>
      <c r="GEN1011" s="181"/>
      <c r="GEO1011" s="181"/>
      <c r="GEP1011" s="181"/>
      <c r="GEQ1011" s="181"/>
      <c r="GER1011" s="181"/>
      <c r="GES1011" s="181"/>
      <c r="GET1011" s="181"/>
      <c r="GEU1011" s="181"/>
      <c r="GEV1011" s="181"/>
      <c r="GEW1011" s="181"/>
      <c r="GEX1011" s="181"/>
      <c r="GEY1011" s="181"/>
      <c r="GEZ1011" s="181"/>
      <c r="GFA1011" s="181"/>
      <c r="GFB1011" s="181"/>
      <c r="GFC1011" s="181"/>
      <c r="GFD1011" s="181"/>
      <c r="GFE1011" s="181"/>
      <c r="GFF1011" s="181"/>
      <c r="GFG1011" s="181"/>
      <c r="GFH1011" s="181"/>
      <c r="GFI1011" s="181"/>
      <c r="GFJ1011" s="181"/>
      <c r="GFK1011" s="181"/>
      <c r="GFL1011" s="181"/>
      <c r="GFM1011" s="181"/>
      <c r="GFN1011" s="181"/>
      <c r="GFO1011" s="181"/>
      <c r="GFP1011" s="181"/>
      <c r="GFQ1011" s="181"/>
      <c r="GFR1011" s="181"/>
      <c r="GFS1011" s="181"/>
      <c r="GFT1011" s="181"/>
      <c r="GFU1011" s="181"/>
      <c r="GFV1011" s="181"/>
      <c r="GFW1011" s="181"/>
      <c r="GFX1011" s="181"/>
      <c r="GFY1011" s="181"/>
      <c r="GFZ1011" s="181"/>
      <c r="GGA1011" s="181"/>
      <c r="GGB1011" s="181"/>
      <c r="GGC1011" s="181"/>
      <c r="GGD1011" s="181"/>
      <c r="GGE1011" s="181"/>
      <c r="GGF1011" s="181"/>
      <c r="GGG1011" s="181"/>
      <c r="GGH1011" s="181"/>
      <c r="GGI1011" s="181"/>
      <c r="GGJ1011" s="181"/>
      <c r="GGK1011" s="181"/>
      <c r="GGL1011" s="181"/>
      <c r="GGM1011" s="181"/>
      <c r="GGN1011" s="181"/>
      <c r="GGO1011" s="181"/>
      <c r="GGP1011" s="181"/>
      <c r="GGQ1011" s="181"/>
      <c r="GGR1011" s="181"/>
      <c r="GGS1011" s="181"/>
      <c r="GGT1011" s="181"/>
      <c r="GGU1011" s="181"/>
      <c r="GGV1011" s="181"/>
      <c r="GGW1011" s="181"/>
      <c r="GGX1011" s="181"/>
      <c r="GGY1011" s="181"/>
      <c r="GGZ1011" s="181"/>
      <c r="GHA1011" s="181"/>
      <c r="GHB1011" s="181"/>
      <c r="GHC1011" s="181"/>
      <c r="GHD1011" s="181"/>
      <c r="GHE1011" s="181"/>
      <c r="GHF1011" s="181"/>
      <c r="GHG1011" s="181"/>
      <c r="GHH1011" s="181"/>
      <c r="GHI1011" s="181"/>
      <c r="GHJ1011" s="181"/>
      <c r="GHK1011" s="181"/>
      <c r="GHL1011" s="181"/>
      <c r="GHM1011" s="181"/>
      <c r="GHN1011" s="181"/>
      <c r="GHO1011" s="181"/>
      <c r="GHP1011" s="181"/>
      <c r="GHQ1011" s="181"/>
      <c r="GHR1011" s="181"/>
      <c r="GHS1011" s="181"/>
      <c r="GHT1011" s="181"/>
      <c r="GHU1011" s="181"/>
      <c r="GHV1011" s="181"/>
      <c r="GHW1011" s="181"/>
      <c r="GHX1011" s="181"/>
      <c r="GHY1011" s="181"/>
      <c r="GHZ1011" s="181"/>
      <c r="GIA1011" s="181"/>
      <c r="GIB1011" s="181"/>
      <c r="GIC1011" s="181"/>
      <c r="GID1011" s="181"/>
      <c r="GIE1011" s="181"/>
      <c r="GIF1011" s="181"/>
      <c r="GIG1011" s="181"/>
      <c r="GIH1011" s="181"/>
      <c r="GII1011" s="181"/>
      <c r="GIJ1011" s="181"/>
      <c r="GIK1011" s="181"/>
      <c r="GIL1011" s="181"/>
      <c r="GIM1011" s="181"/>
      <c r="GIN1011" s="181"/>
      <c r="GIO1011" s="181"/>
      <c r="GIP1011" s="181"/>
      <c r="GIQ1011" s="181"/>
      <c r="GIR1011" s="181"/>
      <c r="GIS1011" s="181"/>
      <c r="GIT1011" s="181"/>
      <c r="GIU1011" s="181"/>
      <c r="GIV1011" s="181"/>
      <c r="GIW1011" s="181"/>
      <c r="GIX1011" s="181"/>
      <c r="GIY1011" s="181"/>
      <c r="GIZ1011" s="181"/>
      <c r="GJA1011" s="181"/>
      <c r="GJB1011" s="181"/>
      <c r="GJC1011" s="181"/>
      <c r="GJD1011" s="181"/>
      <c r="GJE1011" s="181"/>
      <c r="GJF1011" s="181"/>
      <c r="GJG1011" s="181"/>
      <c r="GJH1011" s="181"/>
      <c r="GJI1011" s="181"/>
      <c r="GJJ1011" s="181"/>
      <c r="GJK1011" s="181"/>
      <c r="GJL1011" s="181"/>
      <c r="GJM1011" s="181"/>
      <c r="GJN1011" s="181"/>
      <c r="GJO1011" s="181"/>
      <c r="GJP1011" s="181"/>
      <c r="GJQ1011" s="181"/>
      <c r="GJR1011" s="181"/>
      <c r="GJS1011" s="181"/>
      <c r="GJT1011" s="181"/>
      <c r="GJU1011" s="181"/>
      <c r="GJV1011" s="181"/>
      <c r="GJW1011" s="181"/>
      <c r="GJX1011" s="181"/>
      <c r="GJY1011" s="181"/>
      <c r="GJZ1011" s="181"/>
      <c r="GKA1011" s="181"/>
      <c r="GKB1011" s="181"/>
      <c r="GKC1011" s="181"/>
      <c r="GKD1011" s="181"/>
      <c r="GKE1011" s="181"/>
      <c r="GKF1011" s="181"/>
      <c r="GKG1011" s="181"/>
      <c r="GKH1011" s="181"/>
      <c r="GKI1011" s="181"/>
      <c r="GKJ1011" s="181"/>
      <c r="GKK1011" s="181"/>
      <c r="GKL1011" s="181"/>
      <c r="GKM1011" s="181"/>
      <c r="GKN1011" s="181"/>
      <c r="GKO1011" s="181"/>
      <c r="GKP1011" s="181"/>
      <c r="GKQ1011" s="181"/>
      <c r="GKR1011" s="181"/>
      <c r="GKS1011" s="181"/>
      <c r="GKT1011" s="181"/>
      <c r="GKU1011" s="181"/>
      <c r="GKV1011" s="181"/>
      <c r="GKW1011" s="181"/>
      <c r="GKX1011" s="181"/>
      <c r="GKY1011" s="181"/>
      <c r="GKZ1011" s="181"/>
      <c r="GLA1011" s="181"/>
      <c r="GLB1011" s="181"/>
      <c r="GLC1011" s="181"/>
      <c r="GLD1011" s="181"/>
      <c r="GLE1011" s="181"/>
      <c r="GLF1011" s="181"/>
      <c r="GLG1011" s="181"/>
      <c r="GLH1011" s="181"/>
      <c r="GLI1011" s="181"/>
      <c r="GLJ1011" s="181"/>
      <c r="GLK1011" s="181"/>
      <c r="GLL1011" s="181"/>
      <c r="GLM1011" s="181"/>
      <c r="GLN1011" s="181"/>
      <c r="GLO1011" s="181"/>
      <c r="GLP1011" s="181"/>
      <c r="GLQ1011" s="181"/>
      <c r="GLR1011" s="181"/>
      <c r="GLS1011" s="181"/>
      <c r="GLT1011" s="181"/>
      <c r="GLU1011" s="181"/>
      <c r="GLV1011" s="181"/>
      <c r="GLW1011" s="181"/>
      <c r="GLX1011" s="181"/>
      <c r="GLY1011" s="181"/>
      <c r="GLZ1011" s="181"/>
      <c r="GMA1011" s="181"/>
      <c r="GMB1011" s="181"/>
      <c r="GMC1011" s="181"/>
      <c r="GMD1011" s="181"/>
      <c r="GME1011" s="181"/>
      <c r="GMF1011" s="181"/>
      <c r="GMG1011" s="181"/>
      <c r="GMH1011" s="181"/>
      <c r="GMI1011" s="181"/>
      <c r="GMJ1011" s="181"/>
      <c r="GMK1011" s="181"/>
      <c r="GML1011" s="181"/>
      <c r="GMM1011" s="181"/>
      <c r="GMN1011" s="181"/>
      <c r="GMO1011" s="181"/>
      <c r="GMP1011" s="181"/>
      <c r="GMQ1011" s="181"/>
      <c r="GMR1011" s="181"/>
      <c r="GMS1011" s="181"/>
      <c r="GMT1011" s="181"/>
      <c r="GMU1011" s="181"/>
      <c r="GMV1011" s="181"/>
      <c r="GMW1011" s="181"/>
      <c r="GMX1011" s="181"/>
      <c r="GMY1011" s="181"/>
      <c r="GMZ1011" s="181"/>
      <c r="GNA1011" s="181"/>
      <c r="GNB1011" s="181"/>
      <c r="GNC1011" s="181"/>
      <c r="GND1011" s="181"/>
      <c r="GNE1011" s="181"/>
      <c r="GNF1011" s="181"/>
      <c r="GNG1011" s="181"/>
      <c r="GNH1011" s="181"/>
      <c r="GNI1011" s="181"/>
      <c r="GNJ1011" s="181"/>
      <c r="GNK1011" s="181"/>
      <c r="GNL1011" s="181"/>
      <c r="GNM1011" s="181"/>
      <c r="GNN1011" s="181"/>
      <c r="GNO1011" s="181"/>
      <c r="GNP1011" s="181"/>
      <c r="GNQ1011" s="181"/>
      <c r="GNR1011" s="181"/>
      <c r="GNS1011" s="181"/>
      <c r="GNT1011" s="181"/>
      <c r="GNU1011" s="181"/>
      <c r="GNV1011" s="181"/>
      <c r="GNW1011" s="181"/>
      <c r="GNX1011" s="181"/>
      <c r="GNY1011" s="181"/>
      <c r="GNZ1011" s="181"/>
      <c r="GOA1011" s="181"/>
      <c r="GOB1011" s="181"/>
      <c r="GOC1011" s="181"/>
      <c r="GOD1011" s="181"/>
      <c r="GOE1011" s="181"/>
      <c r="GOF1011" s="181"/>
      <c r="GOG1011" s="181"/>
      <c r="GOH1011" s="181"/>
      <c r="GOI1011" s="181"/>
      <c r="GOJ1011" s="181"/>
      <c r="GOK1011" s="181"/>
      <c r="GOL1011" s="181"/>
      <c r="GOM1011" s="181"/>
      <c r="GON1011" s="181"/>
      <c r="GOO1011" s="181"/>
      <c r="GOP1011" s="181"/>
      <c r="GOQ1011" s="181"/>
      <c r="GOR1011" s="181"/>
      <c r="GOS1011" s="181"/>
      <c r="GOT1011" s="181"/>
      <c r="GOU1011" s="181"/>
      <c r="GOV1011" s="181"/>
      <c r="GOW1011" s="181"/>
      <c r="GOX1011" s="181"/>
      <c r="GOY1011" s="181"/>
      <c r="GOZ1011" s="181"/>
      <c r="GPA1011" s="181"/>
      <c r="GPB1011" s="181"/>
      <c r="GPC1011" s="181"/>
      <c r="GPD1011" s="181"/>
      <c r="GPE1011" s="181"/>
      <c r="GPF1011" s="181"/>
      <c r="GPG1011" s="181"/>
      <c r="GPH1011" s="181"/>
      <c r="GPI1011" s="181"/>
      <c r="GPJ1011" s="181"/>
      <c r="GPK1011" s="181"/>
      <c r="GPL1011" s="181"/>
      <c r="GPM1011" s="181"/>
      <c r="GPN1011" s="181"/>
      <c r="GPO1011" s="181"/>
      <c r="GPP1011" s="181"/>
      <c r="GPQ1011" s="181"/>
      <c r="GPR1011" s="181"/>
      <c r="GPS1011" s="181"/>
      <c r="GPT1011" s="181"/>
      <c r="GPU1011" s="181"/>
      <c r="GPV1011" s="181"/>
      <c r="GPW1011" s="181"/>
      <c r="GPX1011" s="181"/>
      <c r="GPY1011" s="181"/>
      <c r="GPZ1011" s="181"/>
      <c r="GQA1011" s="181"/>
      <c r="GQB1011" s="181"/>
      <c r="GQC1011" s="181"/>
      <c r="GQD1011" s="181"/>
      <c r="GQE1011" s="181"/>
      <c r="GQF1011" s="181"/>
      <c r="GQG1011" s="181"/>
      <c r="GQH1011" s="181"/>
      <c r="GQI1011" s="181"/>
      <c r="GQJ1011" s="181"/>
      <c r="GQK1011" s="181"/>
      <c r="GQL1011" s="181"/>
      <c r="GQM1011" s="181"/>
      <c r="GQN1011" s="181"/>
      <c r="GQO1011" s="181"/>
      <c r="GQP1011" s="181"/>
      <c r="GQQ1011" s="181"/>
      <c r="GQR1011" s="181"/>
      <c r="GQS1011" s="181"/>
      <c r="GQT1011" s="181"/>
      <c r="GQU1011" s="181"/>
      <c r="GQV1011" s="181"/>
      <c r="GQW1011" s="181"/>
      <c r="GQX1011" s="181"/>
      <c r="GQY1011" s="181"/>
      <c r="GQZ1011" s="181"/>
      <c r="GRA1011" s="181"/>
      <c r="GRB1011" s="181"/>
      <c r="GRC1011" s="181"/>
      <c r="GRD1011" s="181"/>
      <c r="GRE1011" s="181"/>
      <c r="GRF1011" s="181"/>
      <c r="GRG1011" s="181"/>
      <c r="GRH1011" s="181"/>
      <c r="GRI1011" s="181"/>
      <c r="GRJ1011" s="181"/>
      <c r="GRK1011" s="181"/>
      <c r="GRL1011" s="181"/>
      <c r="GRM1011" s="181"/>
      <c r="GRN1011" s="181"/>
      <c r="GRO1011" s="181"/>
      <c r="GRP1011" s="181"/>
      <c r="GRQ1011" s="181"/>
      <c r="GRR1011" s="181"/>
      <c r="GRS1011" s="181"/>
      <c r="GRT1011" s="181"/>
      <c r="GRU1011" s="181"/>
      <c r="GRV1011" s="181"/>
      <c r="GRW1011" s="181"/>
      <c r="GRX1011" s="181"/>
      <c r="GRY1011" s="181"/>
      <c r="GRZ1011" s="181"/>
      <c r="GSA1011" s="181"/>
      <c r="GSB1011" s="181"/>
      <c r="GSC1011" s="181"/>
      <c r="GSD1011" s="181"/>
      <c r="GSE1011" s="181"/>
      <c r="GSF1011" s="181"/>
      <c r="GSG1011" s="181"/>
      <c r="GSH1011" s="181"/>
      <c r="GSI1011" s="181"/>
      <c r="GSJ1011" s="181"/>
      <c r="GSK1011" s="181"/>
      <c r="GSL1011" s="181"/>
      <c r="GSM1011" s="181"/>
      <c r="GSN1011" s="181"/>
      <c r="GSO1011" s="181"/>
      <c r="GSP1011" s="181"/>
      <c r="GSQ1011" s="181"/>
      <c r="GSR1011" s="181"/>
      <c r="GSS1011" s="181"/>
      <c r="GST1011" s="181"/>
      <c r="GSU1011" s="181"/>
      <c r="GSV1011" s="181"/>
      <c r="GSW1011" s="181"/>
      <c r="GSX1011" s="181"/>
      <c r="GSY1011" s="181"/>
      <c r="GSZ1011" s="181"/>
      <c r="GTA1011" s="181"/>
      <c r="GTB1011" s="181"/>
      <c r="GTC1011" s="181"/>
      <c r="GTD1011" s="181"/>
      <c r="GTE1011" s="181"/>
      <c r="GTF1011" s="181"/>
      <c r="GTG1011" s="181"/>
      <c r="GTH1011" s="181"/>
      <c r="GTI1011" s="181"/>
      <c r="GTJ1011" s="181"/>
      <c r="GTK1011" s="181"/>
      <c r="GTL1011" s="181"/>
      <c r="GTM1011" s="181"/>
      <c r="GTN1011" s="181"/>
      <c r="GTO1011" s="181"/>
      <c r="GTP1011" s="181"/>
      <c r="GTQ1011" s="181"/>
      <c r="GTR1011" s="181"/>
      <c r="GTS1011" s="181"/>
      <c r="GTT1011" s="181"/>
      <c r="GTU1011" s="181"/>
      <c r="GTV1011" s="181"/>
      <c r="GTW1011" s="181"/>
      <c r="GTX1011" s="181"/>
      <c r="GTY1011" s="181"/>
      <c r="GTZ1011" s="181"/>
      <c r="GUA1011" s="181"/>
      <c r="GUB1011" s="181"/>
      <c r="GUC1011" s="181"/>
      <c r="GUD1011" s="181"/>
      <c r="GUE1011" s="181"/>
      <c r="GUF1011" s="181"/>
      <c r="GUG1011" s="181"/>
      <c r="GUH1011" s="181"/>
      <c r="GUI1011" s="181"/>
      <c r="GUJ1011" s="181"/>
      <c r="GUK1011" s="181"/>
      <c r="GUL1011" s="181"/>
      <c r="GUM1011" s="181"/>
      <c r="GUN1011" s="181"/>
      <c r="GUO1011" s="181"/>
      <c r="GUP1011" s="181"/>
      <c r="GUQ1011" s="181"/>
      <c r="GUR1011" s="181"/>
      <c r="GUS1011" s="181"/>
      <c r="GUT1011" s="181"/>
      <c r="GUU1011" s="181"/>
      <c r="GUV1011" s="181"/>
      <c r="GUW1011" s="181"/>
      <c r="GUX1011" s="181"/>
      <c r="GUY1011" s="181"/>
      <c r="GUZ1011" s="181"/>
      <c r="GVA1011" s="181"/>
      <c r="GVB1011" s="181"/>
      <c r="GVC1011" s="181"/>
      <c r="GVD1011" s="181"/>
      <c r="GVE1011" s="181"/>
      <c r="GVF1011" s="181"/>
      <c r="GVG1011" s="181"/>
      <c r="GVH1011" s="181"/>
      <c r="GVI1011" s="181"/>
      <c r="GVJ1011" s="181"/>
      <c r="GVK1011" s="181"/>
      <c r="GVL1011" s="181"/>
      <c r="GVM1011" s="181"/>
      <c r="GVN1011" s="181"/>
      <c r="GVO1011" s="181"/>
      <c r="GVP1011" s="181"/>
      <c r="GVQ1011" s="181"/>
      <c r="GVR1011" s="181"/>
      <c r="GVS1011" s="181"/>
      <c r="GVT1011" s="181"/>
      <c r="GVU1011" s="181"/>
      <c r="GVV1011" s="181"/>
      <c r="GVW1011" s="181"/>
      <c r="GVX1011" s="181"/>
      <c r="GVY1011" s="181"/>
      <c r="GVZ1011" s="181"/>
      <c r="GWA1011" s="181"/>
      <c r="GWB1011" s="181"/>
      <c r="GWC1011" s="181"/>
      <c r="GWD1011" s="181"/>
      <c r="GWE1011" s="181"/>
      <c r="GWF1011" s="181"/>
      <c r="GWG1011" s="181"/>
      <c r="GWH1011" s="181"/>
      <c r="GWI1011" s="181"/>
      <c r="GWJ1011" s="181"/>
      <c r="GWK1011" s="181"/>
      <c r="GWL1011" s="181"/>
      <c r="GWM1011" s="181"/>
      <c r="GWN1011" s="181"/>
      <c r="GWO1011" s="181"/>
      <c r="GWP1011" s="181"/>
      <c r="GWQ1011" s="181"/>
      <c r="GWR1011" s="181"/>
      <c r="GWS1011" s="181"/>
      <c r="GWT1011" s="181"/>
      <c r="GWU1011" s="181"/>
      <c r="GWV1011" s="181"/>
      <c r="GWW1011" s="181"/>
      <c r="GWX1011" s="181"/>
      <c r="GWY1011" s="181"/>
      <c r="GWZ1011" s="181"/>
      <c r="GXA1011" s="181"/>
      <c r="GXB1011" s="181"/>
      <c r="GXC1011" s="181"/>
      <c r="GXD1011" s="181"/>
      <c r="GXE1011" s="181"/>
      <c r="GXF1011" s="181"/>
      <c r="GXG1011" s="181"/>
      <c r="GXH1011" s="181"/>
      <c r="GXI1011" s="181"/>
      <c r="GXJ1011" s="181"/>
      <c r="GXK1011" s="181"/>
      <c r="GXL1011" s="181"/>
      <c r="GXM1011" s="181"/>
      <c r="GXN1011" s="181"/>
      <c r="GXO1011" s="181"/>
      <c r="GXP1011" s="181"/>
      <c r="GXQ1011" s="181"/>
      <c r="GXR1011" s="181"/>
      <c r="GXS1011" s="181"/>
      <c r="GXT1011" s="181"/>
      <c r="GXU1011" s="181"/>
      <c r="GXV1011" s="181"/>
      <c r="GXW1011" s="181"/>
      <c r="GXX1011" s="181"/>
      <c r="GXY1011" s="181"/>
      <c r="GXZ1011" s="181"/>
      <c r="GYA1011" s="181"/>
      <c r="GYB1011" s="181"/>
      <c r="GYC1011" s="181"/>
      <c r="GYD1011" s="181"/>
      <c r="GYE1011" s="181"/>
      <c r="GYF1011" s="181"/>
      <c r="GYG1011" s="181"/>
      <c r="GYH1011" s="181"/>
      <c r="GYI1011" s="181"/>
      <c r="GYJ1011" s="181"/>
      <c r="GYK1011" s="181"/>
      <c r="GYL1011" s="181"/>
      <c r="GYM1011" s="181"/>
      <c r="GYN1011" s="181"/>
      <c r="GYO1011" s="181"/>
      <c r="GYP1011" s="181"/>
      <c r="GYQ1011" s="181"/>
      <c r="GYR1011" s="181"/>
      <c r="GYS1011" s="181"/>
      <c r="GYT1011" s="181"/>
      <c r="GYU1011" s="181"/>
      <c r="GYV1011" s="181"/>
      <c r="GYW1011" s="181"/>
      <c r="GYX1011" s="181"/>
      <c r="GYY1011" s="181"/>
      <c r="GYZ1011" s="181"/>
      <c r="GZA1011" s="181"/>
      <c r="GZB1011" s="181"/>
      <c r="GZC1011" s="181"/>
      <c r="GZD1011" s="181"/>
      <c r="GZE1011" s="181"/>
      <c r="GZF1011" s="181"/>
      <c r="GZG1011" s="181"/>
      <c r="GZH1011" s="181"/>
      <c r="GZI1011" s="181"/>
      <c r="GZJ1011" s="181"/>
      <c r="GZK1011" s="181"/>
      <c r="GZL1011" s="181"/>
      <c r="GZM1011" s="181"/>
      <c r="GZN1011" s="181"/>
      <c r="GZO1011" s="181"/>
      <c r="GZP1011" s="181"/>
      <c r="GZQ1011" s="181"/>
      <c r="GZR1011" s="181"/>
      <c r="GZS1011" s="181"/>
      <c r="GZT1011" s="181"/>
      <c r="GZU1011" s="181"/>
      <c r="GZV1011" s="181"/>
      <c r="GZW1011" s="181"/>
      <c r="GZX1011" s="181"/>
      <c r="GZY1011" s="181"/>
      <c r="GZZ1011" s="181"/>
      <c r="HAA1011" s="181"/>
      <c r="HAB1011" s="181"/>
      <c r="HAC1011" s="181"/>
      <c r="HAD1011" s="181"/>
      <c r="HAE1011" s="181"/>
      <c r="HAF1011" s="181"/>
      <c r="HAG1011" s="181"/>
      <c r="HAH1011" s="181"/>
      <c r="HAI1011" s="181"/>
      <c r="HAJ1011" s="181"/>
      <c r="HAK1011" s="181"/>
      <c r="HAL1011" s="181"/>
      <c r="HAM1011" s="181"/>
      <c r="HAN1011" s="181"/>
      <c r="HAO1011" s="181"/>
      <c r="HAP1011" s="181"/>
      <c r="HAQ1011" s="181"/>
      <c r="HAR1011" s="181"/>
      <c r="HAS1011" s="181"/>
      <c r="HAT1011" s="181"/>
      <c r="HAU1011" s="181"/>
      <c r="HAV1011" s="181"/>
      <c r="HAW1011" s="181"/>
      <c r="HAX1011" s="181"/>
      <c r="HAY1011" s="181"/>
      <c r="HAZ1011" s="181"/>
      <c r="HBA1011" s="181"/>
      <c r="HBB1011" s="181"/>
      <c r="HBC1011" s="181"/>
      <c r="HBD1011" s="181"/>
      <c r="HBE1011" s="181"/>
      <c r="HBF1011" s="181"/>
      <c r="HBG1011" s="181"/>
      <c r="HBH1011" s="181"/>
      <c r="HBI1011" s="181"/>
      <c r="HBJ1011" s="181"/>
      <c r="HBK1011" s="181"/>
      <c r="HBL1011" s="181"/>
      <c r="HBM1011" s="181"/>
      <c r="HBN1011" s="181"/>
      <c r="HBO1011" s="181"/>
      <c r="HBP1011" s="181"/>
      <c r="HBQ1011" s="181"/>
      <c r="HBR1011" s="181"/>
      <c r="HBS1011" s="181"/>
      <c r="HBT1011" s="181"/>
      <c r="HBU1011" s="181"/>
      <c r="HBV1011" s="181"/>
      <c r="HBW1011" s="181"/>
      <c r="HBX1011" s="181"/>
      <c r="HBY1011" s="181"/>
      <c r="HBZ1011" s="181"/>
      <c r="HCA1011" s="181"/>
      <c r="HCB1011" s="181"/>
      <c r="HCC1011" s="181"/>
      <c r="HCD1011" s="181"/>
      <c r="HCE1011" s="181"/>
      <c r="HCF1011" s="181"/>
      <c r="HCG1011" s="181"/>
      <c r="HCH1011" s="181"/>
      <c r="HCI1011" s="181"/>
      <c r="HCJ1011" s="181"/>
      <c r="HCK1011" s="181"/>
      <c r="HCL1011" s="181"/>
      <c r="HCM1011" s="181"/>
      <c r="HCN1011" s="181"/>
      <c r="HCO1011" s="181"/>
      <c r="HCP1011" s="181"/>
      <c r="HCQ1011" s="181"/>
      <c r="HCR1011" s="181"/>
      <c r="HCS1011" s="181"/>
      <c r="HCT1011" s="181"/>
      <c r="HCU1011" s="181"/>
      <c r="HCV1011" s="181"/>
      <c r="HCW1011" s="181"/>
      <c r="HCX1011" s="181"/>
      <c r="HCY1011" s="181"/>
      <c r="HCZ1011" s="181"/>
      <c r="HDA1011" s="181"/>
      <c r="HDB1011" s="181"/>
      <c r="HDC1011" s="181"/>
      <c r="HDD1011" s="181"/>
      <c r="HDE1011" s="181"/>
      <c r="HDF1011" s="181"/>
      <c r="HDG1011" s="181"/>
      <c r="HDH1011" s="181"/>
      <c r="HDI1011" s="181"/>
      <c r="HDJ1011" s="181"/>
      <c r="HDK1011" s="181"/>
      <c r="HDL1011" s="181"/>
      <c r="HDM1011" s="181"/>
      <c r="HDN1011" s="181"/>
      <c r="HDO1011" s="181"/>
      <c r="HDP1011" s="181"/>
      <c r="HDQ1011" s="181"/>
      <c r="HDR1011" s="181"/>
      <c r="HDS1011" s="181"/>
      <c r="HDT1011" s="181"/>
      <c r="HDU1011" s="181"/>
      <c r="HDV1011" s="181"/>
      <c r="HDW1011" s="181"/>
      <c r="HDX1011" s="181"/>
      <c r="HDY1011" s="181"/>
      <c r="HDZ1011" s="181"/>
      <c r="HEA1011" s="181"/>
      <c r="HEB1011" s="181"/>
      <c r="HEC1011" s="181"/>
      <c r="HED1011" s="181"/>
      <c r="HEE1011" s="181"/>
      <c r="HEF1011" s="181"/>
      <c r="HEG1011" s="181"/>
      <c r="HEH1011" s="181"/>
      <c r="HEI1011" s="181"/>
      <c r="HEJ1011" s="181"/>
      <c r="HEK1011" s="181"/>
      <c r="HEL1011" s="181"/>
      <c r="HEM1011" s="181"/>
      <c r="HEN1011" s="181"/>
      <c r="HEO1011" s="181"/>
      <c r="HEP1011" s="181"/>
      <c r="HEQ1011" s="181"/>
      <c r="HER1011" s="181"/>
      <c r="HES1011" s="181"/>
      <c r="HET1011" s="181"/>
      <c r="HEU1011" s="181"/>
      <c r="HEV1011" s="181"/>
      <c r="HEW1011" s="181"/>
      <c r="HEX1011" s="181"/>
      <c r="HEY1011" s="181"/>
      <c r="HEZ1011" s="181"/>
      <c r="HFA1011" s="181"/>
      <c r="HFB1011" s="181"/>
      <c r="HFC1011" s="181"/>
      <c r="HFD1011" s="181"/>
      <c r="HFE1011" s="181"/>
      <c r="HFF1011" s="181"/>
      <c r="HFG1011" s="181"/>
      <c r="HFH1011" s="181"/>
      <c r="HFI1011" s="181"/>
      <c r="HFJ1011" s="181"/>
      <c r="HFK1011" s="181"/>
      <c r="HFL1011" s="181"/>
      <c r="HFM1011" s="181"/>
      <c r="HFN1011" s="181"/>
      <c r="HFO1011" s="181"/>
      <c r="HFP1011" s="181"/>
      <c r="HFQ1011" s="181"/>
      <c r="HFR1011" s="181"/>
      <c r="HFS1011" s="181"/>
      <c r="HFT1011" s="181"/>
      <c r="HFU1011" s="181"/>
      <c r="HFV1011" s="181"/>
      <c r="HFW1011" s="181"/>
      <c r="HFX1011" s="181"/>
      <c r="HFY1011" s="181"/>
      <c r="HFZ1011" s="181"/>
      <c r="HGA1011" s="181"/>
      <c r="HGB1011" s="181"/>
      <c r="HGC1011" s="181"/>
      <c r="HGD1011" s="181"/>
      <c r="HGE1011" s="181"/>
      <c r="HGF1011" s="181"/>
      <c r="HGG1011" s="181"/>
      <c r="HGH1011" s="181"/>
      <c r="HGI1011" s="181"/>
      <c r="HGJ1011" s="181"/>
      <c r="HGK1011" s="181"/>
      <c r="HGL1011" s="181"/>
      <c r="HGM1011" s="181"/>
      <c r="HGN1011" s="181"/>
      <c r="HGO1011" s="181"/>
      <c r="HGP1011" s="181"/>
      <c r="HGQ1011" s="181"/>
      <c r="HGR1011" s="181"/>
      <c r="HGS1011" s="181"/>
      <c r="HGT1011" s="181"/>
      <c r="HGU1011" s="181"/>
      <c r="HGV1011" s="181"/>
      <c r="HGW1011" s="181"/>
      <c r="HGX1011" s="181"/>
      <c r="HGY1011" s="181"/>
      <c r="HGZ1011" s="181"/>
      <c r="HHA1011" s="181"/>
      <c r="HHB1011" s="181"/>
      <c r="HHC1011" s="181"/>
      <c r="HHD1011" s="181"/>
      <c r="HHE1011" s="181"/>
      <c r="HHF1011" s="181"/>
      <c r="HHG1011" s="181"/>
      <c r="HHH1011" s="181"/>
      <c r="HHI1011" s="181"/>
      <c r="HHJ1011" s="181"/>
      <c r="HHK1011" s="181"/>
      <c r="HHL1011" s="181"/>
      <c r="HHM1011" s="181"/>
      <c r="HHN1011" s="181"/>
      <c r="HHO1011" s="181"/>
      <c r="HHP1011" s="181"/>
      <c r="HHQ1011" s="181"/>
      <c r="HHR1011" s="181"/>
      <c r="HHS1011" s="181"/>
      <c r="HHT1011" s="181"/>
      <c r="HHU1011" s="181"/>
      <c r="HHV1011" s="181"/>
      <c r="HHW1011" s="181"/>
      <c r="HHX1011" s="181"/>
      <c r="HHY1011" s="181"/>
      <c r="HHZ1011" s="181"/>
      <c r="HIA1011" s="181"/>
      <c r="HIB1011" s="181"/>
      <c r="HIC1011" s="181"/>
      <c r="HID1011" s="181"/>
      <c r="HIE1011" s="181"/>
      <c r="HIF1011" s="181"/>
      <c r="HIG1011" s="181"/>
      <c r="HIH1011" s="181"/>
      <c r="HII1011" s="181"/>
      <c r="HIJ1011" s="181"/>
      <c r="HIK1011" s="181"/>
      <c r="HIL1011" s="181"/>
      <c r="HIM1011" s="181"/>
      <c r="HIN1011" s="181"/>
      <c r="HIO1011" s="181"/>
      <c r="HIP1011" s="181"/>
      <c r="HIQ1011" s="181"/>
      <c r="HIR1011" s="181"/>
      <c r="HIS1011" s="181"/>
      <c r="HIT1011" s="181"/>
      <c r="HIU1011" s="181"/>
      <c r="HIV1011" s="181"/>
      <c r="HIW1011" s="181"/>
      <c r="HIX1011" s="181"/>
      <c r="HIY1011" s="181"/>
      <c r="HIZ1011" s="181"/>
      <c r="HJA1011" s="181"/>
      <c r="HJB1011" s="181"/>
      <c r="HJC1011" s="181"/>
      <c r="HJD1011" s="181"/>
      <c r="HJE1011" s="181"/>
      <c r="HJF1011" s="181"/>
      <c r="HJG1011" s="181"/>
      <c r="HJH1011" s="181"/>
      <c r="HJI1011" s="181"/>
      <c r="HJJ1011" s="181"/>
      <c r="HJK1011" s="181"/>
      <c r="HJL1011" s="181"/>
      <c r="HJM1011" s="181"/>
      <c r="HJN1011" s="181"/>
      <c r="HJO1011" s="181"/>
      <c r="HJP1011" s="181"/>
      <c r="HJQ1011" s="181"/>
      <c r="HJR1011" s="181"/>
      <c r="HJS1011" s="181"/>
      <c r="HJT1011" s="181"/>
      <c r="HJU1011" s="181"/>
      <c r="HJV1011" s="181"/>
      <c r="HJW1011" s="181"/>
      <c r="HJX1011" s="181"/>
      <c r="HJY1011" s="181"/>
      <c r="HJZ1011" s="181"/>
      <c r="HKA1011" s="181"/>
      <c r="HKB1011" s="181"/>
      <c r="HKC1011" s="181"/>
      <c r="HKD1011" s="181"/>
      <c r="HKE1011" s="181"/>
      <c r="HKF1011" s="181"/>
      <c r="HKG1011" s="181"/>
      <c r="HKH1011" s="181"/>
      <c r="HKI1011" s="181"/>
      <c r="HKJ1011" s="181"/>
      <c r="HKK1011" s="181"/>
      <c r="HKL1011" s="181"/>
      <c r="HKM1011" s="181"/>
      <c r="HKN1011" s="181"/>
      <c r="HKO1011" s="181"/>
      <c r="HKP1011" s="181"/>
      <c r="HKQ1011" s="181"/>
      <c r="HKR1011" s="181"/>
      <c r="HKS1011" s="181"/>
      <c r="HKT1011" s="181"/>
      <c r="HKU1011" s="181"/>
      <c r="HKV1011" s="181"/>
      <c r="HKW1011" s="181"/>
      <c r="HKX1011" s="181"/>
      <c r="HKY1011" s="181"/>
      <c r="HKZ1011" s="181"/>
      <c r="HLA1011" s="181"/>
      <c r="HLB1011" s="181"/>
      <c r="HLC1011" s="181"/>
      <c r="HLD1011" s="181"/>
      <c r="HLE1011" s="181"/>
      <c r="HLF1011" s="181"/>
      <c r="HLG1011" s="181"/>
      <c r="HLH1011" s="181"/>
      <c r="HLI1011" s="181"/>
      <c r="HLJ1011" s="181"/>
      <c r="HLK1011" s="181"/>
      <c r="HLL1011" s="181"/>
      <c r="HLM1011" s="181"/>
      <c r="HLN1011" s="181"/>
      <c r="HLO1011" s="181"/>
      <c r="HLP1011" s="181"/>
      <c r="HLQ1011" s="181"/>
      <c r="HLR1011" s="181"/>
      <c r="HLS1011" s="181"/>
      <c r="HLT1011" s="181"/>
      <c r="HLU1011" s="181"/>
      <c r="HLV1011" s="181"/>
      <c r="HLW1011" s="181"/>
      <c r="HLX1011" s="181"/>
      <c r="HLY1011" s="181"/>
      <c r="HLZ1011" s="181"/>
      <c r="HMA1011" s="181"/>
      <c r="HMB1011" s="181"/>
      <c r="HMC1011" s="181"/>
      <c r="HMD1011" s="181"/>
      <c r="HME1011" s="181"/>
      <c r="HMF1011" s="181"/>
      <c r="HMG1011" s="181"/>
      <c r="HMH1011" s="181"/>
      <c r="HMI1011" s="181"/>
      <c r="HMJ1011" s="181"/>
      <c r="HMK1011" s="181"/>
      <c r="HML1011" s="181"/>
      <c r="HMM1011" s="181"/>
      <c r="HMN1011" s="181"/>
      <c r="HMO1011" s="181"/>
      <c r="HMP1011" s="181"/>
      <c r="HMQ1011" s="181"/>
      <c r="HMR1011" s="181"/>
      <c r="HMS1011" s="181"/>
      <c r="HMT1011" s="181"/>
      <c r="HMU1011" s="181"/>
      <c r="HMV1011" s="181"/>
      <c r="HMW1011" s="181"/>
      <c r="HMX1011" s="181"/>
      <c r="HMY1011" s="181"/>
      <c r="HMZ1011" s="181"/>
      <c r="HNA1011" s="181"/>
      <c r="HNB1011" s="181"/>
      <c r="HNC1011" s="181"/>
      <c r="HND1011" s="181"/>
      <c r="HNE1011" s="181"/>
      <c r="HNF1011" s="181"/>
      <c r="HNG1011" s="181"/>
      <c r="HNH1011" s="181"/>
      <c r="HNI1011" s="181"/>
      <c r="HNJ1011" s="181"/>
      <c r="HNK1011" s="181"/>
      <c r="HNL1011" s="181"/>
      <c r="HNM1011" s="181"/>
      <c r="HNN1011" s="181"/>
      <c r="HNO1011" s="181"/>
      <c r="HNP1011" s="181"/>
      <c r="HNQ1011" s="181"/>
      <c r="HNR1011" s="181"/>
      <c r="HNS1011" s="181"/>
      <c r="HNT1011" s="181"/>
      <c r="HNU1011" s="181"/>
      <c r="HNV1011" s="181"/>
      <c r="HNW1011" s="181"/>
      <c r="HNX1011" s="181"/>
      <c r="HNY1011" s="181"/>
      <c r="HNZ1011" s="181"/>
      <c r="HOA1011" s="181"/>
      <c r="HOB1011" s="181"/>
      <c r="HOC1011" s="181"/>
      <c r="HOD1011" s="181"/>
      <c r="HOE1011" s="181"/>
      <c r="HOF1011" s="181"/>
      <c r="HOG1011" s="181"/>
      <c r="HOH1011" s="181"/>
      <c r="HOI1011" s="181"/>
      <c r="HOJ1011" s="181"/>
      <c r="HOK1011" s="181"/>
      <c r="HOL1011" s="181"/>
      <c r="HOM1011" s="181"/>
      <c r="HON1011" s="181"/>
      <c r="HOO1011" s="181"/>
      <c r="HOP1011" s="181"/>
      <c r="HOQ1011" s="181"/>
      <c r="HOR1011" s="181"/>
      <c r="HOS1011" s="181"/>
      <c r="HOT1011" s="181"/>
      <c r="HOU1011" s="181"/>
      <c r="HOV1011" s="181"/>
      <c r="HOW1011" s="181"/>
      <c r="HOX1011" s="181"/>
      <c r="HOY1011" s="181"/>
      <c r="HOZ1011" s="181"/>
      <c r="HPA1011" s="181"/>
      <c r="HPB1011" s="181"/>
      <c r="HPC1011" s="181"/>
      <c r="HPD1011" s="181"/>
      <c r="HPE1011" s="181"/>
      <c r="HPF1011" s="181"/>
      <c r="HPG1011" s="181"/>
      <c r="HPH1011" s="181"/>
      <c r="HPI1011" s="181"/>
      <c r="HPJ1011" s="181"/>
      <c r="HPK1011" s="181"/>
      <c r="HPL1011" s="181"/>
      <c r="HPM1011" s="181"/>
      <c r="HPN1011" s="181"/>
      <c r="HPO1011" s="181"/>
      <c r="HPP1011" s="181"/>
      <c r="HPQ1011" s="181"/>
      <c r="HPR1011" s="181"/>
      <c r="HPS1011" s="181"/>
      <c r="HPT1011" s="181"/>
      <c r="HPU1011" s="181"/>
      <c r="HPV1011" s="181"/>
      <c r="HPW1011" s="181"/>
      <c r="HPX1011" s="181"/>
      <c r="HPY1011" s="181"/>
      <c r="HPZ1011" s="181"/>
      <c r="HQA1011" s="181"/>
      <c r="HQB1011" s="181"/>
      <c r="HQC1011" s="181"/>
      <c r="HQD1011" s="181"/>
      <c r="HQE1011" s="181"/>
      <c r="HQF1011" s="181"/>
      <c r="HQG1011" s="181"/>
      <c r="HQH1011" s="181"/>
      <c r="HQI1011" s="181"/>
      <c r="HQJ1011" s="181"/>
      <c r="HQK1011" s="181"/>
      <c r="HQL1011" s="181"/>
      <c r="HQM1011" s="181"/>
      <c r="HQN1011" s="181"/>
      <c r="HQO1011" s="181"/>
      <c r="HQP1011" s="181"/>
      <c r="HQQ1011" s="181"/>
      <c r="HQR1011" s="181"/>
      <c r="HQS1011" s="181"/>
      <c r="HQT1011" s="181"/>
      <c r="HQU1011" s="181"/>
      <c r="HQV1011" s="181"/>
      <c r="HQW1011" s="181"/>
      <c r="HQX1011" s="181"/>
      <c r="HQY1011" s="181"/>
      <c r="HQZ1011" s="181"/>
      <c r="HRA1011" s="181"/>
      <c r="HRB1011" s="181"/>
      <c r="HRC1011" s="181"/>
      <c r="HRD1011" s="181"/>
      <c r="HRE1011" s="181"/>
      <c r="HRF1011" s="181"/>
      <c r="HRG1011" s="181"/>
      <c r="HRH1011" s="181"/>
      <c r="HRI1011" s="181"/>
      <c r="HRJ1011" s="181"/>
      <c r="HRK1011" s="181"/>
      <c r="HRL1011" s="181"/>
      <c r="HRM1011" s="181"/>
      <c r="HRN1011" s="181"/>
      <c r="HRO1011" s="181"/>
      <c r="HRP1011" s="181"/>
      <c r="HRQ1011" s="181"/>
      <c r="HRR1011" s="181"/>
      <c r="HRS1011" s="181"/>
      <c r="HRT1011" s="181"/>
      <c r="HRU1011" s="181"/>
      <c r="HRV1011" s="181"/>
      <c r="HRW1011" s="181"/>
      <c r="HRX1011" s="181"/>
      <c r="HRY1011" s="181"/>
      <c r="HRZ1011" s="181"/>
      <c r="HSA1011" s="181"/>
      <c r="HSB1011" s="181"/>
      <c r="HSC1011" s="181"/>
      <c r="HSD1011" s="181"/>
      <c r="HSE1011" s="181"/>
      <c r="HSF1011" s="181"/>
      <c r="HSG1011" s="181"/>
      <c r="HSH1011" s="181"/>
      <c r="HSI1011" s="181"/>
      <c r="HSJ1011" s="181"/>
      <c r="HSK1011" s="181"/>
      <c r="HSL1011" s="181"/>
      <c r="HSM1011" s="181"/>
      <c r="HSN1011" s="181"/>
      <c r="HSO1011" s="181"/>
      <c r="HSP1011" s="181"/>
      <c r="HSQ1011" s="181"/>
      <c r="HSR1011" s="181"/>
      <c r="HSS1011" s="181"/>
      <c r="HST1011" s="181"/>
      <c r="HSU1011" s="181"/>
      <c r="HSV1011" s="181"/>
      <c r="HSW1011" s="181"/>
      <c r="HSX1011" s="181"/>
      <c r="HSY1011" s="181"/>
      <c r="HSZ1011" s="181"/>
      <c r="HTA1011" s="181"/>
      <c r="HTB1011" s="181"/>
      <c r="HTC1011" s="181"/>
      <c r="HTD1011" s="181"/>
      <c r="HTE1011" s="181"/>
      <c r="HTF1011" s="181"/>
      <c r="HTG1011" s="181"/>
      <c r="HTH1011" s="181"/>
      <c r="HTI1011" s="181"/>
      <c r="HTJ1011" s="181"/>
      <c r="HTK1011" s="181"/>
      <c r="HTL1011" s="181"/>
      <c r="HTM1011" s="181"/>
      <c r="HTN1011" s="181"/>
      <c r="HTO1011" s="181"/>
      <c r="HTP1011" s="181"/>
      <c r="HTQ1011" s="181"/>
      <c r="HTR1011" s="181"/>
      <c r="HTS1011" s="181"/>
      <c r="HTT1011" s="181"/>
      <c r="HTU1011" s="181"/>
      <c r="HTV1011" s="181"/>
      <c r="HTW1011" s="181"/>
      <c r="HTX1011" s="181"/>
      <c r="HTY1011" s="181"/>
      <c r="HTZ1011" s="181"/>
      <c r="HUA1011" s="181"/>
      <c r="HUB1011" s="181"/>
      <c r="HUC1011" s="181"/>
      <c r="HUD1011" s="181"/>
      <c r="HUE1011" s="181"/>
      <c r="HUF1011" s="181"/>
      <c r="HUG1011" s="181"/>
      <c r="HUH1011" s="181"/>
      <c r="HUI1011" s="181"/>
      <c r="HUJ1011" s="181"/>
      <c r="HUK1011" s="181"/>
      <c r="HUL1011" s="181"/>
      <c r="HUM1011" s="181"/>
      <c r="HUN1011" s="181"/>
      <c r="HUO1011" s="181"/>
      <c r="HUP1011" s="181"/>
      <c r="HUQ1011" s="181"/>
      <c r="HUR1011" s="181"/>
      <c r="HUS1011" s="181"/>
      <c r="HUT1011" s="181"/>
      <c r="HUU1011" s="181"/>
      <c r="HUV1011" s="181"/>
      <c r="HUW1011" s="181"/>
      <c r="HUX1011" s="181"/>
      <c r="HUY1011" s="181"/>
      <c r="HUZ1011" s="181"/>
      <c r="HVA1011" s="181"/>
      <c r="HVB1011" s="181"/>
      <c r="HVC1011" s="181"/>
      <c r="HVD1011" s="181"/>
      <c r="HVE1011" s="181"/>
      <c r="HVF1011" s="181"/>
      <c r="HVG1011" s="181"/>
      <c r="HVH1011" s="181"/>
      <c r="HVI1011" s="181"/>
      <c r="HVJ1011" s="181"/>
      <c r="HVK1011" s="181"/>
      <c r="HVL1011" s="181"/>
      <c r="HVM1011" s="181"/>
      <c r="HVN1011" s="181"/>
      <c r="HVO1011" s="181"/>
      <c r="HVP1011" s="181"/>
      <c r="HVQ1011" s="181"/>
      <c r="HVR1011" s="181"/>
      <c r="HVS1011" s="181"/>
      <c r="HVT1011" s="181"/>
      <c r="HVU1011" s="181"/>
      <c r="HVV1011" s="181"/>
      <c r="HVW1011" s="181"/>
      <c r="HVX1011" s="181"/>
      <c r="HVY1011" s="181"/>
      <c r="HVZ1011" s="181"/>
      <c r="HWA1011" s="181"/>
      <c r="HWB1011" s="181"/>
      <c r="HWC1011" s="181"/>
      <c r="HWD1011" s="181"/>
      <c r="HWE1011" s="181"/>
      <c r="HWF1011" s="181"/>
      <c r="HWG1011" s="181"/>
      <c r="HWH1011" s="181"/>
      <c r="HWI1011" s="181"/>
      <c r="HWJ1011" s="181"/>
      <c r="HWK1011" s="181"/>
      <c r="HWL1011" s="181"/>
      <c r="HWM1011" s="181"/>
      <c r="HWN1011" s="181"/>
      <c r="HWO1011" s="181"/>
      <c r="HWP1011" s="181"/>
      <c r="HWQ1011" s="181"/>
      <c r="HWR1011" s="181"/>
      <c r="HWS1011" s="181"/>
      <c r="HWT1011" s="181"/>
      <c r="HWU1011" s="181"/>
      <c r="HWV1011" s="181"/>
      <c r="HWW1011" s="181"/>
      <c r="HWX1011" s="181"/>
      <c r="HWY1011" s="181"/>
      <c r="HWZ1011" s="181"/>
      <c r="HXA1011" s="181"/>
      <c r="HXB1011" s="181"/>
      <c r="HXC1011" s="181"/>
      <c r="HXD1011" s="181"/>
      <c r="HXE1011" s="181"/>
      <c r="HXF1011" s="181"/>
      <c r="HXG1011" s="181"/>
      <c r="HXH1011" s="181"/>
      <c r="HXI1011" s="181"/>
      <c r="HXJ1011" s="181"/>
      <c r="HXK1011" s="181"/>
      <c r="HXL1011" s="181"/>
      <c r="HXM1011" s="181"/>
      <c r="HXN1011" s="181"/>
      <c r="HXO1011" s="181"/>
      <c r="HXP1011" s="181"/>
      <c r="HXQ1011" s="181"/>
      <c r="HXR1011" s="181"/>
      <c r="HXS1011" s="181"/>
      <c r="HXT1011" s="181"/>
      <c r="HXU1011" s="181"/>
      <c r="HXV1011" s="181"/>
      <c r="HXW1011" s="181"/>
      <c r="HXX1011" s="181"/>
      <c r="HXY1011" s="181"/>
      <c r="HXZ1011" s="181"/>
      <c r="HYA1011" s="181"/>
      <c r="HYB1011" s="181"/>
      <c r="HYC1011" s="181"/>
      <c r="HYD1011" s="181"/>
      <c r="HYE1011" s="181"/>
      <c r="HYF1011" s="181"/>
      <c r="HYG1011" s="181"/>
      <c r="HYH1011" s="181"/>
      <c r="HYI1011" s="181"/>
      <c r="HYJ1011" s="181"/>
      <c r="HYK1011" s="181"/>
      <c r="HYL1011" s="181"/>
      <c r="HYM1011" s="181"/>
      <c r="HYN1011" s="181"/>
      <c r="HYO1011" s="181"/>
      <c r="HYP1011" s="181"/>
      <c r="HYQ1011" s="181"/>
      <c r="HYR1011" s="181"/>
      <c r="HYS1011" s="181"/>
      <c r="HYT1011" s="181"/>
      <c r="HYU1011" s="181"/>
      <c r="HYV1011" s="181"/>
      <c r="HYW1011" s="181"/>
      <c r="HYX1011" s="181"/>
      <c r="HYY1011" s="181"/>
      <c r="HYZ1011" s="181"/>
      <c r="HZA1011" s="181"/>
      <c r="HZB1011" s="181"/>
      <c r="HZC1011" s="181"/>
      <c r="HZD1011" s="181"/>
      <c r="HZE1011" s="181"/>
      <c r="HZF1011" s="181"/>
      <c r="HZG1011" s="181"/>
      <c r="HZH1011" s="181"/>
      <c r="HZI1011" s="181"/>
      <c r="HZJ1011" s="181"/>
      <c r="HZK1011" s="181"/>
      <c r="HZL1011" s="181"/>
      <c r="HZM1011" s="181"/>
      <c r="HZN1011" s="181"/>
      <c r="HZO1011" s="181"/>
      <c r="HZP1011" s="181"/>
      <c r="HZQ1011" s="181"/>
      <c r="HZR1011" s="181"/>
      <c r="HZS1011" s="181"/>
      <c r="HZT1011" s="181"/>
      <c r="HZU1011" s="181"/>
      <c r="HZV1011" s="181"/>
      <c r="HZW1011" s="181"/>
      <c r="HZX1011" s="181"/>
      <c r="HZY1011" s="181"/>
      <c r="HZZ1011" s="181"/>
      <c r="IAA1011" s="181"/>
      <c r="IAB1011" s="181"/>
      <c r="IAC1011" s="181"/>
      <c r="IAD1011" s="181"/>
      <c r="IAE1011" s="181"/>
      <c r="IAF1011" s="181"/>
      <c r="IAG1011" s="181"/>
      <c r="IAH1011" s="181"/>
      <c r="IAI1011" s="181"/>
      <c r="IAJ1011" s="181"/>
      <c r="IAK1011" s="181"/>
      <c r="IAL1011" s="181"/>
      <c r="IAM1011" s="181"/>
      <c r="IAN1011" s="181"/>
      <c r="IAO1011" s="181"/>
      <c r="IAP1011" s="181"/>
      <c r="IAQ1011" s="181"/>
      <c r="IAR1011" s="181"/>
      <c r="IAS1011" s="181"/>
      <c r="IAT1011" s="181"/>
      <c r="IAU1011" s="181"/>
      <c r="IAV1011" s="181"/>
      <c r="IAW1011" s="181"/>
      <c r="IAX1011" s="181"/>
      <c r="IAY1011" s="181"/>
      <c r="IAZ1011" s="181"/>
      <c r="IBA1011" s="181"/>
      <c r="IBB1011" s="181"/>
      <c r="IBC1011" s="181"/>
      <c r="IBD1011" s="181"/>
      <c r="IBE1011" s="181"/>
      <c r="IBF1011" s="181"/>
      <c r="IBG1011" s="181"/>
      <c r="IBH1011" s="181"/>
      <c r="IBI1011" s="181"/>
      <c r="IBJ1011" s="181"/>
      <c r="IBK1011" s="181"/>
      <c r="IBL1011" s="181"/>
      <c r="IBM1011" s="181"/>
      <c r="IBN1011" s="181"/>
      <c r="IBO1011" s="181"/>
      <c r="IBP1011" s="181"/>
      <c r="IBQ1011" s="181"/>
      <c r="IBR1011" s="181"/>
      <c r="IBS1011" s="181"/>
      <c r="IBT1011" s="181"/>
      <c r="IBU1011" s="181"/>
      <c r="IBV1011" s="181"/>
      <c r="IBW1011" s="181"/>
      <c r="IBX1011" s="181"/>
      <c r="IBY1011" s="181"/>
      <c r="IBZ1011" s="181"/>
      <c r="ICA1011" s="181"/>
      <c r="ICB1011" s="181"/>
      <c r="ICC1011" s="181"/>
      <c r="ICD1011" s="181"/>
      <c r="ICE1011" s="181"/>
      <c r="ICF1011" s="181"/>
      <c r="ICG1011" s="181"/>
      <c r="ICH1011" s="181"/>
      <c r="ICI1011" s="181"/>
      <c r="ICJ1011" s="181"/>
      <c r="ICK1011" s="181"/>
      <c r="ICL1011" s="181"/>
      <c r="ICM1011" s="181"/>
      <c r="ICN1011" s="181"/>
      <c r="ICO1011" s="181"/>
      <c r="ICP1011" s="181"/>
      <c r="ICQ1011" s="181"/>
      <c r="ICR1011" s="181"/>
      <c r="ICS1011" s="181"/>
      <c r="ICT1011" s="181"/>
      <c r="ICU1011" s="181"/>
      <c r="ICV1011" s="181"/>
      <c r="ICW1011" s="181"/>
      <c r="ICX1011" s="181"/>
      <c r="ICY1011" s="181"/>
      <c r="ICZ1011" s="181"/>
      <c r="IDA1011" s="181"/>
      <c r="IDB1011" s="181"/>
      <c r="IDC1011" s="181"/>
      <c r="IDD1011" s="181"/>
      <c r="IDE1011" s="181"/>
      <c r="IDF1011" s="181"/>
      <c r="IDG1011" s="181"/>
      <c r="IDH1011" s="181"/>
      <c r="IDI1011" s="181"/>
      <c r="IDJ1011" s="181"/>
      <c r="IDK1011" s="181"/>
      <c r="IDL1011" s="181"/>
      <c r="IDM1011" s="181"/>
      <c r="IDN1011" s="181"/>
      <c r="IDO1011" s="181"/>
      <c r="IDP1011" s="181"/>
      <c r="IDQ1011" s="181"/>
      <c r="IDR1011" s="181"/>
      <c r="IDS1011" s="181"/>
      <c r="IDT1011" s="181"/>
      <c r="IDU1011" s="181"/>
      <c r="IDV1011" s="181"/>
      <c r="IDW1011" s="181"/>
      <c r="IDX1011" s="181"/>
      <c r="IDY1011" s="181"/>
      <c r="IDZ1011" s="181"/>
      <c r="IEA1011" s="181"/>
      <c r="IEB1011" s="181"/>
      <c r="IEC1011" s="181"/>
      <c r="IED1011" s="181"/>
      <c r="IEE1011" s="181"/>
      <c r="IEF1011" s="181"/>
      <c r="IEG1011" s="181"/>
      <c r="IEH1011" s="181"/>
      <c r="IEI1011" s="181"/>
      <c r="IEJ1011" s="181"/>
      <c r="IEK1011" s="181"/>
      <c r="IEL1011" s="181"/>
      <c r="IEM1011" s="181"/>
      <c r="IEN1011" s="181"/>
      <c r="IEO1011" s="181"/>
      <c r="IEP1011" s="181"/>
      <c r="IEQ1011" s="181"/>
      <c r="IER1011" s="181"/>
      <c r="IES1011" s="181"/>
      <c r="IET1011" s="181"/>
      <c r="IEU1011" s="181"/>
      <c r="IEV1011" s="181"/>
      <c r="IEW1011" s="181"/>
      <c r="IEX1011" s="181"/>
      <c r="IEY1011" s="181"/>
      <c r="IEZ1011" s="181"/>
      <c r="IFA1011" s="181"/>
      <c r="IFB1011" s="181"/>
      <c r="IFC1011" s="181"/>
      <c r="IFD1011" s="181"/>
      <c r="IFE1011" s="181"/>
      <c r="IFF1011" s="181"/>
      <c r="IFG1011" s="181"/>
      <c r="IFH1011" s="181"/>
      <c r="IFI1011" s="181"/>
      <c r="IFJ1011" s="181"/>
      <c r="IFK1011" s="181"/>
      <c r="IFL1011" s="181"/>
      <c r="IFM1011" s="181"/>
      <c r="IFN1011" s="181"/>
      <c r="IFO1011" s="181"/>
      <c r="IFP1011" s="181"/>
      <c r="IFQ1011" s="181"/>
      <c r="IFR1011" s="181"/>
      <c r="IFS1011" s="181"/>
      <c r="IFT1011" s="181"/>
      <c r="IFU1011" s="181"/>
      <c r="IFV1011" s="181"/>
      <c r="IFW1011" s="181"/>
      <c r="IFX1011" s="181"/>
      <c r="IFY1011" s="181"/>
      <c r="IFZ1011" s="181"/>
      <c r="IGA1011" s="181"/>
      <c r="IGB1011" s="181"/>
      <c r="IGC1011" s="181"/>
      <c r="IGD1011" s="181"/>
      <c r="IGE1011" s="181"/>
      <c r="IGF1011" s="181"/>
      <c r="IGG1011" s="181"/>
      <c r="IGH1011" s="181"/>
      <c r="IGI1011" s="181"/>
      <c r="IGJ1011" s="181"/>
      <c r="IGK1011" s="181"/>
      <c r="IGL1011" s="181"/>
      <c r="IGM1011" s="181"/>
      <c r="IGN1011" s="181"/>
      <c r="IGO1011" s="181"/>
      <c r="IGP1011" s="181"/>
      <c r="IGQ1011" s="181"/>
      <c r="IGR1011" s="181"/>
      <c r="IGS1011" s="181"/>
      <c r="IGT1011" s="181"/>
      <c r="IGU1011" s="181"/>
      <c r="IGV1011" s="181"/>
      <c r="IGW1011" s="181"/>
      <c r="IGX1011" s="181"/>
      <c r="IGY1011" s="181"/>
      <c r="IGZ1011" s="181"/>
      <c r="IHA1011" s="181"/>
      <c r="IHB1011" s="181"/>
      <c r="IHC1011" s="181"/>
      <c r="IHD1011" s="181"/>
      <c r="IHE1011" s="181"/>
      <c r="IHF1011" s="181"/>
      <c r="IHG1011" s="181"/>
      <c r="IHH1011" s="181"/>
      <c r="IHI1011" s="181"/>
      <c r="IHJ1011" s="181"/>
      <c r="IHK1011" s="181"/>
      <c r="IHL1011" s="181"/>
      <c r="IHM1011" s="181"/>
      <c r="IHN1011" s="181"/>
      <c r="IHO1011" s="181"/>
      <c r="IHP1011" s="181"/>
      <c r="IHQ1011" s="181"/>
      <c r="IHR1011" s="181"/>
      <c r="IHS1011" s="181"/>
      <c r="IHT1011" s="181"/>
      <c r="IHU1011" s="181"/>
      <c r="IHV1011" s="181"/>
      <c r="IHW1011" s="181"/>
      <c r="IHX1011" s="181"/>
      <c r="IHY1011" s="181"/>
      <c r="IHZ1011" s="181"/>
      <c r="IIA1011" s="181"/>
      <c r="IIB1011" s="181"/>
      <c r="IIC1011" s="181"/>
      <c r="IID1011" s="181"/>
      <c r="IIE1011" s="181"/>
      <c r="IIF1011" s="181"/>
      <c r="IIG1011" s="181"/>
      <c r="IIH1011" s="181"/>
      <c r="III1011" s="181"/>
      <c r="IIJ1011" s="181"/>
      <c r="IIK1011" s="181"/>
      <c r="IIL1011" s="181"/>
      <c r="IIM1011" s="181"/>
      <c r="IIN1011" s="181"/>
      <c r="IIO1011" s="181"/>
      <c r="IIP1011" s="181"/>
      <c r="IIQ1011" s="181"/>
      <c r="IIR1011" s="181"/>
      <c r="IIS1011" s="181"/>
      <c r="IIT1011" s="181"/>
      <c r="IIU1011" s="181"/>
      <c r="IIV1011" s="181"/>
      <c r="IIW1011" s="181"/>
      <c r="IIX1011" s="181"/>
      <c r="IIY1011" s="181"/>
      <c r="IIZ1011" s="181"/>
      <c r="IJA1011" s="181"/>
      <c r="IJB1011" s="181"/>
      <c r="IJC1011" s="181"/>
      <c r="IJD1011" s="181"/>
      <c r="IJE1011" s="181"/>
      <c r="IJF1011" s="181"/>
      <c r="IJG1011" s="181"/>
      <c r="IJH1011" s="181"/>
      <c r="IJI1011" s="181"/>
      <c r="IJJ1011" s="181"/>
      <c r="IJK1011" s="181"/>
      <c r="IJL1011" s="181"/>
      <c r="IJM1011" s="181"/>
      <c r="IJN1011" s="181"/>
      <c r="IJO1011" s="181"/>
      <c r="IJP1011" s="181"/>
      <c r="IJQ1011" s="181"/>
      <c r="IJR1011" s="181"/>
      <c r="IJS1011" s="181"/>
      <c r="IJT1011" s="181"/>
      <c r="IJU1011" s="181"/>
      <c r="IJV1011" s="181"/>
      <c r="IJW1011" s="181"/>
      <c r="IJX1011" s="181"/>
      <c r="IJY1011" s="181"/>
      <c r="IJZ1011" s="181"/>
      <c r="IKA1011" s="181"/>
      <c r="IKB1011" s="181"/>
      <c r="IKC1011" s="181"/>
      <c r="IKD1011" s="181"/>
      <c r="IKE1011" s="181"/>
      <c r="IKF1011" s="181"/>
      <c r="IKG1011" s="181"/>
      <c r="IKH1011" s="181"/>
      <c r="IKI1011" s="181"/>
      <c r="IKJ1011" s="181"/>
      <c r="IKK1011" s="181"/>
      <c r="IKL1011" s="181"/>
      <c r="IKM1011" s="181"/>
      <c r="IKN1011" s="181"/>
      <c r="IKO1011" s="181"/>
      <c r="IKP1011" s="181"/>
      <c r="IKQ1011" s="181"/>
      <c r="IKR1011" s="181"/>
      <c r="IKS1011" s="181"/>
      <c r="IKT1011" s="181"/>
      <c r="IKU1011" s="181"/>
      <c r="IKV1011" s="181"/>
      <c r="IKW1011" s="181"/>
      <c r="IKX1011" s="181"/>
      <c r="IKY1011" s="181"/>
      <c r="IKZ1011" s="181"/>
      <c r="ILA1011" s="181"/>
      <c r="ILB1011" s="181"/>
      <c r="ILC1011" s="181"/>
      <c r="ILD1011" s="181"/>
      <c r="ILE1011" s="181"/>
      <c r="ILF1011" s="181"/>
      <c r="ILG1011" s="181"/>
      <c r="ILH1011" s="181"/>
      <c r="ILI1011" s="181"/>
      <c r="ILJ1011" s="181"/>
      <c r="ILK1011" s="181"/>
      <c r="ILL1011" s="181"/>
      <c r="ILM1011" s="181"/>
      <c r="ILN1011" s="181"/>
      <c r="ILO1011" s="181"/>
      <c r="ILP1011" s="181"/>
      <c r="ILQ1011" s="181"/>
      <c r="ILR1011" s="181"/>
      <c r="ILS1011" s="181"/>
      <c r="ILT1011" s="181"/>
      <c r="ILU1011" s="181"/>
      <c r="ILV1011" s="181"/>
      <c r="ILW1011" s="181"/>
      <c r="ILX1011" s="181"/>
      <c r="ILY1011" s="181"/>
      <c r="ILZ1011" s="181"/>
      <c r="IMA1011" s="181"/>
      <c r="IMB1011" s="181"/>
      <c r="IMC1011" s="181"/>
      <c r="IMD1011" s="181"/>
      <c r="IME1011" s="181"/>
      <c r="IMF1011" s="181"/>
      <c r="IMG1011" s="181"/>
      <c r="IMH1011" s="181"/>
      <c r="IMI1011" s="181"/>
      <c r="IMJ1011" s="181"/>
      <c r="IMK1011" s="181"/>
      <c r="IML1011" s="181"/>
      <c r="IMM1011" s="181"/>
      <c r="IMN1011" s="181"/>
      <c r="IMO1011" s="181"/>
      <c r="IMP1011" s="181"/>
      <c r="IMQ1011" s="181"/>
      <c r="IMR1011" s="181"/>
      <c r="IMS1011" s="181"/>
      <c r="IMT1011" s="181"/>
      <c r="IMU1011" s="181"/>
      <c r="IMV1011" s="181"/>
      <c r="IMW1011" s="181"/>
      <c r="IMX1011" s="181"/>
      <c r="IMY1011" s="181"/>
      <c r="IMZ1011" s="181"/>
      <c r="INA1011" s="181"/>
      <c r="INB1011" s="181"/>
      <c r="INC1011" s="181"/>
      <c r="IND1011" s="181"/>
      <c r="INE1011" s="181"/>
      <c r="INF1011" s="181"/>
      <c r="ING1011" s="181"/>
      <c r="INH1011" s="181"/>
      <c r="INI1011" s="181"/>
      <c r="INJ1011" s="181"/>
      <c r="INK1011" s="181"/>
      <c r="INL1011" s="181"/>
      <c r="INM1011" s="181"/>
      <c r="INN1011" s="181"/>
      <c r="INO1011" s="181"/>
      <c r="INP1011" s="181"/>
      <c r="INQ1011" s="181"/>
      <c r="INR1011" s="181"/>
      <c r="INS1011" s="181"/>
      <c r="INT1011" s="181"/>
      <c r="INU1011" s="181"/>
      <c r="INV1011" s="181"/>
      <c r="INW1011" s="181"/>
      <c r="INX1011" s="181"/>
      <c r="INY1011" s="181"/>
      <c r="INZ1011" s="181"/>
      <c r="IOA1011" s="181"/>
      <c r="IOB1011" s="181"/>
      <c r="IOC1011" s="181"/>
      <c r="IOD1011" s="181"/>
      <c r="IOE1011" s="181"/>
      <c r="IOF1011" s="181"/>
      <c r="IOG1011" s="181"/>
      <c r="IOH1011" s="181"/>
      <c r="IOI1011" s="181"/>
      <c r="IOJ1011" s="181"/>
      <c r="IOK1011" s="181"/>
      <c r="IOL1011" s="181"/>
      <c r="IOM1011" s="181"/>
      <c r="ION1011" s="181"/>
      <c r="IOO1011" s="181"/>
      <c r="IOP1011" s="181"/>
      <c r="IOQ1011" s="181"/>
      <c r="IOR1011" s="181"/>
      <c r="IOS1011" s="181"/>
      <c r="IOT1011" s="181"/>
      <c r="IOU1011" s="181"/>
      <c r="IOV1011" s="181"/>
      <c r="IOW1011" s="181"/>
      <c r="IOX1011" s="181"/>
      <c r="IOY1011" s="181"/>
      <c r="IOZ1011" s="181"/>
      <c r="IPA1011" s="181"/>
      <c r="IPB1011" s="181"/>
      <c r="IPC1011" s="181"/>
      <c r="IPD1011" s="181"/>
      <c r="IPE1011" s="181"/>
      <c r="IPF1011" s="181"/>
      <c r="IPG1011" s="181"/>
      <c r="IPH1011" s="181"/>
      <c r="IPI1011" s="181"/>
      <c r="IPJ1011" s="181"/>
      <c r="IPK1011" s="181"/>
      <c r="IPL1011" s="181"/>
      <c r="IPM1011" s="181"/>
      <c r="IPN1011" s="181"/>
      <c r="IPO1011" s="181"/>
      <c r="IPP1011" s="181"/>
      <c r="IPQ1011" s="181"/>
      <c r="IPR1011" s="181"/>
      <c r="IPS1011" s="181"/>
      <c r="IPT1011" s="181"/>
      <c r="IPU1011" s="181"/>
      <c r="IPV1011" s="181"/>
      <c r="IPW1011" s="181"/>
      <c r="IPX1011" s="181"/>
      <c r="IPY1011" s="181"/>
      <c r="IPZ1011" s="181"/>
      <c r="IQA1011" s="181"/>
      <c r="IQB1011" s="181"/>
      <c r="IQC1011" s="181"/>
      <c r="IQD1011" s="181"/>
      <c r="IQE1011" s="181"/>
      <c r="IQF1011" s="181"/>
      <c r="IQG1011" s="181"/>
      <c r="IQH1011" s="181"/>
      <c r="IQI1011" s="181"/>
      <c r="IQJ1011" s="181"/>
      <c r="IQK1011" s="181"/>
      <c r="IQL1011" s="181"/>
      <c r="IQM1011" s="181"/>
      <c r="IQN1011" s="181"/>
      <c r="IQO1011" s="181"/>
      <c r="IQP1011" s="181"/>
      <c r="IQQ1011" s="181"/>
      <c r="IQR1011" s="181"/>
      <c r="IQS1011" s="181"/>
      <c r="IQT1011" s="181"/>
      <c r="IQU1011" s="181"/>
      <c r="IQV1011" s="181"/>
      <c r="IQW1011" s="181"/>
      <c r="IQX1011" s="181"/>
      <c r="IQY1011" s="181"/>
      <c r="IQZ1011" s="181"/>
      <c r="IRA1011" s="181"/>
      <c r="IRB1011" s="181"/>
      <c r="IRC1011" s="181"/>
      <c r="IRD1011" s="181"/>
      <c r="IRE1011" s="181"/>
      <c r="IRF1011" s="181"/>
      <c r="IRG1011" s="181"/>
      <c r="IRH1011" s="181"/>
      <c r="IRI1011" s="181"/>
      <c r="IRJ1011" s="181"/>
      <c r="IRK1011" s="181"/>
      <c r="IRL1011" s="181"/>
      <c r="IRM1011" s="181"/>
      <c r="IRN1011" s="181"/>
      <c r="IRO1011" s="181"/>
      <c r="IRP1011" s="181"/>
      <c r="IRQ1011" s="181"/>
      <c r="IRR1011" s="181"/>
      <c r="IRS1011" s="181"/>
      <c r="IRT1011" s="181"/>
      <c r="IRU1011" s="181"/>
      <c r="IRV1011" s="181"/>
      <c r="IRW1011" s="181"/>
      <c r="IRX1011" s="181"/>
      <c r="IRY1011" s="181"/>
      <c r="IRZ1011" s="181"/>
      <c r="ISA1011" s="181"/>
      <c r="ISB1011" s="181"/>
      <c r="ISC1011" s="181"/>
      <c r="ISD1011" s="181"/>
      <c r="ISE1011" s="181"/>
      <c r="ISF1011" s="181"/>
      <c r="ISG1011" s="181"/>
      <c r="ISH1011" s="181"/>
      <c r="ISI1011" s="181"/>
      <c r="ISJ1011" s="181"/>
      <c r="ISK1011" s="181"/>
      <c r="ISL1011" s="181"/>
      <c r="ISM1011" s="181"/>
      <c r="ISN1011" s="181"/>
      <c r="ISO1011" s="181"/>
      <c r="ISP1011" s="181"/>
      <c r="ISQ1011" s="181"/>
      <c r="ISR1011" s="181"/>
      <c r="ISS1011" s="181"/>
      <c r="IST1011" s="181"/>
      <c r="ISU1011" s="181"/>
      <c r="ISV1011" s="181"/>
      <c r="ISW1011" s="181"/>
      <c r="ISX1011" s="181"/>
      <c r="ISY1011" s="181"/>
      <c r="ISZ1011" s="181"/>
      <c r="ITA1011" s="181"/>
      <c r="ITB1011" s="181"/>
      <c r="ITC1011" s="181"/>
      <c r="ITD1011" s="181"/>
      <c r="ITE1011" s="181"/>
      <c r="ITF1011" s="181"/>
      <c r="ITG1011" s="181"/>
      <c r="ITH1011" s="181"/>
      <c r="ITI1011" s="181"/>
      <c r="ITJ1011" s="181"/>
      <c r="ITK1011" s="181"/>
      <c r="ITL1011" s="181"/>
      <c r="ITM1011" s="181"/>
      <c r="ITN1011" s="181"/>
      <c r="ITO1011" s="181"/>
      <c r="ITP1011" s="181"/>
      <c r="ITQ1011" s="181"/>
      <c r="ITR1011" s="181"/>
      <c r="ITS1011" s="181"/>
      <c r="ITT1011" s="181"/>
      <c r="ITU1011" s="181"/>
      <c r="ITV1011" s="181"/>
      <c r="ITW1011" s="181"/>
      <c r="ITX1011" s="181"/>
      <c r="ITY1011" s="181"/>
      <c r="ITZ1011" s="181"/>
      <c r="IUA1011" s="181"/>
      <c r="IUB1011" s="181"/>
      <c r="IUC1011" s="181"/>
      <c r="IUD1011" s="181"/>
      <c r="IUE1011" s="181"/>
      <c r="IUF1011" s="181"/>
      <c r="IUG1011" s="181"/>
      <c r="IUH1011" s="181"/>
      <c r="IUI1011" s="181"/>
      <c r="IUJ1011" s="181"/>
      <c r="IUK1011" s="181"/>
      <c r="IUL1011" s="181"/>
      <c r="IUM1011" s="181"/>
      <c r="IUN1011" s="181"/>
      <c r="IUO1011" s="181"/>
      <c r="IUP1011" s="181"/>
      <c r="IUQ1011" s="181"/>
      <c r="IUR1011" s="181"/>
      <c r="IUS1011" s="181"/>
      <c r="IUT1011" s="181"/>
      <c r="IUU1011" s="181"/>
      <c r="IUV1011" s="181"/>
      <c r="IUW1011" s="181"/>
      <c r="IUX1011" s="181"/>
      <c r="IUY1011" s="181"/>
      <c r="IUZ1011" s="181"/>
      <c r="IVA1011" s="181"/>
      <c r="IVB1011" s="181"/>
      <c r="IVC1011" s="181"/>
      <c r="IVD1011" s="181"/>
      <c r="IVE1011" s="181"/>
      <c r="IVF1011" s="181"/>
      <c r="IVG1011" s="181"/>
      <c r="IVH1011" s="181"/>
      <c r="IVI1011" s="181"/>
      <c r="IVJ1011" s="181"/>
      <c r="IVK1011" s="181"/>
      <c r="IVL1011" s="181"/>
      <c r="IVM1011" s="181"/>
      <c r="IVN1011" s="181"/>
      <c r="IVO1011" s="181"/>
      <c r="IVP1011" s="181"/>
      <c r="IVQ1011" s="181"/>
      <c r="IVR1011" s="181"/>
      <c r="IVS1011" s="181"/>
      <c r="IVT1011" s="181"/>
      <c r="IVU1011" s="181"/>
      <c r="IVV1011" s="181"/>
      <c r="IVW1011" s="181"/>
      <c r="IVX1011" s="181"/>
      <c r="IVY1011" s="181"/>
      <c r="IVZ1011" s="181"/>
      <c r="IWA1011" s="181"/>
      <c r="IWB1011" s="181"/>
      <c r="IWC1011" s="181"/>
      <c r="IWD1011" s="181"/>
      <c r="IWE1011" s="181"/>
      <c r="IWF1011" s="181"/>
      <c r="IWG1011" s="181"/>
      <c r="IWH1011" s="181"/>
      <c r="IWI1011" s="181"/>
      <c r="IWJ1011" s="181"/>
      <c r="IWK1011" s="181"/>
      <c r="IWL1011" s="181"/>
      <c r="IWM1011" s="181"/>
      <c r="IWN1011" s="181"/>
      <c r="IWO1011" s="181"/>
      <c r="IWP1011" s="181"/>
      <c r="IWQ1011" s="181"/>
      <c r="IWR1011" s="181"/>
      <c r="IWS1011" s="181"/>
      <c r="IWT1011" s="181"/>
      <c r="IWU1011" s="181"/>
      <c r="IWV1011" s="181"/>
      <c r="IWW1011" s="181"/>
      <c r="IWX1011" s="181"/>
      <c r="IWY1011" s="181"/>
      <c r="IWZ1011" s="181"/>
      <c r="IXA1011" s="181"/>
      <c r="IXB1011" s="181"/>
      <c r="IXC1011" s="181"/>
      <c r="IXD1011" s="181"/>
      <c r="IXE1011" s="181"/>
      <c r="IXF1011" s="181"/>
      <c r="IXG1011" s="181"/>
      <c r="IXH1011" s="181"/>
      <c r="IXI1011" s="181"/>
      <c r="IXJ1011" s="181"/>
      <c r="IXK1011" s="181"/>
      <c r="IXL1011" s="181"/>
      <c r="IXM1011" s="181"/>
      <c r="IXN1011" s="181"/>
      <c r="IXO1011" s="181"/>
      <c r="IXP1011" s="181"/>
      <c r="IXQ1011" s="181"/>
      <c r="IXR1011" s="181"/>
      <c r="IXS1011" s="181"/>
      <c r="IXT1011" s="181"/>
      <c r="IXU1011" s="181"/>
      <c r="IXV1011" s="181"/>
      <c r="IXW1011" s="181"/>
      <c r="IXX1011" s="181"/>
      <c r="IXY1011" s="181"/>
      <c r="IXZ1011" s="181"/>
      <c r="IYA1011" s="181"/>
      <c r="IYB1011" s="181"/>
      <c r="IYC1011" s="181"/>
      <c r="IYD1011" s="181"/>
      <c r="IYE1011" s="181"/>
      <c r="IYF1011" s="181"/>
      <c r="IYG1011" s="181"/>
      <c r="IYH1011" s="181"/>
      <c r="IYI1011" s="181"/>
      <c r="IYJ1011" s="181"/>
      <c r="IYK1011" s="181"/>
      <c r="IYL1011" s="181"/>
      <c r="IYM1011" s="181"/>
      <c r="IYN1011" s="181"/>
      <c r="IYO1011" s="181"/>
      <c r="IYP1011" s="181"/>
      <c r="IYQ1011" s="181"/>
      <c r="IYR1011" s="181"/>
      <c r="IYS1011" s="181"/>
      <c r="IYT1011" s="181"/>
      <c r="IYU1011" s="181"/>
      <c r="IYV1011" s="181"/>
      <c r="IYW1011" s="181"/>
      <c r="IYX1011" s="181"/>
      <c r="IYY1011" s="181"/>
      <c r="IYZ1011" s="181"/>
      <c r="IZA1011" s="181"/>
      <c r="IZB1011" s="181"/>
      <c r="IZC1011" s="181"/>
      <c r="IZD1011" s="181"/>
      <c r="IZE1011" s="181"/>
      <c r="IZF1011" s="181"/>
      <c r="IZG1011" s="181"/>
      <c r="IZH1011" s="181"/>
      <c r="IZI1011" s="181"/>
      <c r="IZJ1011" s="181"/>
      <c r="IZK1011" s="181"/>
      <c r="IZL1011" s="181"/>
      <c r="IZM1011" s="181"/>
      <c r="IZN1011" s="181"/>
      <c r="IZO1011" s="181"/>
      <c r="IZP1011" s="181"/>
      <c r="IZQ1011" s="181"/>
      <c r="IZR1011" s="181"/>
      <c r="IZS1011" s="181"/>
      <c r="IZT1011" s="181"/>
      <c r="IZU1011" s="181"/>
      <c r="IZV1011" s="181"/>
      <c r="IZW1011" s="181"/>
      <c r="IZX1011" s="181"/>
      <c r="IZY1011" s="181"/>
      <c r="IZZ1011" s="181"/>
      <c r="JAA1011" s="181"/>
      <c r="JAB1011" s="181"/>
      <c r="JAC1011" s="181"/>
      <c r="JAD1011" s="181"/>
      <c r="JAE1011" s="181"/>
      <c r="JAF1011" s="181"/>
      <c r="JAG1011" s="181"/>
      <c r="JAH1011" s="181"/>
      <c r="JAI1011" s="181"/>
      <c r="JAJ1011" s="181"/>
      <c r="JAK1011" s="181"/>
      <c r="JAL1011" s="181"/>
      <c r="JAM1011" s="181"/>
      <c r="JAN1011" s="181"/>
      <c r="JAO1011" s="181"/>
      <c r="JAP1011" s="181"/>
      <c r="JAQ1011" s="181"/>
      <c r="JAR1011" s="181"/>
      <c r="JAS1011" s="181"/>
      <c r="JAT1011" s="181"/>
      <c r="JAU1011" s="181"/>
      <c r="JAV1011" s="181"/>
      <c r="JAW1011" s="181"/>
      <c r="JAX1011" s="181"/>
      <c r="JAY1011" s="181"/>
      <c r="JAZ1011" s="181"/>
      <c r="JBA1011" s="181"/>
      <c r="JBB1011" s="181"/>
      <c r="JBC1011" s="181"/>
      <c r="JBD1011" s="181"/>
      <c r="JBE1011" s="181"/>
      <c r="JBF1011" s="181"/>
      <c r="JBG1011" s="181"/>
      <c r="JBH1011" s="181"/>
      <c r="JBI1011" s="181"/>
      <c r="JBJ1011" s="181"/>
      <c r="JBK1011" s="181"/>
      <c r="JBL1011" s="181"/>
      <c r="JBM1011" s="181"/>
      <c r="JBN1011" s="181"/>
      <c r="JBO1011" s="181"/>
      <c r="JBP1011" s="181"/>
      <c r="JBQ1011" s="181"/>
      <c r="JBR1011" s="181"/>
      <c r="JBS1011" s="181"/>
      <c r="JBT1011" s="181"/>
      <c r="JBU1011" s="181"/>
      <c r="JBV1011" s="181"/>
      <c r="JBW1011" s="181"/>
      <c r="JBX1011" s="181"/>
      <c r="JBY1011" s="181"/>
      <c r="JBZ1011" s="181"/>
      <c r="JCA1011" s="181"/>
      <c r="JCB1011" s="181"/>
      <c r="JCC1011" s="181"/>
      <c r="JCD1011" s="181"/>
      <c r="JCE1011" s="181"/>
      <c r="JCF1011" s="181"/>
      <c r="JCG1011" s="181"/>
      <c r="JCH1011" s="181"/>
      <c r="JCI1011" s="181"/>
      <c r="JCJ1011" s="181"/>
      <c r="JCK1011" s="181"/>
      <c r="JCL1011" s="181"/>
      <c r="JCM1011" s="181"/>
      <c r="JCN1011" s="181"/>
      <c r="JCO1011" s="181"/>
      <c r="JCP1011" s="181"/>
      <c r="JCQ1011" s="181"/>
      <c r="JCR1011" s="181"/>
      <c r="JCS1011" s="181"/>
      <c r="JCT1011" s="181"/>
      <c r="JCU1011" s="181"/>
      <c r="JCV1011" s="181"/>
      <c r="JCW1011" s="181"/>
      <c r="JCX1011" s="181"/>
      <c r="JCY1011" s="181"/>
      <c r="JCZ1011" s="181"/>
      <c r="JDA1011" s="181"/>
      <c r="JDB1011" s="181"/>
      <c r="JDC1011" s="181"/>
      <c r="JDD1011" s="181"/>
      <c r="JDE1011" s="181"/>
      <c r="JDF1011" s="181"/>
      <c r="JDG1011" s="181"/>
      <c r="JDH1011" s="181"/>
      <c r="JDI1011" s="181"/>
      <c r="JDJ1011" s="181"/>
      <c r="JDK1011" s="181"/>
      <c r="JDL1011" s="181"/>
      <c r="JDM1011" s="181"/>
      <c r="JDN1011" s="181"/>
      <c r="JDO1011" s="181"/>
      <c r="JDP1011" s="181"/>
      <c r="JDQ1011" s="181"/>
      <c r="JDR1011" s="181"/>
      <c r="JDS1011" s="181"/>
      <c r="JDT1011" s="181"/>
      <c r="JDU1011" s="181"/>
      <c r="JDV1011" s="181"/>
      <c r="JDW1011" s="181"/>
      <c r="JDX1011" s="181"/>
      <c r="JDY1011" s="181"/>
      <c r="JDZ1011" s="181"/>
      <c r="JEA1011" s="181"/>
      <c r="JEB1011" s="181"/>
      <c r="JEC1011" s="181"/>
      <c r="JED1011" s="181"/>
      <c r="JEE1011" s="181"/>
      <c r="JEF1011" s="181"/>
      <c r="JEG1011" s="181"/>
      <c r="JEH1011" s="181"/>
      <c r="JEI1011" s="181"/>
      <c r="JEJ1011" s="181"/>
      <c r="JEK1011" s="181"/>
      <c r="JEL1011" s="181"/>
      <c r="JEM1011" s="181"/>
      <c r="JEN1011" s="181"/>
      <c r="JEO1011" s="181"/>
      <c r="JEP1011" s="181"/>
      <c r="JEQ1011" s="181"/>
      <c r="JER1011" s="181"/>
      <c r="JES1011" s="181"/>
      <c r="JET1011" s="181"/>
      <c r="JEU1011" s="181"/>
      <c r="JEV1011" s="181"/>
      <c r="JEW1011" s="181"/>
      <c r="JEX1011" s="181"/>
      <c r="JEY1011" s="181"/>
      <c r="JEZ1011" s="181"/>
      <c r="JFA1011" s="181"/>
      <c r="JFB1011" s="181"/>
      <c r="JFC1011" s="181"/>
      <c r="JFD1011" s="181"/>
      <c r="JFE1011" s="181"/>
      <c r="JFF1011" s="181"/>
      <c r="JFG1011" s="181"/>
      <c r="JFH1011" s="181"/>
      <c r="JFI1011" s="181"/>
      <c r="JFJ1011" s="181"/>
      <c r="JFK1011" s="181"/>
      <c r="JFL1011" s="181"/>
      <c r="JFM1011" s="181"/>
      <c r="JFN1011" s="181"/>
      <c r="JFO1011" s="181"/>
      <c r="JFP1011" s="181"/>
      <c r="JFQ1011" s="181"/>
      <c r="JFR1011" s="181"/>
      <c r="JFS1011" s="181"/>
      <c r="JFT1011" s="181"/>
      <c r="JFU1011" s="181"/>
      <c r="JFV1011" s="181"/>
      <c r="JFW1011" s="181"/>
      <c r="JFX1011" s="181"/>
      <c r="JFY1011" s="181"/>
      <c r="JFZ1011" s="181"/>
      <c r="JGA1011" s="181"/>
      <c r="JGB1011" s="181"/>
      <c r="JGC1011" s="181"/>
      <c r="JGD1011" s="181"/>
      <c r="JGE1011" s="181"/>
      <c r="JGF1011" s="181"/>
      <c r="JGG1011" s="181"/>
      <c r="JGH1011" s="181"/>
      <c r="JGI1011" s="181"/>
      <c r="JGJ1011" s="181"/>
      <c r="JGK1011" s="181"/>
      <c r="JGL1011" s="181"/>
      <c r="JGM1011" s="181"/>
      <c r="JGN1011" s="181"/>
      <c r="JGO1011" s="181"/>
      <c r="JGP1011" s="181"/>
      <c r="JGQ1011" s="181"/>
      <c r="JGR1011" s="181"/>
      <c r="JGS1011" s="181"/>
      <c r="JGT1011" s="181"/>
      <c r="JGU1011" s="181"/>
      <c r="JGV1011" s="181"/>
      <c r="JGW1011" s="181"/>
      <c r="JGX1011" s="181"/>
      <c r="JGY1011" s="181"/>
      <c r="JGZ1011" s="181"/>
      <c r="JHA1011" s="181"/>
      <c r="JHB1011" s="181"/>
      <c r="JHC1011" s="181"/>
      <c r="JHD1011" s="181"/>
      <c r="JHE1011" s="181"/>
      <c r="JHF1011" s="181"/>
      <c r="JHG1011" s="181"/>
      <c r="JHH1011" s="181"/>
      <c r="JHI1011" s="181"/>
      <c r="JHJ1011" s="181"/>
      <c r="JHK1011" s="181"/>
      <c r="JHL1011" s="181"/>
      <c r="JHM1011" s="181"/>
      <c r="JHN1011" s="181"/>
      <c r="JHO1011" s="181"/>
      <c r="JHP1011" s="181"/>
      <c r="JHQ1011" s="181"/>
      <c r="JHR1011" s="181"/>
      <c r="JHS1011" s="181"/>
      <c r="JHT1011" s="181"/>
      <c r="JHU1011" s="181"/>
      <c r="JHV1011" s="181"/>
      <c r="JHW1011" s="181"/>
      <c r="JHX1011" s="181"/>
      <c r="JHY1011" s="181"/>
      <c r="JHZ1011" s="181"/>
      <c r="JIA1011" s="181"/>
      <c r="JIB1011" s="181"/>
      <c r="JIC1011" s="181"/>
      <c r="JID1011" s="181"/>
      <c r="JIE1011" s="181"/>
      <c r="JIF1011" s="181"/>
      <c r="JIG1011" s="181"/>
      <c r="JIH1011" s="181"/>
      <c r="JII1011" s="181"/>
      <c r="JIJ1011" s="181"/>
      <c r="JIK1011" s="181"/>
      <c r="JIL1011" s="181"/>
      <c r="JIM1011" s="181"/>
      <c r="JIN1011" s="181"/>
      <c r="JIO1011" s="181"/>
      <c r="JIP1011" s="181"/>
      <c r="JIQ1011" s="181"/>
      <c r="JIR1011" s="181"/>
      <c r="JIS1011" s="181"/>
      <c r="JIT1011" s="181"/>
      <c r="JIU1011" s="181"/>
      <c r="JIV1011" s="181"/>
      <c r="JIW1011" s="181"/>
      <c r="JIX1011" s="181"/>
      <c r="JIY1011" s="181"/>
      <c r="JIZ1011" s="181"/>
      <c r="JJA1011" s="181"/>
      <c r="JJB1011" s="181"/>
      <c r="JJC1011" s="181"/>
      <c r="JJD1011" s="181"/>
      <c r="JJE1011" s="181"/>
      <c r="JJF1011" s="181"/>
      <c r="JJG1011" s="181"/>
      <c r="JJH1011" s="181"/>
      <c r="JJI1011" s="181"/>
      <c r="JJJ1011" s="181"/>
      <c r="JJK1011" s="181"/>
      <c r="JJL1011" s="181"/>
      <c r="JJM1011" s="181"/>
      <c r="JJN1011" s="181"/>
      <c r="JJO1011" s="181"/>
      <c r="JJP1011" s="181"/>
      <c r="JJQ1011" s="181"/>
      <c r="JJR1011" s="181"/>
      <c r="JJS1011" s="181"/>
      <c r="JJT1011" s="181"/>
      <c r="JJU1011" s="181"/>
      <c r="JJV1011" s="181"/>
      <c r="JJW1011" s="181"/>
      <c r="JJX1011" s="181"/>
      <c r="JJY1011" s="181"/>
      <c r="JJZ1011" s="181"/>
      <c r="JKA1011" s="181"/>
      <c r="JKB1011" s="181"/>
      <c r="JKC1011" s="181"/>
      <c r="JKD1011" s="181"/>
      <c r="JKE1011" s="181"/>
      <c r="JKF1011" s="181"/>
      <c r="JKG1011" s="181"/>
      <c r="JKH1011" s="181"/>
      <c r="JKI1011" s="181"/>
      <c r="JKJ1011" s="181"/>
      <c r="JKK1011" s="181"/>
      <c r="JKL1011" s="181"/>
      <c r="JKM1011" s="181"/>
      <c r="JKN1011" s="181"/>
      <c r="JKO1011" s="181"/>
      <c r="JKP1011" s="181"/>
      <c r="JKQ1011" s="181"/>
      <c r="JKR1011" s="181"/>
      <c r="JKS1011" s="181"/>
      <c r="JKT1011" s="181"/>
      <c r="JKU1011" s="181"/>
      <c r="JKV1011" s="181"/>
      <c r="JKW1011" s="181"/>
      <c r="JKX1011" s="181"/>
      <c r="JKY1011" s="181"/>
      <c r="JKZ1011" s="181"/>
      <c r="JLA1011" s="181"/>
      <c r="JLB1011" s="181"/>
      <c r="JLC1011" s="181"/>
      <c r="JLD1011" s="181"/>
      <c r="JLE1011" s="181"/>
      <c r="JLF1011" s="181"/>
      <c r="JLG1011" s="181"/>
      <c r="JLH1011" s="181"/>
      <c r="JLI1011" s="181"/>
      <c r="JLJ1011" s="181"/>
      <c r="JLK1011" s="181"/>
      <c r="JLL1011" s="181"/>
      <c r="JLM1011" s="181"/>
      <c r="JLN1011" s="181"/>
      <c r="JLO1011" s="181"/>
      <c r="JLP1011" s="181"/>
      <c r="JLQ1011" s="181"/>
      <c r="JLR1011" s="181"/>
      <c r="JLS1011" s="181"/>
      <c r="JLT1011" s="181"/>
      <c r="JLU1011" s="181"/>
      <c r="JLV1011" s="181"/>
      <c r="JLW1011" s="181"/>
      <c r="JLX1011" s="181"/>
      <c r="JLY1011" s="181"/>
      <c r="JLZ1011" s="181"/>
      <c r="JMA1011" s="181"/>
      <c r="JMB1011" s="181"/>
      <c r="JMC1011" s="181"/>
      <c r="JMD1011" s="181"/>
      <c r="JME1011" s="181"/>
      <c r="JMF1011" s="181"/>
      <c r="JMG1011" s="181"/>
      <c r="JMH1011" s="181"/>
      <c r="JMI1011" s="181"/>
      <c r="JMJ1011" s="181"/>
      <c r="JMK1011" s="181"/>
      <c r="JML1011" s="181"/>
      <c r="JMM1011" s="181"/>
      <c r="JMN1011" s="181"/>
      <c r="JMO1011" s="181"/>
      <c r="JMP1011" s="181"/>
      <c r="JMQ1011" s="181"/>
      <c r="JMR1011" s="181"/>
      <c r="JMS1011" s="181"/>
      <c r="JMT1011" s="181"/>
      <c r="JMU1011" s="181"/>
      <c r="JMV1011" s="181"/>
      <c r="JMW1011" s="181"/>
      <c r="JMX1011" s="181"/>
      <c r="JMY1011" s="181"/>
      <c r="JMZ1011" s="181"/>
      <c r="JNA1011" s="181"/>
      <c r="JNB1011" s="181"/>
      <c r="JNC1011" s="181"/>
      <c r="JND1011" s="181"/>
      <c r="JNE1011" s="181"/>
      <c r="JNF1011" s="181"/>
      <c r="JNG1011" s="181"/>
      <c r="JNH1011" s="181"/>
      <c r="JNI1011" s="181"/>
      <c r="JNJ1011" s="181"/>
      <c r="JNK1011" s="181"/>
      <c r="JNL1011" s="181"/>
      <c r="JNM1011" s="181"/>
      <c r="JNN1011" s="181"/>
      <c r="JNO1011" s="181"/>
      <c r="JNP1011" s="181"/>
      <c r="JNQ1011" s="181"/>
      <c r="JNR1011" s="181"/>
      <c r="JNS1011" s="181"/>
      <c r="JNT1011" s="181"/>
      <c r="JNU1011" s="181"/>
      <c r="JNV1011" s="181"/>
      <c r="JNW1011" s="181"/>
      <c r="JNX1011" s="181"/>
      <c r="JNY1011" s="181"/>
      <c r="JNZ1011" s="181"/>
      <c r="JOA1011" s="181"/>
      <c r="JOB1011" s="181"/>
      <c r="JOC1011" s="181"/>
      <c r="JOD1011" s="181"/>
      <c r="JOE1011" s="181"/>
      <c r="JOF1011" s="181"/>
      <c r="JOG1011" s="181"/>
      <c r="JOH1011" s="181"/>
      <c r="JOI1011" s="181"/>
      <c r="JOJ1011" s="181"/>
      <c r="JOK1011" s="181"/>
      <c r="JOL1011" s="181"/>
      <c r="JOM1011" s="181"/>
      <c r="JON1011" s="181"/>
      <c r="JOO1011" s="181"/>
      <c r="JOP1011" s="181"/>
      <c r="JOQ1011" s="181"/>
      <c r="JOR1011" s="181"/>
      <c r="JOS1011" s="181"/>
      <c r="JOT1011" s="181"/>
      <c r="JOU1011" s="181"/>
      <c r="JOV1011" s="181"/>
      <c r="JOW1011" s="181"/>
      <c r="JOX1011" s="181"/>
      <c r="JOY1011" s="181"/>
      <c r="JOZ1011" s="181"/>
      <c r="JPA1011" s="181"/>
      <c r="JPB1011" s="181"/>
      <c r="JPC1011" s="181"/>
      <c r="JPD1011" s="181"/>
      <c r="JPE1011" s="181"/>
      <c r="JPF1011" s="181"/>
      <c r="JPG1011" s="181"/>
      <c r="JPH1011" s="181"/>
      <c r="JPI1011" s="181"/>
      <c r="JPJ1011" s="181"/>
      <c r="JPK1011" s="181"/>
      <c r="JPL1011" s="181"/>
      <c r="JPM1011" s="181"/>
      <c r="JPN1011" s="181"/>
      <c r="JPO1011" s="181"/>
      <c r="JPP1011" s="181"/>
      <c r="JPQ1011" s="181"/>
      <c r="JPR1011" s="181"/>
      <c r="JPS1011" s="181"/>
      <c r="JPT1011" s="181"/>
      <c r="JPU1011" s="181"/>
      <c r="JPV1011" s="181"/>
      <c r="JPW1011" s="181"/>
      <c r="JPX1011" s="181"/>
      <c r="JPY1011" s="181"/>
      <c r="JPZ1011" s="181"/>
      <c r="JQA1011" s="181"/>
      <c r="JQB1011" s="181"/>
      <c r="JQC1011" s="181"/>
      <c r="JQD1011" s="181"/>
      <c r="JQE1011" s="181"/>
      <c r="JQF1011" s="181"/>
      <c r="JQG1011" s="181"/>
      <c r="JQH1011" s="181"/>
      <c r="JQI1011" s="181"/>
      <c r="JQJ1011" s="181"/>
      <c r="JQK1011" s="181"/>
      <c r="JQL1011" s="181"/>
      <c r="JQM1011" s="181"/>
      <c r="JQN1011" s="181"/>
      <c r="JQO1011" s="181"/>
      <c r="JQP1011" s="181"/>
      <c r="JQQ1011" s="181"/>
      <c r="JQR1011" s="181"/>
      <c r="JQS1011" s="181"/>
      <c r="JQT1011" s="181"/>
      <c r="JQU1011" s="181"/>
      <c r="JQV1011" s="181"/>
      <c r="JQW1011" s="181"/>
      <c r="JQX1011" s="181"/>
      <c r="JQY1011" s="181"/>
      <c r="JQZ1011" s="181"/>
      <c r="JRA1011" s="181"/>
      <c r="JRB1011" s="181"/>
      <c r="JRC1011" s="181"/>
      <c r="JRD1011" s="181"/>
      <c r="JRE1011" s="181"/>
      <c r="JRF1011" s="181"/>
      <c r="JRG1011" s="181"/>
      <c r="JRH1011" s="181"/>
      <c r="JRI1011" s="181"/>
      <c r="JRJ1011" s="181"/>
      <c r="JRK1011" s="181"/>
      <c r="JRL1011" s="181"/>
      <c r="JRM1011" s="181"/>
      <c r="JRN1011" s="181"/>
      <c r="JRO1011" s="181"/>
      <c r="JRP1011" s="181"/>
      <c r="JRQ1011" s="181"/>
      <c r="JRR1011" s="181"/>
      <c r="JRS1011" s="181"/>
      <c r="JRT1011" s="181"/>
      <c r="JRU1011" s="181"/>
      <c r="JRV1011" s="181"/>
      <c r="JRW1011" s="181"/>
      <c r="JRX1011" s="181"/>
      <c r="JRY1011" s="181"/>
      <c r="JRZ1011" s="181"/>
      <c r="JSA1011" s="181"/>
      <c r="JSB1011" s="181"/>
      <c r="JSC1011" s="181"/>
      <c r="JSD1011" s="181"/>
      <c r="JSE1011" s="181"/>
      <c r="JSF1011" s="181"/>
      <c r="JSG1011" s="181"/>
      <c r="JSH1011" s="181"/>
      <c r="JSI1011" s="181"/>
      <c r="JSJ1011" s="181"/>
      <c r="JSK1011" s="181"/>
      <c r="JSL1011" s="181"/>
      <c r="JSM1011" s="181"/>
      <c r="JSN1011" s="181"/>
      <c r="JSO1011" s="181"/>
      <c r="JSP1011" s="181"/>
      <c r="JSQ1011" s="181"/>
      <c r="JSR1011" s="181"/>
      <c r="JSS1011" s="181"/>
      <c r="JST1011" s="181"/>
      <c r="JSU1011" s="181"/>
      <c r="JSV1011" s="181"/>
      <c r="JSW1011" s="181"/>
      <c r="JSX1011" s="181"/>
      <c r="JSY1011" s="181"/>
      <c r="JSZ1011" s="181"/>
      <c r="JTA1011" s="181"/>
      <c r="JTB1011" s="181"/>
      <c r="JTC1011" s="181"/>
      <c r="JTD1011" s="181"/>
      <c r="JTE1011" s="181"/>
      <c r="JTF1011" s="181"/>
      <c r="JTG1011" s="181"/>
      <c r="JTH1011" s="181"/>
      <c r="JTI1011" s="181"/>
      <c r="JTJ1011" s="181"/>
      <c r="JTK1011" s="181"/>
      <c r="JTL1011" s="181"/>
      <c r="JTM1011" s="181"/>
      <c r="JTN1011" s="181"/>
      <c r="JTO1011" s="181"/>
      <c r="JTP1011" s="181"/>
      <c r="JTQ1011" s="181"/>
      <c r="JTR1011" s="181"/>
      <c r="JTS1011" s="181"/>
      <c r="JTT1011" s="181"/>
      <c r="JTU1011" s="181"/>
      <c r="JTV1011" s="181"/>
      <c r="JTW1011" s="181"/>
      <c r="JTX1011" s="181"/>
      <c r="JTY1011" s="181"/>
      <c r="JTZ1011" s="181"/>
      <c r="JUA1011" s="181"/>
      <c r="JUB1011" s="181"/>
      <c r="JUC1011" s="181"/>
      <c r="JUD1011" s="181"/>
      <c r="JUE1011" s="181"/>
      <c r="JUF1011" s="181"/>
      <c r="JUG1011" s="181"/>
      <c r="JUH1011" s="181"/>
      <c r="JUI1011" s="181"/>
      <c r="JUJ1011" s="181"/>
      <c r="JUK1011" s="181"/>
      <c r="JUL1011" s="181"/>
      <c r="JUM1011" s="181"/>
      <c r="JUN1011" s="181"/>
      <c r="JUO1011" s="181"/>
      <c r="JUP1011" s="181"/>
      <c r="JUQ1011" s="181"/>
      <c r="JUR1011" s="181"/>
      <c r="JUS1011" s="181"/>
      <c r="JUT1011" s="181"/>
      <c r="JUU1011" s="181"/>
      <c r="JUV1011" s="181"/>
      <c r="JUW1011" s="181"/>
      <c r="JUX1011" s="181"/>
      <c r="JUY1011" s="181"/>
      <c r="JUZ1011" s="181"/>
      <c r="JVA1011" s="181"/>
      <c r="JVB1011" s="181"/>
      <c r="JVC1011" s="181"/>
      <c r="JVD1011" s="181"/>
      <c r="JVE1011" s="181"/>
      <c r="JVF1011" s="181"/>
      <c r="JVG1011" s="181"/>
      <c r="JVH1011" s="181"/>
      <c r="JVI1011" s="181"/>
      <c r="JVJ1011" s="181"/>
      <c r="JVK1011" s="181"/>
      <c r="JVL1011" s="181"/>
      <c r="JVM1011" s="181"/>
      <c r="JVN1011" s="181"/>
      <c r="JVO1011" s="181"/>
      <c r="JVP1011" s="181"/>
      <c r="JVQ1011" s="181"/>
      <c r="JVR1011" s="181"/>
      <c r="JVS1011" s="181"/>
      <c r="JVT1011" s="181"/>
      <c r="JVU1011" s="181"/>
      <c r="JVV1011" s="181"/>
      <c r="JVW1011" s="181"/>
      <c r="JVX1011" s="181"/>
      <c r="JVY1011" s="181"/>
      <c r="JVZ1011" s="181"/>
      <c r="JWA1011" s="181"/>
      <c r="JWB1011" s="181"/>
      <c r="JWC1011" s="181"/>
      <c r="JWD1011" s="181"/>
      <c r="JWE1011" s="181"/>
      <c r="JWF1011" s="181"/>
      <c r="JWG1011" s="181"/>
      <c r="JWH1011" s="181"/>
      <c r="JWI1011" s="181"/>
      <c r="JWJ1011" s="181"/>
      <c r="JWK1011" s="181"/>
      <c r="JWL1011" s="181"/>
      <c r="JWM1011" s="181"/>
      <c r="JWN1011" s="181"/>
      <c r="JWO1011" s="181"/>
      <c r="JWP1011" s="181"/>
      <c r="JWQ1011" s="181"/>
      <c r="JWR1011" s="181"/>
      <c r="JWS1011" s="181"/>
      <c r="JWT1011" s="181"/>
      <c r="JWU1011" s="181"/>
      <c r="JWV1011" s="181"/>
      <c r="JWW1011" s="181"/>
      <c r="JWX1011" s="181"/>
      <c r="JWY1011" s="181"/>
      <c r="JWZ1011" s="181"/>
      <c r="JXA1011" s="181"/>
      <c r="JXB1011" s="181"/>
      <c r="JXC1011" s="181"/>
      <c r="JXD1011" s="181"/>
      <c r="JXE1011" s="181"/>
      <c r="JXF1011" s="181"/>
      <c r="JXG1011" s="181"/>
      <c r="JXH1011" s="181"/>
      <c r="JXI1011" s="181"/>
      <c r="JXJ1011" s="181"/>
      <c r="JXK1011" s="181"/>
      <c r="JXL1011" s="181"/>
      <c r="JXM1011" s="181"/>
      <c r="JXN1011" s="181"/>
      <c r="JXO1011" s="181"/>
      <c r="JXP1011" s="181"/>
      <c r="JXQ1011" s="181"/>
      <c r="JXR1011" s="181"/>
      <c r="JXS1011" s="181"/>
      <c r="JXT1011" s="181"/>
      <c r="JXU1011" s="181"/>
      <c r="JXV1011" s="181"/>
      <c r="JXW1011" s="181"/>
      <c r="JXX1011" s="181"/>
      <c r="JXY1011" s="181"/>
      <c r="JXZ1011" s="181"/>
      <c r="JYA1011" s="181"/>
      <c r="JYB1011" s="181"/>
      <c r="JYC1011" s="181"/>
      <c r="JYD1011" s="181"/>
      <c r="JYE1011" s="181"/>
      <c r="JYF1011" s="181"/>
      <c r="JYG1011" s="181"/>
      <c r="JYH1011" s="181"/>
      <c r="JYI1011" s="181"/>
      <c r="JYJ1011" s="181"/>
      <c r="JYK1011" s="181"/>
      <c r="JYL1011" s="181"/>
      <c r="JYM1011" s="181"/>
      <c r="JYN1011" s="181"/>
      <c r="JYO1011" s="181"/>
      <c r="JYP1011" s="181"/>
      <c r="JYQ1011" s="181"/>
      <c r="JYR1011" s="181"/>
      <c r="JYS1011" s="181"/>
      <c r="JYT1011" s="181"/>
      <c r="JYU1011" s="181"/>
      <c r="JYV1011" s="181"/>
      <c r="JYW1011" s="181"/>
      <c r="JYX1011" s="181"/>
      <c r="JYY1011" s="181"/>
      <c r="JYZ1011" s="181"/>
      <c r="JZA1011" s="181"/>
      <c r="JZB1011" s="181"/>
      <c r="JZC1011" s="181"/>
      <c r="JZD1011" s="181"/>
      <c r="JZE1011" s="181"/>
      <c r="JZF1011" s="181"/>
      <c r="JZG1011" s="181"/>
      <c r="JZH1011" s="181"/>
      <c r="JZI1011" s="181"/>
      <c r="JZJ1011" s="181"/>
      <c r="JZK1011" s="181"/>
      <c r="JZL1011" s="181"/>
      <c r="JZM1011" s="181"/>
      <c r="JZN1011" s="181"/>
      <c r="JZO1011" s="181"/>
      <c r="JZP1011" s="181"/>
      <c r="JZQ1011" s="181"/>
      <c r="JZR1011" s="181"/>
      <c r="JZS1011" s="181"/>
      <c r="JZT1011" s="181"/>
      <c r="JZU1011" s="181"/>
      <c r="JZV1011" s="181"/>
      <c r="JZW1011" s="181"/>
      <c r="JZX1011" s="181"/>
      <c r="JZY1011" s="181"/>
      <c r="JZZ1011" s="181"/>
      <c r="KAA1011" s="181"/>
      <c r="KAB1011" s="181"/>
      <c r="KAC1011" s="181"/>
      <c r="KAD1011" s="181"/>
      <c r="KAE1011" s="181"/>
      <c r="KAF1011" s="181"/>
      <c r="KAG1011" s="181"/>
      <c r="KAH1011" s="181"/>
      <c r="KAI1011" s="181"/>
      <c r="KAJ1011" s="181"/>
      <c r="KAK1011" s="181"/>
      <c r="KAL1011" s="181"/>
      <c r="KAM1011" s="181"/>
      <c r="KAN1011" s="181"/>
      <c r="KAO1011" s="181"/>
      <c r="KAP1011" s="181"/>
      <c r="KAQ1011" s="181"/>
      <c r="KAR1011" s="181"/>
      <c r="KAS1011" s="181"/>
      <c r="KAT1011" s="181"/>
      <c r="KAU1011" s="181"/>
      <c r="KAV1011" s="181"/>
      <c r="KAW1011" s="181"/>
      <c r="KAX1011" s="181"/>
      <c r="KAY1011" s="181"/>
      <c r="KAZ1011" s="181"/>
      <c r="KBA1011" s="181"/>
      <c r="KBB1011" s="181"/>
      <c r="KBC1011" s="181"/>
      <c r="KBD1011" s="181"/>
      <c r="KBE1011" s="181"/>
      <c r="KBF1011" s="181"/>
      <c r="KBG1011" s="181"/>
      <c r="KBH1011" s="181"/>
      <c r="KBI1011" s="181"/>
      <c r="KBJ1011" s="181"/>
      <c r="KBK1011" s="181"/>
      <c r="KBL1011" s="181"/>
      <c r="KBM1011" s="181"/>
      <c r="KBN1011" s="181"/>
      <c r="KBO1011" s="181"/>
      <c r="KBP1011" s="181"/>
      <c r="KBQ1011" s="181"/>
      <c r="KBR1011" s="181"/>
      <c r="KBS1011" s="181"/>
      <c r="KBT1011" s="181"/>
      <c r="KBU1011" s="181"/>
      <c r="KBV1011" s="181"/>
      <c r="KBW1011" s="181"/>
      <c r="KBX1011" s="181"/>
      <c r="KBY1011" s="181"/>
      <c r="KBZ1011" s="181"/>
      <c r="KCA1011" s="181"/>
      <c r="KCB1011" s="181"/>
      <c r="KCC1011" s="181"/>
      <c r="KCD1011" s="181"/>
      <c r="KCE1011" s="181"/>
      <c r="KCF1011" s="181"/>
      <c r="KCG1011" s="181"/>
      <c r="KCH1011" s="181"/>
      <c r="KCI1011" s="181"/>
      <c r="KCJ1011" s="181"/>
      <c r="KCK1011" s="181"/>
      <c r="KCL1011" s="181"/>
      <c r="KCM1011" s="181"/>
      <c r="KCN1011" s="181"/>
      <c r="KCO1011" s="181"/>
      <c r="KCP1011" s="181"/>
      <c r="KCQ1011" s="181"/>
      <c r="KCR1011" s="181"/>
      <c r="KCS1011" s="181"/>
      <c r="KCT1011" s="181"/>
      <c r="KCU1011" s="181"/>
      <c r="KCV1011" s="181"/>
      <c r="KCW1011" s="181"/>
      <c r="KCX1011" s="181"/>
      <c r="KCY1011" s="181"/>
      <c r="KCZ1011" s="181"/>
      <c r="KDA1011" s="181"/>
      <c r="KDB1011" s="181"/>
      <c r="KDC1011" s="181"/>
      <c r="KDD1011" s="181"/>
      <c r="KDE1011" s="181"/>
      <c r="KDF1011" s="181"/>
      <c r="KDG1011" s="181"/>
      <c r="KDH1011" s="181"/>
      <c r="KDI1011" s="181"/>
      <c r="KDJ1011" s="181"/>
      <c r="KDK1011" s="181"/>
      <c r="KDL1011" s="181"/>
      <c r="KDM1011" s="181"/>
      <c r="KDN1011" s="181"/>
      <c r="KDO1011" s="181"/>
      <c r="KDP1011" s="181"/>
      <c r="KDQ1011" s="181"/>
      <c r="KDR1011" s="181"/>
      <c r="KDS1011" s="181"/>
      <c r="KDT1011" s="181"/>
      <c r="KDU1011" s="181"/>
      <c r="KDV1011" s="181"/>
      <c r="KDW1011" s="181"/>
      <c r="KDX1011" s="181"/>
      <c r="KDY1011" s="181"/>
      <c r="KDZ1011" s="181"/>
      <c r="KEA1011" s="181"/>
      <c r="KEB1011" s="181"/>
      <c r="KEC1011" s="181"/>
      <c r="KED1011" s="181"/>
      <c r="KEE1011" s="181"/>
      <c r="KEF1011" s="181"/>
      <c r="KEG1011" s="181"/>
      <c r="KEH1011" s="181"/>
      <c r="KEI1011" s="181"/>
      <c r="KEJ1011" s="181"/>
      <c r="KEK1011" s="181"/>
      <c r="KEL1011" s="181"/>
      <c r="KEM1011" s="181"/>
      <c r="KEN1011" s="181"/>
      <c r="KEO1011" s="181"/>
      <c r="KEP1011" s="181"/>
      <c r="KEQ1011" s="181"/>
      <c r="KER1011" s="181"/>
      <c r="KES1011" s="181"/>
      <c r="KET1011" s="181"/>
      <c r="KEU1011" s="181"/>
      <c r="KEV1011" s="181"/>
      <c r="KEW1011" s="181"/>
      <c r="KEX1011" s="181"/>
      <c r="KEY1011" s="181"/>
      <c r="KEZ1011" s="181"/>
      <c r="KFA1011" s="181"/>
      <c r="KFB1011" s="181"/>
      <c r="KFC1011" s="181"/>
      <c r="KFD1011" s="181"/>
      <c r="KFE1011" s="181"/>
      <c r="KFF1011" s="181"/>
      <c r="KFG1011" s="181"/>
      <c r="KFH1011" s="181"/>
      <c r="KFI1011" s="181"/>
      <c r="KFJ1011" s="181"/>
      <c r="KFK1011" s="181"/>
      <c r="KFL1011" s="181"/>
      <c r="KFM1011" s="181"/>
      <c r="KFN1011" s="181"/>
      <c r="KFO1011" s="181"/>
      <c r="KFP1011" s="181"/>
      <c r="KFQ1011" s="181"/>
      <c r="KFR1011" s="181"/>
      <c r="KFS1011" s="181"/>
      <c r="KFT1011" s="181"/>
      <c r="KFU1011" s="181"/>
      <c r="KFV1011" s="181"/>
      <c r="KFW1011" s="181"/>
      <c r="KFX1011" s="181"/>
      <c r="KFY1011" s="181"/>
      <c r="KFZ1011" s="181"/>
      <c r="KGA1011" s="181"/>
      <c r="KGB1011" s="181"/>
      <c r="KGC1011" s="181"/>
      <c r="KGD1011" s="181"/>
      <c r="KGE1011" s="181"/>
      <c r="KGF1011" s="181"/>
      <c r="KGG1011" s="181"/>
      <c r="KGH1011" s="181"/>
      <c r="KGI1011" s="181"/>
      <c r="KGJ1011" s="181"/>
      <c r="KGK1011" s="181"/>
      <c r="KGL1011" s="181"/>
      <c r="KGM1011" s="181"/>
      <c r="KGN1011" s="181"/>
      <c r="KGO1011" s="181"/>
      <c r="KGP1011" s="181"/>
      <c r="KGQ1011" s="181"/>
      <c r="KGR1011" s="181"/>
      <c r="KGS1011" s="181"/>
      <c r="KGT1011" s="181"/>
      <c r="KGU1011" s="181"/>
      <c r="KGV1011" s="181"/>
      <c r="KGW1011" s="181"/>
      <c r="KGX1011" s="181"/>
      <c r="KGY1011" s="181"/>
      <c r="KGZ1011" s="181"/>
      <c r="KHA1011" s="181"/>
      <c r="KHB1011" s="181"/>
      <c r="KHC1011" s="181"/>
      <c r="KHD1011" s="181"/>
      <c r="KHE1011" s="181"/>
      <c r="KHF1011" s="181"/>
      <c r="KHG1011" s="181"/>
      <c r="KHH1011" s="181"/>
      <c r="KHI1011" s="181"/>
      <c r="KHJ1011" s="181"/>
      <c r="KHK1011" s="181"/>
      <c r="KHL1011" s="181"/>
      <c r="KHM1011" s="181"/>
      <c r="KHN1011" s="181"/>
      <c r="KHO1011" s="181"/>
      <c r="KHP1011" s="181"/>
      <c r="KHQ1011" s="181"/>
      <c r="KHR1011" s="181"/>
      <c r="KHS1011" s="181"/>
      <c r="KHT1011" s="181"/>
      <c r="KHU1011" s="181"/>
      <c r="KHV1011" s="181"/>
      <c r="KHW1011" s="181"/>
      <c r="KHX1011" s="181"/>
      <c r="KHY1011" s="181"/>
      <c r="KHZ1011" s="181"/>
      <c r="KIA1011" s="181"/>
      <c r="KIB1011" s="181"/>
      <c r="KIC1011" s="181"/>
      <c r="KID1011" s="181"/>
      <c r="KIE1011" s="181"/>
      <c r="KIF1011" s="181"/>
      <c r="KIG1011" s="181"/>
      <c r="KIH1011" s="181"/>
      <c r="KII1011" s="181"/>
      <c r="KIJ1011" s="181"/>
      <c r="KIK1011" s="181"/>
      <c r="KIL1011" s="181"/>
      <c r="KIM1011" s="181"/>
      <c r="KIN1011" s="181"/>
      <c r="KIO1011" s="181"/>
      <c r="KIP1011" s="181"/>
      <c r="KIQ1011" s="181"/>
      <c r="KIR1011" s="181"/>
      <c r="KIS1011" s="181"/>
      <c r="KIT1011" s="181"/>
      <c r="KIU1011" s="181"/>
      <c r="KIV1011" s="181"/>
      <c r="KIW1011" s="181"/>
      <c r="KIX1011" s="181"/>
      <c r="KIY1011" s="181"/>
      <c r="KIZ1011" s="181"/>
      <c r="KJA1011" s="181"/>
      <c r="KJB1011" s="181"/>
      <c r="KJC1011" s="181"/>
      <c r="KJD1011" s="181"/>
      <c r="KJE1011" s="181"/>
      <c r="KJF1011" s="181"/>
      <c r="KJG1011" s="181"/>
      <c r="KJH1011" s="181"/>
      <c r="KJI1011" s="181"/>
      <c r="KJJ1011" s="181"/>
      <c r="KJK1011" s="181"/>
      <c r="KJL1011" s="181"/>
      <c r="KJM1011" s="181"/>
      <c r="KJN1011" s="181"/>
      <c r="KJO1011" s="181"/>
      <c r="KJP1011" s="181"/>
      <c r="KJQ1011" s="181"/>
      <c r="KJR1011" s="181"/>
      <c r="KJS1011" s="181"/>
      <c r="KJT1011" s="181"/>
      <c r="KJU1011" s="181"/>
      <c r="KJV1011" s="181"/>
      <c r="KJW1011" s="181"/>
      <c r="KJX1011" s="181"/>
      <c r="KJY1011" s="181"/>
      <c r="KJZ1011" s="181"/>
      <c r="KKA1011" s="181"/>
      <c r="KKB1011" s="181"/>
      <c r="KKC1011" s="181"/>
      <c r="KKD1011" s="181"/>
      <c r="KKE1011" s="181"/>
      <c r="KKF1011" s="181"/>
      <c r="KKG1011" s="181"/>
      <c r="KKH1011" s="181"/>
      <c r="KKI1011" s="181"/>
      <c r="KKJ1011" s="181"/>
      <c r="KKK1011" s="181"/>
      <c r="KKL1011" s="181"/>
      <c r="KKM1011" s="181"/>
      <c r="KKN1011" s="181"/>
      <c r="KKO1011" s="181"/>
      <c r="KKP1011" s="181"/>
      <c r="KKQ1011" s="181"/>
      <c r="KKR1011" s="181"/>
      <c r="KKS1011" s="181"/>
      <c r="KKT1011" s="181"/>
      <c r="KKU1011" s="181"/>
      <c r="KKV1011" s="181"/>
      <c r="KKW1011" s="181"/>
      <c r="KKX1011" s="181"/>
      <c r="KKY1011" s="181"/>
      <c r="KKZ1011" s="181"/>
      <c r="KLA1011" s="181"/>
      <c r="KLB1011" s="181"/>
      <c r="KLC1011" s="181"/>
      <c r="KLD1011" s="181"/>
      <c r="KLE1011" s="181"/>
      <c r="KLF1011" s="181"/>
      <c r="KLG1011" s="181"/>
      <c r="KLH1011" s="181"/>
      <c r="KLI1011" s="181"/>
      <c r="KLJ1011" s="181"/>
      <c r="KLK1011" s="181"/>
      <c r="KLL1011" s="181"/>
      <c r="KLM1011" s="181"/>
      <c r="KLN1011" s="181"/>
      <c r="KLO1011" s="181"/>
      <c r="KLP1011" s="181"/>
      <c r="KLQ1011" s="181"/>
      <c r="KLR1011" s="181"/>
      <c r="KLS1011" s="181"/>
      <c r="KLT1011" s="181"/>
      <c r="KLU1011" s="181"/>
      <c r="KLV1011" s="181"/>
      <c r="KLW1011" s="181"/>
      <c r="KLX1011" s="181"/>
      <c r="KLY1011" s="181"/>
      <c r="KLZ1011" s="181"/>
      <c r="KMA1011" s="181"/>
      <c r="KMB1011" s="181"/>
      <c r="KMC1011" s="181"/>
      <c r="KMD1011" s="181"/>
      <c r="KME1011" s="181"/>
      <c r="KMF1011" s="181"/>
      <c r="KMG1011" s="181"/>
      <c r="KMH1011" s="181"/>
      <c r="KMI1011" s="181"/>
      <c r="KMJ1011" s="181"/>
      <c r="KMK1011" s="181"/>
      <c r="KML1011" s="181"/>
      <c r="KMM1011" s="181"/>
      <c r="KMN1011" s="181"/>
      <c r="KMO1011" s="181"/>
      <c r="KMP1011" s="181"/>
      <c r="KMQ1011" s="181"/>
      <c r="KMR1011" s="181"/>
      <c r="KMS1011" s="181"/>
      <c r="KMT1011" s="181"/>
      <c r="KMU1011" s="181"/>
      <c r="KMV1011" s="181"/>
      <c r="KMW1011" s="181"/>
      <c r="KMX1011" s="181"/>
      <c r="KMY1011" s="181"/>
      <c r="KMZ1011" s="181"/>
      <c r="KNA1011" s="181"/>
      <c r="KNB1011" s="181"/>
      <c r="KNC1011" s="181"/>
      <c r="KND1011" s="181"/>
      <c r="KNE1011" s="181"/>
      <c r="KNF1011" s="181"/>
      <c r="KNG1011" s="181"/>
      <c r="KNH1011" s="181"/>
      <c r="KNI1011" s="181"/>
      <c r="KNJ1011" s="181"/>
      <c r="KNK1011" s="181"/>
      <c r="KNL1011" s="181"/>
      <c r="KNM1011" s="181"/>
      <c r="KNN1011" s="181"/>
      <c r="KNO1011" s="181"/>
      <c r="KNP1011" s="181"/>
      <c r="KNQ1011" s="181"/>
      <c r="KNR1011" s="181"/>
      <c r="KNS1011" s="181"/>
      <c r="KNT1011" s="181"/>
      <c r="KNU1011" s="181"/>
      <c r="KNV1011" s="181"/>
      <c r="KNW1011" s="181"/>
      <c r="KNX1011" s="181"/>
      <c r="KNY1011" s="181"/>
      <c r="KNZ1011" s="181"/>
      <c r="KOA1011" s="181"/>
      <c r="KOB1011" s="181"/>
      <c r="KOC1011" s="181"/>
      <c r="KOD1011" s="181"/>
      <c r="KOE1011" s="181"/>
      <c r="KOF1011" s="181"/>
      <c r="KOG1011" s="181"/>
      <c r="KOH1011" s="181"/>
      <c r="KOI1011" s="181"/>
      <c r="KOJ1011" s="181"/>
      <c r="KOK1011" s="181"/>
      <c r="KOL1011" s="181"/>
      <c r="KOM1011" s="181"/>
      <c r="KON1011" s="181"/>
      <c r="KOO1011" s="181"/>
      <c r="KOP1011" s="181"/>
      <c r="KOQ1011" s="181"/>
      <c r="KOR1011" s="181"/>
      <c r="KOS1011" s="181"/>
      <c r="KOT1011" s="181"/>
      <c r="KOU1011" s="181"/>
      <c r="KOV1011" s="181"/>
      <c r="KOW1011" s="181"/>
      <c r="KOX1011" s="181"/>
      <c r="KOY1011" s="181"/>
      <c r="KOZ1011" s="181"/>
      <c r="KPA1011" s="181"/>
      <c r="KPB1011" s="181"/>
      <c r="KPC1011" s="181"/>
      <c r="KPD1011" s="181"/>
      <c r="KPE1011" s="181"/>
      <c r="KPF1011" s="181"/>
      <c r="KPG1011" s="181"/>
      <c r="KPH1011" s="181"/>
      <c r="KPI1011" s="181"/>
      <c r="KPJ1011" s="181"/>
      <c r="KPK1011" s="181"/>
      <c r="KPL1011" s="181"/>
      <c r="KPM1011" s="181"/>
      <c r="KPN1011" s="181"/>
      <c r="KPO1011" s="181"/>
      <c r="KPP1011" s="181"/>
      <c r="KPQ1011" s="181"/>
      <c r="KPR1011" s="181"/>
      <c r="KPS1011" s="181"/>
      <c r="KPT1011" s="181"/>
      <c r="KPU1011" s="181"/>
      <c r="KPV1011" s="181"/>
      <c r="KPW1011" s="181"/>
      <c r="KPX1011" s="181"/>
      <c r="KPY1011" s="181"/>
      <c r="KPZ1011" s="181"/>
      <c r="KQA1011" s="181"/>
      <c r="KQB1011" s="181"/>
      <c r="KQC1011" s="181"/>
      <c r="KQD1011" s="181"/>
      <c r="KQE1011" s="181"/>
      <c r="KQF1011" s="181"/>
      <c r="KQG1011" s="181"/>
      <c r="KQH1011" s="181"/>
      <c r="KQI1011" s="181"/>
      <c r="KQJ1011" s="181"/>
      <c r="KQK1011" s="181"/>
      <c r="KQL1011" s="181"/>
      <c r="KQM1011" s="181"/>
      <c r="KQN1011" s="181"/>
      <c r="KQO1011" s="181"/>
      <c r="KQP1011" s="181"/>
      <c r="KQQ1011" s="181"/>
      <c r="KQR1011" s="181"/>
      <c r="KQS1011" s="181"/>
      <c r="KQT1011" s="181"/>
      <c r="KQU1011" s="181"/>
      <c r="KQV1011" s="181"/>
      <c r="KQW1011" s="181"/>
      <c r="KQX1011" s="181"/>
      <c r="KQY1011" s="181"/>
      <c r="KQZ1011" s="181"/>
      <c r="KRA1011" s="181"/>
      <c r="KRB1011" s="181"/>
      <c r="KRC1011" s="181"/>
      <c r="KRD1011" s="181"/>
      <c r="KRE1011" s="181"/>
      <c r="KRF1011" s="181"/>
      <c r="KRG1011" s="181"/>
      <c r="KRH1011" s="181"/>
      <c r="KRI1011" s="181"/>
      <c r="KRJ1011" s="181"/>
      <c r="KRK1011" s="181"/>
      <c r="KRL1011" s="181"/>
      <c r="KRM1011" s="181"/>
      <c r="KRN1011" s="181"/>
      <c r="KRO1011" s="181"/>
      <c r="KRP1011" s="181"/>
      <c r="KRQ1011" s="181"/>
      <c r="KRR1011" s="181"/>
      <c r="KRS1011" s="181"/>
      <c r="KRT1011" s="181"/>
      <c r="KRU1011" s="181"/>
      <c r="KRV1011" s="181"/>
      <c r="KRW1011" s="181"/>
      <c r="KRX1011" s="181"/>
      <c r="KRY1011" s="181"/>
      <c r="KRZ1011" s="181"/>
      <c r="KSA1011" s="181"/>
      <c r="KSB1011" s="181"/>
      <c r="KSC1011" s="181"/>
      <c r="KSD1011" s="181"/>
      <c r="KSE1011" s="181"/>
      <c r="KSF1011" s="181"/>
      <c r="KSG1011" s="181"/>
      <c r="KSH1011" s="181"/>
      <c r="KSI1011" s="181"/>
      <c r="KSJ1011" s="181"/>
      <c r="KSK1011" s="181"/>
      <c r="KSL1011" s="181"/>
      <c r="KSM1011" s="181"/>
      <c r="KSN1011" s="181"/>
      <c r="KSO1011" s="181"/>
      <c r="KSP1011" s="181"/>
      <c r="KSQ1011" s="181"/>
      <c r="KSR1011" s="181"/>
      <c r="KSS1011" s="181"/>
      <c r="KST1011" s="181"/>
      <c r="KSU1011" s="181"/>
      <c r="KSV1011" s="181"/>
      <c r="KSW1011" s="181"/>
      <c r="KSX1011" s="181"/>
      <c r="KSY1011" s="181"/>
      <c r="KSZ1011" s="181"/>
      <c r="KTA1011" s="181"/>
      <c r="KTB1011" s="181"/>
      <c r="KTC1011" s="181"/>
      <c r="KTD1011" s="181"/>
      <c r="KTE1011" s="181"/>
      <c r="KTF1011" s="181"/>
      <c r="KTG1011" s="181"/>
      <c r="KTH1011" s="181"/>
      <c r="KTI1011" s="181"/>
      <c r="KTJ1011" s="181"/>
      <c r="KTK1011" s="181"/>
      <c r="KTL1011" s="181"/>
      <c r="KTM1011" s="181"/>
      <c r="KTN1011" s="181"/>
      <c r="KTO1011" s="181"/>
      <c r="KTP1011" s="181"/>
      <c r="KTQ1011" s="181"/>
      <c r="KTR1011" s="181"/>
      <c r="KTS1011" s="181"/>
      <c r="KTT1011" s="181"/>
      <c r="KTU1011" s="181"/>
      <c r="KTV1011" s="181"/>
      <c r="KTW1011" s="181"/>
      <c r="KTX1011" s="181"/>
      <c r="KTY1011" s="181"/>
      <c r="KTZ1011" s="181"/>
      <c r="KUA1011" s="181"/>
      <c r="KUB1011" s="181"/>
      <c r="KUC1011" s="181"/>
      <c r="KUD1011" s="181"/>
      <c r="KUE1011" s="181"/>
      <c r="KUF1011" s="181"/>
      <c r="KUG1011" s="181"/>
      <c r="KUH1011" s="181"/>
      <c r="KUI1011" s="181"/>
      <c r="KUJ1011" s="181"/>
      <c r="KUK1011" s="181"/>
      <c r="KUL1011" s="181"/>
      <c r="KUM1011" s="181"/>
      <c r="KUN1011" s="181"/>
      <c r="KUO1011" s="181"/>
      <c r="KUP1011" s="181"/>
      <c r="KUQ1011" s="181"/>
      <c r="KUR1011" s="181"/>
      <c r="KUS1011" s="181"/>
      <c r="KUT1011" s="181"/>
      <c r="KUU1011" s="181"/>
      <c r="KUV1011" s="181"/>
      <c r="KUW1011" s="181"/>
      <c r="KUX1011" s="181"/>
      <c r="KUY1011" s="181"/>
      <c r="KUZ1011" s="181"/>
      <c r="KVA1011" s="181"/>
      <c r="KVB1011" s="181"/>
      <c r="KVC1011" s="181"/>
      <c r="KVD1011" s="181"/>
      <c r="KVE1011" s="181"/>
      <c r="KVF1011" s="181"/>
      <c r="KVG1011" s="181"/>
      <c r="KVH1011" s="181"/>
      <c r="KVI1011" s="181"/>
      <c r="KVJ1011" s="181"/>
      <c r="KVK1011" s="181"/>
      <c r="KVL1011" s="181"/>
      <c r="KVM1011" s="181"/>
      <c r="KVN1011" s="181"/>
      <c r="KVO1011" s="181"/>
      <c r="KVP1011" s="181"/>
      <c r="KVQ1011" s="181"/>
      <c r="KVR1011" s="181"/>
      <c r="KVS1011" s="181"/>
      <c r="KVT1011" s="181"/>
      <c r="KVU1011" s="181"/>
      <c r="KVV1011" s="181"/>
      <c r="KVW1011" s="181"/>
      <c r="KVX1011" s="181"/>
      <c r="KVY1011" s="181"/>
      <c r="KVZ1011" s="181"/>
      <c r="KWA1011" s="181"/>
      <c r="KWB1011" s="181"/>
      <c r="KWC1011" s="181"/>
      <c r="KWD1011" s="181"/>
      <c r="KWE1011" s="181"/>
      <c r="KWF1011" s="181"/>
      <c r="KWG1011" s="181"/>
      <c r="KWH1011" s="181"/>
      <c r="KWI1011" s="181"/>
      <c r="KWJ1011" s="181"/>
      <c r="KWK1011" s="181"/>
      <c r="KWL1011" s="181"/>
      <c r="KWM1011" s="181"/>
      <c r="KWN1011" s="181"/>
      <c r="KWO1011" s="181"/>
      <c r="KWP1011" s="181"/>
      <c r="KWQ1011" s="181"/>
      <c r="KWR1011" s="181"/>
      <c r="KWS1011" s="181"/>
      <c r="KWT1011" s="181"/>
      <c r="KWU1011" s="181"/>
      <c r="KWV1011" s="181"/>
      <c r="KWW1011" s="181"/>
      <c r="KWX1011" s="181"/>
      <c r="KWY1011" s="181"/>
      <c r="KWZ1011" s="181"/>
      <c r="KXA1011" s="181"/>
      <c r="KXB1011" s="181"/>
      <c r="KXC1011" s="181"/>
      <c r="KXD1011" s="181"/>
      <c r="KXE1011" s="181"/>
      <c r="KXF1011" s="181"/>
      <c r="KXG1011" s="181"/>
      <c r="KXH1011" s="181"/>
      <c r="KXI1011" s="181"/>
      <c r="KXJ1011" s="181"/>
      <c r="KXK1011" s="181"/>
      <c r="KXL1011" s="181"/>
      <c r="KXM1011" s="181"/>
      <c r="KXN1011" s="181"/>
      <c r="KXO1011" s="181"/>
      <c r="KXP1011" s="181"/>
      <c r="KXQ1011" s="181"/>
      <c r="KXR1011" s="181"/>
      <c r="KXS1011" s="181"/>
      <c r="KXT1011" s="181"/>
      <c r="KXU1011" s="181"/>
      <c r="KXV1011" s="181"/>
      <c r="KXW1011" s="181"/>
      <c r="KXX1011" s="181"/>
      <c r="KXY1011" s="181"/>
      <c r="KXZ1011" s="181"/>
      <c r="KYA1011" s="181"/>
      <c r="KYB1011" s="181"/>
      <c r="KYC1011" s="181"/>
      <c r="KYD1011" s="181"/>
      <c r="KYE1011" s="181"/>
      <c r="KYF1011" s="181"/>
      <c r="KYG1011" s="181"/>
      <c r="KYH1011" s="181"/>
      <c r="KYI1011" s="181"/>
      <c r="KYJ1011" s="181"/>
      <c r="KYK1011" s="181"/>
      <c r="KYL1011" s="181"/>
      <c r="KYM1011" s="181"/>
      <c r="KYN1011" s="181"/>
      <c r="KYO1011" s="181"/>
      <c r="KYP1011" s="181"/>
      <c r="KYQ1011" s="181"/>
      <c r="KYR1011" s="181"/>
      <c r="KYS1011" s="181"/>
      <c r="KYT1011" s="181"/>
      <c r="KYU1011" s="181"/>
      <c r="KYV1011" s="181"/>
      <c r="KYW1011" s="181"/>
      <c r="KYX1011" s="181"/>
      <c r="KYY1011" s="181"/>
      <c r="KYZ1011" s="181"/>
      <c r="KZA1011" s="181"/>
      <c r="KZB1011" s="181"/>
      <c r="KZC1011" s="181"/>
      <c r="KZD1011" s="181"/>
      <c r="KZE1011" s="181"/>
      <c r="KZF1011" s="181"/>
      <c r="KZG1011" s="181"/>
      <c r="KZH1011" s="181"/>
      <c r="KZI1011" s="181"/>
      <c r="KZJ1011" s="181"/>
      <c r="KZK1011" s="181"/>
      <c r="KZL1011" s="181"/>
      <c r="KZM1011" s="181"/>
      <c r="KZN1011" s="181"/>
      <c r="KZO1011" s="181"/>
      <c r="KZP1011" s="181"/>
      <c r="KZQ1011" s="181"/>
      <c r="KZR1011" s="181"/>
      <c r="KZS1011" s="181"/>
      <c r="KZT1011" s="181"/>
      <c r="KZU1011" s="181"/>
      <c r="KZV1011" s="181"/>
      <c r="KZW1011" s="181"/>
      <c r="KZX1011" s="181"/>
      <c r="KZY1011" s="181"/>
      <c r="KZZ1011" s="181"/>
      <c r="LAA1011" s="181"/>
      <c r="LAB1011" s="181"/>
      <c r="LAC1011" s="181"/>
      <c r="LAD1011" s="181"/>
      <c r="LAE1011" s="181"/>
      <c r="LAF1011" s="181"/>
      <c r="LAG1011" s="181"/>
      <c r="LAH1011" s="181"/>
      <c r="LAI1011" s="181"/>
      <c r="LAJ1011" s="181"/>
      <c r="LAK1011" s="181"/>
      <c r="LAL1011" s="181"/>
      <c r="LAM1011" s="181"/>
      <c r="LAN1011" s="181"/>
      <c r="LAO1011" s="181"/>
      <c r="LAP1011" s="181"/>
      <c r="LAQ1011" s="181"/>
      <c r="LAR1011" s="181"/>
      <c r="LAS1011" s="181"/>
      <c r="LAT1011" s="181"/>
      <c r="LAU1011" s="181"/>
      <c r="LAV1011" s="181"/>
      <c r="LAW1011" s="181"/>
      <c r="LAX1011" s="181"/>
      <c r="LAY1011" s="181"/>
      <c r="LAZ1011" s="181"/>
      <c r="LBA1011" s="181"/>
      <c r="LBB1011" s="181"/>
      <c r="LBC1011" s="181"/>
      <c r="LBD1011" s="181"/>
      <c r="LBE1011" s="181"/>
      <c r="LBF1011" s="181"/>
      <c r="LBG1011" s="181"/>
      <c r="LBH1011" s="181"/>
      <c r="LBI1011" s="181"/>
      <c r="LBJ1011" s="181"/>
      <c r="LBK1011" s="181"/>
      <c r="LBL1011" s="181"/>
      <c r="LBM1011" s="181"/>
      <c r="LBN1011" s="181"/>
      <c r="LBO1011" s="181"/>
      <c r="LBP1011" s="181"/>
      <c r="LBQ1011" s="181"/>
      <c r="LBR1011" s="181"/>
      <c r="LBS1011" s="181"/>
      <c r="LBT1011" s="181"/>
      <c r="LBU1011" s="181"/>
      <c r="LBV1011" s="181"/>
      <c r="LBW1011" s="181"/>
      <c r="LBX1011" s="181"/>
      <c r="LBY1011" s="181"/>
      <c r="LBZ1011" s="181"/>
      <c r="LCA1011" s="181"/>
      <c r="LCB1011" s="181"/>
      <c r="LCC1011" s="181"/>
      <c r="LCD1011" s="181"/>
      <c r="LCE1011" s="181"/>
      <c r="LCF1011" s="181"/>
      <c r="LCG1011" s="181"/>
      <c r="LCH1011" s="181"/>
      <c r="LCI1011" s="181"/>
      <c r="LCJ1011" s="181"/>
      <c r="LCK1011" s="181"/>
      <c r="LCL1011" s="181"/>
      <c r="LCM1011" s="181"/>
      <c r="LCN1011" s="181"/>
      <c r="LCO1011" s="181"/>
      <c r="LCP1011" s="181"/>
      <c r="LCQ1011" s="181"/>
      <c r="LCR1011" s="181"/>
      <c r="LCS1011" s="181"/>
      <c r="LCT1011" s="181"/>
      <c r="LCU1011" s="181"/>
      <c r="LCV1011" s="181"/>
      <c r="LCW1011" s="181"/>
      <c r="LCX1011" s="181"/>
      <c r="LCY1011" s="181"/>
      <c r="LCZ1011" s="181"/>
      <c r="LDA1011" s="181"/>
      <c r="LDB1011" s="181"/>
      <c r="LDC1011" s="181"/>
      <c r="LDD1011" s="181"/>
      <c r="LDE1011" s="181"/>
      <c r="LDF1011" s="181"/>
      <c r="LDG1011" s="181"/>
      <c r="LDH1011" s="181"/>
      <c r="LDI1011" s="181"/>
      <c r="LDJ1011" s="181"/>
      <c r="LDK1011" s="181"/>
      <c r="LDL1011" s="181"/>
      <c r="LDM1011" s="181"/>
      <c r="LDN1011" s="181"/>
      <c r="LDO1011" s="181"/>
      <c r="LDP1011" s="181"/>
      <c r="LDQ1011" s="181"/>
      <c r="LDR1011" s="181"/>
      <c r="LDS1011" s="181"/>
      <c r="LDT1011" s="181"/>
      <c r="LDU1011" s="181"/>
      <c r="LDV1011" s="181"/>
      <c r="LDW1011" s="181"/>
      <c r="LDX1011" s="181"/>
      <c r="LDY1011" s="181"/>
      <c r="LDZ1011" s="181"/>
      <c r="LEA1011" s="181"/>
      <c r="LEB1011" s="181"/>
      <c r="LEC1011" s="181"/>
      <c r="LED1011" s="181"/>
      <c r="LEE1011" s="181"/>
      <c r="LEF1011" s="181"/>
      <c r="LEG1011" s="181"/>
      <c r="LEH1011" s="181"/>
      <c r="LEI1011" s="181"/>
      <c r="LEJ1011" s="181"/>
      <c r="LEK1011" s="181"/>
      <c r="LEL1011" s="181"/>
      <c r="LEM1011" s="181"/>
      <c r="LEN1011" s="181"/>
      <c r="LEO1011" s="181"/>
      <c r="LEP1011" s="181"/>
      <c r="LEQ1011" s="181"/>
      <c r="LER1011" s="181"/>
      <c r="LES1011" s="181"/>
      <c r="LET1011" s="181"/>
      <c r="LEU1011" s="181"/>
      <c r="LEV1011" s="181"/>
      <c r="LEW1011" s="181"/>
      <c r="LEX1011" s="181"/>
      <c r="LEY1011" s="181"/>
      <c r="LEZ1011" s="181"/>
      <c r="LFA1011" s="181"/>
      <c r="LFB1011" s="181"/>
      <c r="LFC1011" s="181"/>
      <c r="LFD1011" s="181"/>
      <c r="LFE1011" s="181"/>
      <c r="LFF1011" s="181"/>
      <c r="LFG1011" s="181"/>
      <c r="LFH1011" s="181"/>
      <c r="LFI1011" s="181"/>
      <c r="LFJ1011" s="181"/>
      <c r="LFK1011" s="181"/>
      <c r="LFL1011" s="181"/>
      <c r="LFM1011" s="181"/>
      <c r="LFN1011" s="181"/>
      <c r="LFO1011" s="181"/>
      <c r="LFP1011" s="181"/>
      <c r="LFQ1011" s="181"/>
      <c r="LFR1011" s="181"/>
      <c r="LFS1011" s="181"/>
      <c r="LFT1011" s="181"/>
      <c r="LFU1011" s="181"/>
      <c r="LFV1011" s="181"/>
      <c r="LFW1011" s="181"/>
      <c r="LFX1011" s="181"/>
      <c r="LFY1011" s="181"/>
      <c r="LFZ1011" s="181"/>
      <c r="LGA1011" s="181"/>
      <c r="LGB1011" s="181"/>
      <c r="LGC1011" s="181"/>
      <c r="LGD1011" s="181"/>
      <c r="LGE1011" s="181"/>
      <c r="LGF1011" s="181"/>
      <c r="LGG1011" s="181"/>
      <c r="LGH1011" s="181"/>
      <c r="LGI1011" s="181"/>
      <c r="LGJ1011" s="181"/>
      <c r="LGK1011" s="181"/>
      <c r="LGL1011" s="181"/>
      <c r="LGM1011" s="181"/>
      <c r="LGN1011" s="181"/>
      <c r="LGO1011" s="181"/>
      <c r="LGP1011" s="181"/>
      <c r="LGQ1011" s="181"/>
      <c r="LGR1011" s="181"/>
      <c r="LGS1011" s="181"/>
      <c r="LGT1011" s="181"/>
      <c r="LGU1011" s="181"/>
      <c r="LGV1011" s="181"/>
      <c r="LGW1011" s="181"/>
      <c r="LGX1011" s="181"/>
      <c r="LGY1011" s="181"/>
      <c r="LGZ1011" s="181"/>
      <c r="LHA1011" s="181"/>
      <c r="LHB1011" s="181"/>
      <c r="LHC1011" s="181"/>
      <c r="LHD1011" s="181"/>
      <c r="LHE1011" s="181"/>
      <c r="LHF1011" s="181"/>
      <c r="LHG1011" s="181"/>
      <c r="LHH1011" s="181"/>
      <c r="LHI1011" s="181"/>
      <c r="LHJ1011" s="181"/>
      <c r="LHK1011" s="181"/>
      <c r="LHL1011" s="181"/>
      <c r="LHM1011" s="181"/>
      <c r="LHN1011" s="181"/>
      <c r="LHO1011" s="181"/>
      <c r="LHP1011" s="181"/>
      <c r="LHQ1011" s="181"/>
      <c r="LHR1011" s="181"/>
      <c r="LHS1011" s="181"/>
      <c r="LHT1011" s="181"/>
      <c r="LHU1011" s="181"/>
      <c r="LHV1011" s="181"/>
      <c r="LHW1011" s="181"/>
      <c r="LHX1011" s="181"/>
      <c r="LHY1011" s="181"/>
      <c r="LHZ1011" s="181"/>
      <c r="LIA1011" s="181"/>
      <c r="LIB1011" s="181"/>
      <c r="LIC1011" s="181"/>
      <c r="LID1011" s="181"/>
      <c r="LIE1011" s="181"/>
      <c r="LIF1011" s="181"/>
      <c r="LIG1011" s="181"/>
      <c r="LIH1011" s="181"/>
      <c r="LII1011" s="181"/>
      <c r="LIJ1011" s="181"/>
      <c r="LIK1011" s="181"/>
      <c r="LIL1011" s="181"/>
      <c r="LIM1011" s="181"/>
      <c r="LIN1011" s="181"/>
      <c r="LIO1011" s="181"/>
      <c r="LIP1011" s="181"/>
      <c r="LIQ1011" s="181"/>
      <c r="LIR1011" s="181"/>
      <c r="LIS1011" s="181"/>
      <c r="LIT1011" s="181"/>
      <c r="LIU1011" s="181"/>
      <c r="LIV1011" s="181"/>
      <c r="LIW1011" s="181"/>
      <c r="LIX1011" s="181"/>
      <c r="LIY1011" s="181"/>
      <c r="LIZ1011" s="181"/>
      <c r="LJA1011" s="181"/>
      <c r="LJB1011" s="181"/>
      <c r="LJC1011" s="181"/>
      <c r="LJD1011" s="181"/>
      <c r="LJE1011" s="181"/>
      <c r="LJF1011" s="181"/>
      <c r="LJG1011" s="181"/>
      <c r="LJH1011" s="181"/>
      <c r="LJI1011" s="181"/>
      <c r="LJJ1011" s="181"/>
      <c r="LJK1011" s="181"/>
      <c r="LJL1011" s="181"/>
      <c r="LJM1011" s="181"/>
      <c r="LJN1011" s="181"/>
      <c r="LJO1011" s="181"/>
      <c r="LJP1011" s="181"/>
      <c r="LJQ1011" s="181"/>
      <c r="LJR1011" s="181"/>
      <c r="LJS1011" s="181"/>
      <c r="LJT1011" s="181"/>
      <c r="LJU1011" s="181"/>
      <c r="LJV1011" s="181"/>
      <c r="LJW1011" s="181"/>
      <c r="LJX1011" s="181"/>
      <c r="LJY1011" s="181"/>
      <c r="LJZ1011" s="181"/>
      <c r="LKA1011" s="181"/>
      <c r="LKB1011" s="181"/>
      <c r="LKC1011" s="181"/>
      <c r="LKD1011" s="181"/>
      <c r="LKE1011" s="181"/>
      <c r="LKF1011" s="181"/>
      <c r="LKG1011" s="181"/>
      <c r="LKH1011" s="181"/>
      <c r="LKI1011" s="181"/>
      <c r="LKJ1011" s="181"/>
      <c r="LKK1011" s="181"/>
      <c r="LKL1011" s="181"/>
      <c r="LKM1011" s="181"/>
      <c r="LKN1011" s="181"/>
      <c r="LKO1011" s="181"/>
      <c r="LKP1011" s="181"/>
      <c r="LKQ1011" s="181"/>
      <c r="LKR1011" s="181"/>
      <c r="LKS1011" s="181"/>
      <c r="LKT1011" s="181"/>
      <c r="LKU1011" s="181"/>
      <c r="LKV1011" s="181"/>
      <c r="LKW1011" s="181"/>
      <c r="LKX1011" s="181"/>
      <c r="LKY1011" s="181"/>
      <c r="LKZ1011" s="181"/>
      <c r="LLA1011" s="181"/>
      <c r="LLB1011" s="181"/>
      <c r="LLC1011" s="181"/>
      <c r="LLD1011" s="181"/>
      <c r="LLE1011" s="181"/>
      <c r="LLF1011" s="181"/>
      <c r="LLG1011" s="181"/>
      <c r="LLH1011" s="181"/>
      <c r="LLI1011" s="181"/>
      <c r="LLJ1011" s="181"/>
      <c r="LLK1011" s="181"/>
      <c r="LLL1011" s="181"/>
      <c r="LLM1011" s="181"/>
      <c r="LLN1011" s="181"/>
      <c r="LLO1011" s="181"/>
      <c r="LLP1011" s="181"/>
      <c r="LLQ1011" s="181"/>
      <c r="LLR1011" s="181"/>
      <c r="LLS1011" s="181"/>
      <c r="LLT1011" s="181"/>
      <c r="LLU1011" s="181"/>
      <c r="LLV1011" s="181"/>
      <c r="LLW1011" s="181"/>
      <c r="LLX1011" s="181"/>
      <c r="LLY1011" s="181"/>
      <c r="LLZ1011" s="181"/>
      <c r="LMA1011" s="181"/>
      <c r="LMB1011" s="181"/>
      <c r="LMC1011" s="181"/>
      <c r="LMD1011" s="181"/>
      <c r="LME1011" s="181"/>
      <c r="LMF1011" s="181"/>
      <c r="LMG1011" s="181"/>
      <c r="LMH1011" s="181"/>
      <c r="LMI1011" s="181"/>
      <c r="LMJ1011" s="181"/>
      <c r="LMK1011" s="181"/>
      <c r="LML1011" s="181"/>
      <c r="LMM1011" s="181"/>
      <c r="LMN1011" s="181"/>
      <c r="LMO1011" s="181"/>
      <c r="LMP1011" s="181"/>
      <c r="LMQ1011" s="181"/>
      <c r="LMR1011" s="181"/>
      <c r="LMS1011" s="181"/>
      <c r="LMT1011" s="181"/>
      <c r="LMU1011" s="181"/>
      <c r="LMV1011" s="181"/>
      <c r="LMW1011" s="181"/>
      <c r="LMX1011" s="181"/>
      <c r="LMY1011" s="181"/>
      <c r="LMZ1011" s="181"/>
      <c r="LNA1011" s="181"/>
      <c r="LNB1011" s="181"/>
      <c r="LNC1011" s="181"/>
      <c r="LND1011" s="181"/>
      <c r="LNE1011" s="181"/>
      <c r="LNF1011" s="181"/>
      <c r="LNG1011" s="181"/>
      <c r="LNH1011" s="181"/>
      <c r="LNI1011" s="181"/>
      <c r="LNJ1011" s="181"/>
      <c r="LNK1011" s="181"/>
      <c r="LNL1011" s="181"/>
      <c r="LNM1011" s="181"/>
      <c r="LNN1011" s="181"/>
      <c r="LNO1011" s="181"/>
      <c r="LNP1011" s="181"/>
      <c r="LNQ1011" s="181"/>
      <c r="LNR1011" s="181"/>
      <c r="LNS1011" s="181"/>
      <c r="LNT1011" s="181"/>
      <c r="LNU1011" s="181"/>
      <c r="LNV1011" s="181"/>
      <c r="LNW1011" s="181"/>
      <c r="LNX1011" s="181"/>
      <c r="LNY1011" s="181"/>
      <c r="LNZ1011" s="181"/>
      <c r="LOA1011" s="181"/>
      <c r="LOB1011" s="181"/>
      <c r="LOC1011" s="181"/>
      <c r="LOD1011" s="181"/>
      <c r="LOE1011" s="181"/>
      <c r="LOF1011" s="181"/>
      <c r="LOG1011" s="181"/>
      <c r="LOH1011" s="181"/>
      <c r="LOI1011" s="181"/>
      <c r="LOJ1011" s="181"/>
      <c r="LOK1011" s="181"/>
      <c r="LOL1011" s="181"/>
      <c r="LOM1011" s="181"/>
      <c r="LON1011" s="181"/>
      <c r="LOO1011" s="181"/>
      <c r="LOP1011" s="181"/>
      <c r="LOQ1011" s="181"/>
      <c r="LOR1011" s="181"/>
      <c r="LOS1011" s="181"/>
      <c r="LOT1011" s="181"/>
      <c r="LOU1011" s="181"/>
      <c r="LOV1011" s="181"/>
      <c r="LOW1011" s="181"/>
      <c r="LOX1011" s="181"/>
      <c r="LOY1011" s="181"/>
      <c r="LOZ1011" s="181"/>
      <c r="LPA1011" s="181"/>
      <c r="LPB1011" s="181"/>
      <c r="LPC1011" s="181"/>
      <c r="LPD1011" s="181"/>
      <c r="LPE1011" s="181"/>
      <c r="LPF1011" s="181"/>
      <c r="LPG1011" s="181"/>
      <c r="LPH1011" s="181"/>
      <c r="LPI1011" s="181"/>
      <c r="LPJ1011" s="181"/>
      <c r="LPK1011" s="181"/>
      <c r="LPL1011" s="181"/>
      <c r="LPM1011" s="181"/>
      <c r="LPN1011" s="181"/>
      <c r="LPO1011" s="181"/>
      <c r="LPP1011" s="181"/>
      <c r="LPQ1011" s="181"/>
      <c r="LPR1011" s="181"/>
      <c r="LPS1011" s="181"/>
      <c r="LPT1011" s="181"/>
      <c r="LPU1011" s="181"/>
      <c r="LPV1011" s="181"/>
      <c r="LPW1011" s="181"/>
      <c r="LPX1011" s="181"/>
      <c r="LPY1011" s="181"/>
      <c r="LPZ1011" s="181"/>
      <c r="LQA1011" s="181"/>
      <c r="LQB1011" s="181"/>
      <c r="LQC1011" s="181"/>
      <c r="LQD1011" s="181"/>
      <c r="LQE1011" s="181"/>
      <c r="LQF1011" s="181"/>
      <c r="LQG1011" s="181"/>
      <c r="LQH1011" s="181"/>
      <c r="LQI1011" s="181"/>
      <c r="LQJ1011" s="181"/>
      <c r="LQK1011" s="181"/>
      <c r="LQL1011" s="181"/>
      <c r="LQM1011" s="181"/>
      <c r="LQN1011" s="181"/>
      <c r="LQO1011" s="181"/>
      <c r="LQP1011" s="181"/>
      <c r="LQQ1011" s="181"/>
      <c r="LQR1011" s="181"/>
      <c r="LQS1011" s="181"/>
      <c r="LQT1011" s="181"/>
      <c r="LQU1011" s="181"/>
      <c r="LQV1011" s="181"/>
      <c r="LQW1011" s="181"/>
      <c r="LQX1011" s="181"/>
      <c r="LQY1011" s="181"/>
      <c r="LQZ1011" s="181"/>
      <c r="LRA1011" s="181"/>
      <c r="LRB1011" s="181"/>
      <c r="LRC1011" s="181"/>
      <c r="LRD1011" s="181"/>
      <c r="LRE1011" s="181"/>
      <c r="LRF1011" s="181"/>
      <c r="LRG1011" s="181"/>
      <c r="LRH1011" s="181"/>
      <c r="LRI1011" s="181"/>
      <c r="LRJ1011" s="181"/>
      <c r="LRK1011" s="181"/>
      <c r="LRL1011" s="181"/>
      <c r="LRM1011" s="181"/>
      <c r="LRN1011" s="181"/>
      <c r="LRO1011" s="181"/>
      <c r="LRP1011" s="181"/>
      <c r="LRQ1011" s="181"/>
      <c r="LRR1011" s="181"/>
      <c r="LRS1011" s="181"/>
      <c r="LRT1011" s="181"/>
      <c r="LRU1011" s="181"/>
      <c r="LRV1011" s="181"/>
      <c r="LRW1011" s="181"/>
      <c r="LRX1011" s="181"/>
      <c r="LRY1011" s="181"/>
      <c r="LRZ1011" s="181"/>
      <c r="LSA1011" s="181"/>
      <c r="LSB1011" s="181"/>
      <c r="LSC1011" s="181"/>
      <c r="LSD1011" s="181"/>
      <c r="LSE1011" s="181"/>
      <c r="LSF1011" s="181"/>
      <c r="LSG1011" s="181"/>
      <c r="LSH1011" s="181"/>
      <c r="LSI1011" s="181"/>
      <c r="LSJ1011" s="181"/>
      <c r="LSK1011" s="181"/>
      <c r="LSL1011" s="181"/>
      <c r="LSM1011" s="181"/>
      <c r="LSN1011" s="181"/>
      <c r="LSO1011" s="181"/>
      <c r="LSP1011" s="181"/>
      <c r="LSQ1011" s="181"/>
      <c r="LSR1011" s="181"/>
      <c r="LSS1011" s="181"/>
      <c r="LST1011" s="181"/>
      <c r="LSU1011" s="181"/>
      <c r="LSV1011" s="181"/>
      <c r="LSW1011" s="181"/>
      <c r="LSX1011" s="181"/>
      <c r="LSY1011" s="181"/>
      <c r="LSZ1011" s="181"/>
      <c r="LTA1011" s="181"/>
      <c r="LTB1011" s="181"/>
      <c r="LTC1011" s="181"/>
      <c r="LTD1011" s="181"/>
      <c r="LTE1011" s="181"/>
      <c r="LTF1011" s="181"/>
      <c r="LTG1011" s="181"/>
      <c r="LTH1011" s="181"/>
      <c r="LTI1011" s="181"/>
      <c r="LTJ1011" s="181"/>
      <c r="LTK1011" s="181"/>
      <c r="LTL1011" s="181"/>
      <c r="LTM1011" s="181"/>
      <c r="LTN1011" s="181"/>
      <c r="LTO1011" s="181"/>
      <c r="LTP1011" s="181"/>
      <c r="LTQ1011" s="181"/>
      <c r="LTR1011" s="181"/>
      <c r="LTS1011" s="181"/>
      <c r="LTT1011" s="181"/>
      <c r="LTU1011" s="181"/>
      <c r="LTV1011" s="181"/>
      <c r="LTW1011" s="181"/>
      <c r="LTX1011" s="181"/>
      <c r="LTY1011" s="181"/>
      <c r="LTZ1011" s="181"/>
      <c r="LUA1011" s="181"/>
      <c r="LUB1011" s="181"/>
      <c r="LUC1011" s="181"/>
      <c r="LUD1011" s="181"/>
      <c r="LUE1011" s="181"/>
      <c r="LUF1011" s="181"/>
      <c r="LUG1011" s="181"/>
      <c r="LUH1011" s="181"/>
      <c r="LUI1011" s="181"/>
      <c r="LUJ1011" s="181"/>
      <c r="LUK1011" s="181"/>
      <c r="LUL1011" s="181"/>
      <c r="LUM1011" s="181"/>
      <c r="LUN1011" s="181"/>
      <c r="LUO1011" s="181"/>
      <c r="LUP1011" s="181"/>
      <c r="LUQ1011" s="181"/>
      <c r="LUR1011" s="181"/>
      <c r="LUS1011" s="181"/>
      <c r="LUT1011" s="181"/>
      <c r="LUU1011" s="181"/>
      <c r="LUV1011" s="181"/>
      <c r="LUW1011" s="181"/>
      <c r="LUX1011" s="181"/>
      <c r="LUY1011" s="181"/>
      <c r="LUZ1011" s="181"/>
      <c r="LVA1011" s="181"/>
      <c r="LVB1011" s="181"/>
      <c r="LVC1011" s="181"/>
      <c r="LVD1011" s="181"/>
      <c r="LVE1011" s="181"/>
      <c r="LVF1011" s="181"/>
      <c r="LVG1011" s="181"/>
      <c r="LVH1011" s="181"/>
      <c r="LVI1011" s="181"/>
      <c r="LVJ1011" s="181"/>
      <c r="LVK1011" s="181"/>
      <c r="LVL1011" s="181"/>
      <c r="LVM1011" s="181"/>
      <c r="LVN1011" s="181"/>
      <c r="LVO1011" s="181"/>
      <c r="LVP1011" s="181"/>
      <c r="LVQ1011" s="181"/>
      <c r="LVR1011" s="181"/>
      <c r="LVS1011" s="181"/>
      <c r="LVT1011" s="181"/>
      <c r="LVU1011" s="181"/>
      <c r="LVV1011" s="181"/>
      <c r="LVW1011" s="181"/>
      <c r="LVX1011" s="181"/>
      <c r="LVY1011" s="181"/>
      <c r="LVZ1011" s="181"/>
      <c r="LWA1011" s="181"/>
      <c r="LWB1011" s="181"/>
      <c r="LWC1011" s="181"/>
      <c r="LWD1011" s="181"/>
      <c r="LWE1011" s="181"/>
      <c r="LWF1011" s="181"/>
      <c r="LWG1011" s="181"/>
      <c r="LWH1011" s="181"/>
      <c r="LWI1011" s="181"/>
      <c r="LWJ1011" s="181"/>
      <c r="LWK1011" s="181"/>
      <c r="LWL1011" s="181"/>
      <c r="LWM1011" s="181"/>
      <c r="LWN1011" s="181"/>
      <c r="LWO1011" s="181"/>
      <c r="LWP1011" s="181"/>
      <c r="LWQ1011" s="181"/>
      <c r="LWR1011" s="181"/>
      <c r="LWS1011" s="181"/>
      <c r="LWT1011" s="181"/>
      <c r="LWU1011" s="181"/>
      <c r="LWV1011" s="181"/>
      <c r="LWW1011" s="181"/>
      <c r="LWX1011" s="181"/>
      <c r="LWY1011" s="181"/>
      <c r="LWZ1011" s="181"/>
      <c r="LXA1011" s="181"/>
      <c r="LXB1011" s="181"/>
      <c r="LXC1011" s="181"/>
      <c r="LXD1011" s="181"/>
      <c r="LXE1011" s="181"/>
      <c r="LXF1011" s="181"/>
      <c r="LXG1011" s="181"/>
      <c r="LXH1011" s="181"/>
      <c r="LXI1011" s="181"/>
      <c r="LXJ1011" s="181"/>
      <c r="LXK1011" s="181"/>
      <c r="LXL1011" s="181"/>
      <c r="LXM1011" s="181"/>
      <c r="LXN1011" s="181"/>
      <c r="LXO1011" s="181"/>
      <c r="LXP1011" s="181"/>
      <c r="LXQ1011" s="181"/>
      <c r="LXR1011" s="181"/>
      <c r="LXS1011" s="181"/>
      <c r="LXT1011" s="181"/>
      <c r="LXU1011" s="181"/>
      <c r="LXV1011" s="181"/>
      <c r="LXW1011" s="181"/>
      <c r="LXX1011" s="181"/>
      <c r="LXY1011" s="181"/>
      <c r="LXZ1011" s="181"/>
      <c r="LYA1011" s="181"/>
      <c r="LYB1011" s="181"/>
      <c r="LYC1011" s="181"/>
      <c r="LYD1011" s="181"/>
      <c r="LYE1011" s="181"/>
      <c r="LYF1011" s="181"/>
      <c r="LYG1011" s="181"/>
      <c r="LYH1011" s="181"/>
      <c r="LYI1011" s="181"/>
      <c r="LYJ1011" s="181"/>
      <c r="LYK1011" s="181"/>
      <c r="LYL1011" s="181"/>
      <c r="LYM1011" s="181"/>
      <c r="LYN1011" s="181"/>
      <c r="LYO1011" s="181"/>
      <c r="LYP1011" s="181"/>
      <c r="LYQ1011" s="181"/>
      <c r="LYR1011" s="181"/>
      <c r="LYS1011" s="181"/>
      <c r="LYT1011" s="181"/>
      <c r="LYU1011" s="181"/>
      <c r="LYV1011" s="181"/>
      <c r="LYW1011" s="181"/>
      <c r="LYX1011" s="181"/>
      <c r="LYY1011" s="181"/>
      <c r="LYZ1011" s="181"/>
      <c r="LZA1011" s="181"/>
      <c r="LZB1011" s="181"/>
      <c r="LZC1011" s="181"/>
      <c r="LZD1011" s="181"/>
      <c r="LZE1011" s="181"/>
      <c r="LZF1011" s="181"/>
      <c r="LZG1011" s="181"/>
      <c r="LZH1011" s="181"/>
      <c r="LZI1011" s="181"/>
      <c r="LZJ1011" s="181"/>
      <c r="LZK1011" s="181"/>
      <c r="LZL1011" s="181"/>
      <c r="LZM1011" s="181"/>
      <c r="LZN1011" s="181"/>
      <c r="LZO1011" s="181"/>
      <c r="LZP1011" s="181"/>
      <c r="LZQ1011" s="181"/>
      <c r="LZR1011" s="181"/>
      <c r="LZS1011" s="181"/>
      <c r="LZT1011" s="181"/>
      <c r="LZU1011" s="181"/>
      <c r="LZV1011" s="181"/>
      <c r="LZW1011" s="181"/>
      <c r="LZX1011" s="181"/>
      <c r="LZY1011" s="181"/>
      <c r="LZZ1011" s="181"/>
      <c r="MAA1011" s="181"/>
      <c r="MAB1011" s="181"/>
      <c r="MAC1011" s="181"/>
      <c r="MAD1011" s="181"/>
      <c r="MAE1011" s="181"/>
      <c r="MAF1011" s="181"/>
      <c r="MAG1011" s="181"/>
      <c r="MAH1011" s="181"/>
      <c r="MAI1011" s="181"/>
      <c r="MAJ1011" s="181"/>
      <c r="MAK1011" s="181"/>
      <c r="MAL1011" s="181"/>
      <c r="MAM1011" s="181"/>
      <c r="MAN1011" s="181"/>
      <c r="MAO1011" s="181"/>
      <c r="MAP1011" s="181"/>
      <c r="MAQ1011" s="181"/>
      <c r="MAR1011" s="181"/>
      <c r="MAS1011" s="181"/>
      <c r="MAT1011" s="181"/>
      <c r="MAU1011" s="181"/>
      <c r="MAV1011" s="181"/>
      <c r="MAW1011" s="181"/>
      <c r="MAX1011" s="181"/>
      <c r="MAY1011" s="181"/>
      <c r="MAZ1011" s="181"/>
      <c r="MBA1011" s="181"/>
      <c r="MBB1011" s="181"/>
      <c r="MBC1011" s="181"/>
      <c r="MBD1011" s="181"/>
      <c r="MBE1011" s="181"/>
      <c r="MBF1011" s="181"/>
      <c r="MBG1011" s="181"/>
      <c r="MBH1011" s="181"/>
      <c r="MBI1011" s="181"/>
      <c r="MBJ1011" s="181"/>
      <c r="MBK1011" s="181"/>
      <c r="MBL1011" s="181"/>
      <c r="MBM1011" s="181"/>
      <c r="MBN1011" s="181"/>
      <c r="MBO1011" s="181"/>
      <c r="MBP1011" s="181"/>
      <c r="MBQ1011" s="181"/>
      <c r="MBR1011" s="181"/>
      <c r="MBS1011" s="181"/>
      <c r="MBT1011" s="181"/>
      <c r="MBU1011" s="181"/>
      <c r="MBV1011" s="181"/>
      <c r="MBW1011" s="181"/>
      <c r="MBX1011" s="181"/>
      <c r="MBY1011" s="181"/>
      <c r="MBZ1011" s="181"/>
      <c r="MCA1011" s="181"/>
      <c r="MCB1011" s="181"/>
      <c r="MCC1011" s="181"/>
      <c r="MCD1011" s="181"/>
      <c r="MCE1011" s="181"/>
      <c r="MCF1011" s="181"/>
      <c r="MCG1011" s="181"/>
      <c r="MCH1011" s="181"/>
      <c r="MCI1011" s="181"/>
      <c r="MCJ1011" s="181"/>
      <c r="MCK1011" s="181"/>
      <c r="MCL1011" s="181"/>
      <c r="MCM1011" s="181"/>
      <c r="MCN1011" s="181"/>
      <c r="MCO1011" s="181"/>
      <c r="MCP1011" s="181"/>
      <c r="MCQ1011" s="181"/>
      <c r="MCR1011" s="181"/>
      <c r="MCS1011" s="181"/>
      <c r="MCT1011" s="181"/>
      <c r="MCU1011" s="181"/>
      <c r="MCV1011" s="181"/>
      <c r="MCW1011" s="181"/>
      <c r="MCX1011" s="181"/>
      <c r="MCY1011" s="181"/>
      <c r="MCZ1011" s="181"/>
      <c r="MDA1011" s="181"/>
      <c r="MDB1011" s="181"/>
      <c r="MDC1011" s="181"/>
      <c r="MDD1011" s="181"/>
      <c r="MDE1011" s="181"/>
      <c r="MDF1011" s="181"/>
      <c r="MDG1011" s="181"/>
      <c r="MDH1011" s="181"/>
      <c r="MDI1011" s="181"/>
      <c r="MDJ1011" s="181"/>
      <c r="MDK1011" s="181"/>
      <c r="MDL1011" s="181"/>
      <c r="MDM1011" s="181"/>
      <c r="MDN1011" s="181"/>
      <c r="MDO1011" s="181"/>
      <c r="MDP1011" s="181"/>
      <c r="MDQ1011" s="181"/>
      <c r="MDR1011" s="181"/>
      <c r="MDS1011" s="181"/>
      <c r="MDT1011" s="181"/>
      <c r="MDU1011" s="181"/>
      <c r="MDV1011" s="181"/>
      <c r="MDW1011" s="181"/>
      <c r="MDX1011" s="181"/>
      <c r="MDY1011" s="181"/>
      <c r="MDZ1011" s="181"/>
      <c r="MEA1011" s="181"/>
      <c r="MEB1011" s="181"/>
      <c r="MEC1011" s="181"/>
      <c r="MED1011" s="181"/>
      <c r="MEE1011" s="181"/>
      <c r="MEF1011" s="181"/>
      <c r="MEG1011" s="181"/>
      <c r="MEH1011" s="181"/>
      <c r="MEI1011" s="181"/>
      <c r="MEJ1011" s="181"/>
      <c r="MEK1011" s="181"/>
      <c r="MEL1011" s="181"/>
      <c r="MEM1011" s="181"/>
      <c r="MEN1011" s="181"/>
      <c r="MEO1011" s="181"/>
      <c r="MEP1011" s="181"/>
      <c r="MEQ1011" s="181"/>
      <c r="MER1011" s="181"/>
      <c r="MES1011" s="181"/>
      <c r="MET1011" s="181"/>
      <c r="MEU1011" s="181"/>
      <c r="MEV1011" s="181"/>
      <c r="MEW1011" s="181"/>
      <c r="MEX1011" s="181"/>
      <c r="MEY1011" s="181"/>
      <c r="MEZ1011" s="181"/>
      <c r="MFA1011" s="181"/>
      <c r="MFB1011" s="181"/>
      <c r="MFC1011" s="181"/>
      <c r="MFD1011" s="181"/>
      <c r="MFE1011" s="181"/>
      <c r="MFF1011" s="181"/>
      <c r="MFG1011" s="181"/>
      <c r="MFH1011" s="181"/>
      <c r="MFI1011" s="181"/>
      <c r="MFJ1011" s="181"/>
      <c r="MFK1011" s="181"/>
      <c r="MFL1011" s="181"/>
      <c r="MFM1011" s="181"/>
      <c r="MFN1011" s="181"/>
      <c r="MFO1011" s="181"/>
      <c r="MFP1011" s="181"/>
      <c r="MFQ1011" s="181"/>
      <c r="MFR1011" s="181"/>
      <c r="MFS1011" s="181"/>
      <c r="MFT1011" s="181"/>
      <c r="MFU1011" s="181"/>
      <c r="MFV1011" s="181"/>
      <c r="MFW1011" s="181"/>
      <c r="MFX1011" s="181"/>
      <c r="MFY1011" s="181"/>
      <c r="MFZ1011" s="181"/>
      <c r="MGA1011" s="181"/>
      <c r="MGB1011" s="181"/>
      <c r="MGC1011" s="181"/>
      <c r="MGD1011" s="181"/>
      <c r="MGE1011" s="181"/>
      <c r="MGF1011" s="181"/>
      <c r="MGG1011" s="181"/>
      <c r="MGH1011" s="181"/>
      <c r="MGI1011" s="181"/>
      <c r="MGJ1011" s="181"/>
      <c r="MGK1011" s="181"/>
      <c r="MGL1011" s="181"/>
      <c r="MGM1011" s="181"/>
      <c r="MGN1011" s="181"/>
      <c r="MGO1011" s="181"/>
      <c r="MGP1011" s="181"/>
      <c r="MGQ1011" s="181"/>
      <c r="MGR1011" s="181"/>
      <c r="MGS1011" s="181"/>
      <c r="MGT1011" s="181"/>
      <c r="MGU1011" s="181"/>
      <c r="MGV1011" s="181"/>
      <c r="MGW1011" s="181"/>
      <c r="MGX1011" s="181"/>
      <c r="MGY1011" s="181"/>
      <c r="MGZ1011" s="181"/>
      <c r="MHA1011" s="181"/>
      <c r="MHB1011" s="181"/>
      <c r="MHC1011" s="181"/>
      <c r="MHD1011" s="181"/>
      <c r="MHE1011" s="181"/>
      <c r="MHF1011" s="181"/>
      <c r="MHG1011" s="181"/>
      <c r="MHH1011" s="181"/>
      <c r="MHI1011" s="181"/>
      <c r="MHJ1011" s="181"/>
      <c r="MHK1011" s="181"/>
      <c r="MHL1011" s="181"/>
      <c r="MHM1011" s="181"/>
      <c r="MHN1011" s="181"/>
      <c r="MHO1011" s="181"/>
      <c r="MHP1011" s="181"/>
      <c r="MHQ1011" s="181"/>
      <c r="MHR1011" s="181"/>
      <c r="MHS1011" s="181"/>
      <c r="MHT1011" s="181"/>
      <c r="MHU1011" s="181"/>
      <c r="MHV1011" s="181"/>
      <c r="MHW1011" s="181"/>
      <c r="MHX1011" s="181"/>
      <c r="MHY1011" s="181"/>
      <c r="MHZ1011" s="181"/>
      <c r="MIA1011" s="181"/>
      <c r="MIB1011" s="181"/>
      <c r="MIC1011" s="181"/>
      <c r="MID1011" s="181"/>
      <c r="MIE1011" s="181"/>
      <c r="MIF1011" s="181"/>
      <c r="MIG1011" s="181"/>
      <c r="MIH1011" s="181"/>
      <c r="MII1011" s="181"/>
      <c r="MIJ1011" s="181"/>
      <c r="MIK1011" s="181"/>
      <c r="MIL1011" s="181"/>
      <c r="MIM1011" s="181"/>
      <c r="MIN1011" s="181"/>
      <c r="MIO1011" s="181"/>
      <c r="MIP1011" s="181"/>
      <c r="MIQ1011" s="181"/>
      <c r="MIR1011" s="181"/>
      <c r="MIS1011" s="181"/>
      <c r="MIT1011" s="181"/>
      <c r="MIU1011" s="181"/>
      <c r="MIV1011" s="181"/>
      <c r="MIW1011" s="181"/>
      <c r="MIX1011" s="181"/>
      <c r="MIY1011" s="181"/>
      <c r="MIZ1011" s="181"/>
      <c r="MJA1011" s="181"/>
      <c r="MJB1011" s="181"/>
      <c r="MJC1011" s="181"/>
      <c r="MJD1011" s="181"/>
      <c r="MJE1011" s="181"/>
      <c r="MJF1011" s="181"/>
      <c r="MJG1011" s="181"/>
      <c r="MJH1011" s="181"/>
      <c r="MJI1011" s="181"/>
      <c r="MJJ1011" s="181"/>
      <c r="MJK1011" s="181"/>
      <c r="MJL1011" s="181"/>
      <c r="MJM1011" s="181"/>
      <c r="MJN1011" s="181"/>
      <c r="MJO1011" s="181"/>
      <c r="MJP1011" s="181"/>
      <c r="MJQ1011" s="181"/>
      <c r="MJR1011" s="181"/>
      <c r="MJS1011" s="181"/>
      <c r="MJT1011" s="181"/>
      <c r="MJU1011" s="181"/>
      <c r="MJV1011" s="181"/>
      <c r="MJW1011" s="181"/>
      <c r="MJX1011" s="181"/>
      <c r="MJY1011" s="181"/>
      <c r="MJZ1011" s="181"/>
      <c r="MKA1011" s="181"/>
      <c r="MKB1011" s="181"/>
      <c r="MKC1011" s="181"/>
      <c r="MKD1011" s="181"/>
      <c r="MKE1011" s="181"/>
      <c r="MKF1011" s="181"/>
      <c r="MKG1011" s="181"/>
      <c r="MKH1011" s="181"/>
      <c r="MKI1011" s="181"/>
      <c r="MKJ1011" s="181"/>
      <c r="MKK1011" s="181"/>
      <c r="MKL1011" s="181"/>
      <c r="MKM1011" s="181"/>
      <c r="MKN1011" s="181"/>
      <c r="MKO1011" s="181"/>
      <c r="MKP1011" s="181"/>
      <c r="MKQ1011" s="181"/>
      <c r="MKR1011" s="181"/>
      <c r="MKS1011" s="181"/>
      <c r="MKT1011" s="181"/>
      <c r="MKU1011" s="181"/>
      <c r="MKV1011" s="181"/>
      <c r="MKW1011" s="181"/>
      <c r="MKX1011" s="181"/>
      <c r="MKY1011" s="181"/>
      <c r="MKZ1011" s="181"/>
      <c r="MLA1011" s="181"/>
      <c r="MLB1011" s="181"/>
      <c r="MLC1011" s="181"/>
      <c r="MLD1011" s="181"/>
      <c r="MLE1011" s="181"/>
      <c r="MLF1011" s="181"/>
      <c r="MLG1011" s="181"/>
      <c r="MLH1011" s="181"/>
      <c r="MLI1011" s="181"/>
      <c r="MLJ1011" s="181"/>
      <c r="MLK1011" s="181"/>
      <c r="MLL1011" s="181"/>
      <c r="MLM1011" s="181"/>
      <c r="MLN1011" s="181"/>
      <c r="MLO1011" s="181"/>
      <c r="MLP1011" s="181"/>
      <c r="MLQ1011" s="181"/>
      <c r="MLR1011" s="181"/>
      <c r="MLS1011" s="181"/>
      <c r="MLT1011" s="181"/>
      <c r="MLU1011" s="181"/>
      <c r="MLV1011" s="181"/>
      <c r="MLW1011" s="181"/>
      <c r="MLX1011" s="181"/>
      <c r="MLY1011" s="181"/>
      <c r="MLZ1011" s="181"/>
      <c r="MMA1011" s="181"/>
      <c r="MMB1011" s="181"/>
      <c r="MMC1011" s="181"/>
      <c r="MMD1011" s="181"/>
      <c r="MME1011" s="181"/>
      <c r="MMF1011" s="181"/>
      <c r="MMG1011" s="181"/>
      <c r="MMH1011" s="181"/>
      <c r="MMI1011" s="181"/>
      <c r="MMJ1011" s="181"/>
      <c r="MMK1011" s="181"/>
      <c r="MML1011" s="181"/>
      <c r="MMM1011" s="181"/>
      <c r="MMN1011" s="181"/>
      <c r="MMO1011" s="181"/>
      <c r="MMP1011" s="181"/>
      <c r="MMQ1011" s="181"/>
      <c r="MMR1011" s="181"/>
      <c r="MMS1011" s="181"/>
      <c r="MMT1011" s="181"/>
      <c r="MMU1011" s="181"/>
      <c r="MMV1011" s="181"/>
      <c r="MMW1011" s="181"/>
      <c r="MMX1011" s="181"/>
      <c r="MMY1011" s="181"/>
      <c r="MMZ1011" s="181"/>
      <c r="MNA1011" s="181"/>
      <c r="MNB1011" s="181"/>
      <c r="MNC1011" s="181"/>
      <c r="MND1011" s="181"/>
      <c r="MNE1011" s="181"/>
      <c r="MNF1011" s="181"/>
      <c r="MNG1011" s="181"/>
      <c r="MNH1011" s="181"/>
      <c r="MNI1011" s="181"/>
      <c r="MNJ1011" s="181"/>
      <c r="MNK1011" s="181"/>
      <c r="MNL1011" s="181"/>
      <c r="MNM1011" s="181"/>
      <c r="MNN1011" s="181"/>
      <c r="MNO1011" s="181"/>
      <c r="MNP1011" s="181"/>
      <c r="MNQ1011" s="181"/>
      <c r="MNR1011" s="181"/>
      <c r="MNS1011" s="181"/>
      <c r="MNT1011" s="181"/>
      <c r="MNU1011" s="181"/>
      <c r="MNV1011" s="181"/>
      <c r="MNW1011" s="181"/>
      <c r="MNX1011" s="181"/>
      <c r="MNY1011" s="181"/>
      <c r="MNZ1011" s="181"/>
      <c r="MOA1011" s="181"/>
      <c r="MOB1011" s="181"/>
      <c r="MOC1011" s="181"/>
      <c r="MOD1011" s="181"/>
      <c r="MOE1011" s="181"/>
      <c r="MOF1011" s="181"/>
      <c r="MOG1011" s="181"/>
      <c r="MOH1011" s="181"/>
      <c r="MOI1011" s="181"/>
      <c r="MOJ1011" s="181"/>
      <c r="MOK1011" s="181"/>
      <c r="MOL1011" s="181"/>
      <c r="MOM1011" s="181"/>
      <c r="MON1011" s="181"/>
      <c r="MOO1011" s="181"/>
      <c r="MOP1011" s="181"/>
      <c r="MOQ1011" s="181"/>
      <c r="MOR1011" s="181"/>
      <c r="MOS1011" s="181"/>
      <c r="MOT1011" s="181"/>
      <c r="MOU1011" s="181"/>
      <c r="MOV1011" s="181"/>
      <c r="MOW1011" s="181"/>
      <c r="MOX1011" s="181"/>
      <c r="MOY1011" s="181"/>
      <c r="MOZ1011" s="181"/>
      <c r="MPA1011" s="181"/>
      <c r="MPB1011" s="181"/>
      <c r="MPC1011" s="181"/>
      <c r="MPD1011" s="181"/>
      <c r="MPE1011" s="181"/>
      <c r="MPF1011" s="181"/>
      <c r="MPG1011" s="181"/>
      <c r="MPH1011" s="181"/>
      <c r="MPI1011" s="181"/>
      <c r="MPJ1011" s="181"/>
      <c r="MPK1011" s="181"/>
      <c r="MPL1011" s="181"/>
      <c r="MPM1011" s="181"/>
      <c r="MPN1011" s="181"/>
      <c r="MPO1011" s="181"/>
      <c r="MPP1011" s="181"/>
      <c r="MPQ1011" s="181"/>
      <c r="MPR1011" s="181"/>
      <c r="MPS1011" s="181"/>
      <c r="MPT1011" s="181"/>
      <c r="MPU1011" s="181"/>
      <c r="MPV1011" s="181"/>
      <c r="MPW1011" s="181"/>
      <c r="MPX1011" s="181"/>
      <c r="MPY1011" s="181"/>
      <c r="MPZ1011" s="181"/>
      <c r="MQA1011" s="181"/>
      <c r="MQB1011" s="181"/>
      <c r="MQC1011" s="181"/>
      <c r="MQD1011" s="181"/>
      <c r="MQE1011" s="181"/>
      <c r="MQF1011" s="181"/>
      <c r="MQG1011" s="181"/>
      <c r="MQH1011" s="181"/>
      <c r="MQI1011" s="181"/>
      <c r="MQJ1011" s="181"/>
      <c r="MQK1011" s="181"/>
      <c r="MQL1011" s="181"/>
      <c r="MQM1011" s="181"/>
      <c r="MQN1011" s="181"/>
      <c r="MQO1011" s="181"/>
      <c r="MQP1011" s="181"/>
      <c r="MQQ1011" s="181"/>
      <c r="MQR1011" s="181"/>
      <c r="MQS1011" s="181"/>
      <c r="MQT1011" s="181"/>
      <c r="MQU1011" s="181"/>
      <c r="MQV1011" s="181"/>
      <c r="MQW1011" s="181"/>
      <c r="MQX1011" s="181"/>
      <c r="MQY1011" s="181"/>
      <c r="MQZ1011" s="181"/>
      <c r="MRA1011" s="181"/>
      <c r="MRB1011" s="181"/>
      <c r="MRC1011" s="181"/>
      <c r="MRD1011" s="181"/>
      <c r="MRE1011" s="181"/>
      <c r="MRF1011" s="181"/>
      <c r="MRG1011" s="181"/>
      <c r="MRH1011" s="181"/>
      <c r="MRI1011" s="181"/>
      <c r="MRJ1011" s="181"/>
      <c r="MRK1011" s="181"/>
      <c r="MRL1011" s="181"/>
      <c r="MRM1011" s="181"/>
      <c r="MRN1011" s="181"/>
      <c r="MRO1011" s="181"/>
      <c r="MRP1011" s="181"/>
      <c r="MRQ1011" s="181"/>
      <c r="MRR1011" s="181"/>
      <c r="MRS1011" s="181"/>
      <c r="MRT1011" s="181"/>
      <c r="MRU1011" s="181"/>
      <c r="MRV1011" s="181"/>
      <c r="MRW1011" s="181"/>
      <c r="MRX1011" s="181"/>
      <c r="MRY1011" s="181"/>
      <c r="MRZ1011" s="181"/>
      <c r="MSA1011" s="181"/>
      <c r="MSB1011" s="181"/>
      <c r="MSC1011" s="181"/>
      <c r="MSD1011" s="181"/>
      <c r="MSE1011" s="181"/>
      <c r="MSF1011" s="181"/>
      <c r="MSG1011" s="181"/>
      <c r="MSH1011" s="181"/>
      <c r="MSI1011" s="181"/>
      <c r="MSJ1011" s="181"/>
      <c r="MSK1011" s="181"/>
      <c r="MSL1011" s="181"/>
      <c r="MSM1011" s="181"/>
      <c r="MSN1011" s="181"/>
      <c r="MSO1011" s="181"/>
      <c r="MSP1011" s="181"/>
      <c r="MSQ1011" s="181"/>
      <c r="MSR1011" s="181"/>
      <c r="MSS1011" s="181"/>
      <c r="MST1011" s="181"/>
      <c r="MSU1011" s="181"/>
      <c r="MSV1011" s="181"/>
      <c r="MSW1011" s="181"/>
      <c r="MSX1011" s="181"/>
      <c r="MSY1011" s="181"/>
      <c r="MSZ1011" s="181"/>
      <c r="MTA1011" s="181"/>
      <c r="MTB1011" s="181"/>
      <c r="MTC1011" s="181"/>
      <c r="MTD1011" s="181"/>
      <c r="MTE1011" s="181"/>
      <c r="MTF1011" s="181"/>
      <c r="MTG1011" s="181"/>
      <c r="MTH1011" s="181"/>
      <c r="MTI1011" s="181"/>
      <c r="MTJ1011" s="181"/>
      <c r="MTK1011" s="181"/>
      <c r="MTL1011" s="181"/>
      <c r="MTM1011" s="181"/>
      <c r="MTN1011" s="181"/>
      <c r="MTO1011" s="181"/>
      <c r="MTP1011" s="181"/>
      <c r="MTQ1011" s="181"/>
      <c r="MTR1011" s="181"/>
      <c r="MTS1011" s="181"/>
      <c r="MTT1011" s="181"/>
      <c r="MTU1011" s="181"/>
      <c r="MTV1011" s="181"/>
      <c r="MTW1011" s="181"/>
      <c r="MTX1011" s="181"/>
      <c r="MTY1011" s="181"/>
      <c r="MTZ1011" s="181"/>
      <c r="MUA1011" s="181"/>
      <c r="MUB1011" s="181"/>
      <c r="MUC1011" s="181"/>
      <c r="MUD1011" s="181"/>
      <c r="MUE1011" s="181"/>
      <c r="MUF1011" s="181"/>
      <c r="MUG1011" s="181"/>
      <c r="MUH1011" s="181"/>
      <c r="MUI1011" s="181"/>
      <c r="MUJ1011" s="181"/>
      <c r="MUK1011" s="181"/>
      <c r="MUL1011" s="181"/>
      <c r="MUM1011" s="181"/>
      <c r="MUN1011" s="181"/>
      <c r="MUO1011" s="181"/>
      <c r="MUP1011" s="181"/>
      <c r="MUQ1011" s="181"/>
      <c r="MUR1011" s="181"/>
      <c r="MUS1011" s="181"/>
      <c r="MUT1011" s="181"/>
      <c r="MUU1011" s="181"/>
      <c r="MUV1011" s="181"/>
      <c r="MUW1011" s="181"/>
      <c r="MUX1011" s="181"/>
      <c r="MUY1011" s="181"/>
      <c r="MUZ1011" s="181"/>
      <c r="MVA1011" s="181"/>
      <c r="MVB1011" s="181"/>
      <c r="MVC1011" s="181"/>
      <c r="MVD1011" s="181"/>
      <c r="MVE1011" s="181"/>
      <c r="MVF1011" s="181"/>
      <c r="MVG1011" s="181"/>
      <c r="MVH1011" s="181"/>
      <c r="MVI1011" s="181"/>
      <c r="MVJ1011" s="181"/>
      <c r="MVK1011" s="181"/>
      <c r="MVL1011" s="181"/>
      <c r="MVM1011" s="181"/>
      <c r="MVN1011" s="181"/>
      <c r="MVO1011" s="181"/>
      <c r="MVP1011" s="181"/>
      <c r="MVQ1011" s="181"/>
      <c r="MVR1011" s="181"/>
      <c r="MVS1011" s="181"/>
      <c r="MVT1011" s="181"/>
      <c r="MVU1011" s="181"/>
      <c r="MVV1011" s="181"/>
      <c r="MVW1011" s="181"/>
      <c r="MVX1011" s="181"/>
      <c r="MVY1011" s="181"/>
      <c r="MVZ1011" s="181"/>
      <c r="MWA1011" s="181"/>
      <c r="MWB1011" s="181"/>
      <c r="MWC1011" s="181"/>
      <c r="MWD1011" s="181"/>
      <c r="MWE1011" s="181"/>
      <c r="MWF1011" s="181"/>
      <c r="MWG1011" s="181"/>
      <c r="MWH1011" s="181"/>
      <c r="MWI1011" s="181"/>
      <c r="MWJ1011" s="181"/>
      <c r="MWK1011" s="181"/>
      <c r="MWL1011" s="181"/>
      <c r="MWM1011" s="181"/>
      <c r="MWN1011" s="181"/>
      <c r="MWO1011" s="181"/>
      <c r="MWP1011" s="181"/>
      <c r="MWQ1011" s="181"/>
      <c r="MWR1011" s="181"/>
      <c r="MWS1011" s="181"/>
      <c r="MWT1011" s="181"/>
      <c r="MWU1011" s="181"/>
      <c r="MWV1011" s="181"/>
      <c r="MWW1011" s="181"/>
      <c r="MWX1011" s="181"/>
      <c r="MWY1011" s="181"/>
      <c r="MWZ1011" s="181"/>
      <c r="MXA1011" s="181"/>
      <c r="MXB1011" s="181"/>
      <c r="MXC1011" s="181"/>
      <c r="MXD1011" s="181"/>
      <c r="MXE1011" s="181"/>
      <c r="MXF1011" s="181"/>
      <c r="MXG1011" s="181"/>
      <c r="MXH1011" s="181"/>
      <c r="MXI1011" s="181"/>
      <c r="MXJ1011" s="181"/>
      <c r="MXK1011" s="181"/>
      <c r="MXL1011" s="181"/>
      <c r="MXM1011" s="181"/>
      <c r="MXN1011" s="181"/>
      <c r="MXO1011" s="181"/>
      <c r="MXP1011" s="181"/>
      <c r="MXQ1011" s="181"/>
      <c r="MXR1011" s="181"/>
      <c r="MXS1011" s="181"/>
      <c r="MXT1011" s="181"/>
      <c r="MXU1011" s="181"/>
      <c r="MXV1011" s="181"/>
      <c r="MXW1011" s="181"/>
      <c r="MXX1011" s="181"/>
      <c r="MXY1011" s="181"/>
      <c r="MXZ1011" s="181"/>
      <c r="MYA1011" s="181"/>
      <c r="MYB1011" s="181"/>
      <c r="MYC1011" s="181"/>
      <c r="MYD1011" s="181"/>
      <c r="MYE1011" s="181"/>
      <c r="MYF1011" s="181"/>
      <c r="MYG1011" s="181"/>
      <c r="MYH1011" s="181"/>
      <c r="MYI1011" s="181"/>
      <c r="MYJ1011" s="181"/>
      <c r="MYK1011" s="181"/>
      <c r="MYL1011" s="181"/>
      <c r="MYM1011" s="181"/>
      <c r="MYN1011" s="181"/>
      <c r="MYO1011" s="181"/>
      <c r="MYP1011" s="181"/>
      <c r="MYQ1011" s="181"/>
      <c r="MYR1011" s="181"/>
      <c r="MYS1011" s="181"/>
      <c r="MYT1011" s="181"/>
      <c r="MYU1011" s="181"/>
      <c r="MYV1011" s="181"/>
      <c r="MYW1011" s="181"/>
      <c r="MYX1011" s="181"/>
      <c r="MYY1011" s="181"/>
      <c r="MYZ1011" s="181"/>
      <c r="MZA1011" s="181"/>
      <c r="MZB1011" s="181"/>
      <c r="MZC1011" s="181"/>
      <c r="MZD1011" s="181"/>
      <c r="MZE1011" s="181"/>
      <c r="MZF1011" s="181"/>
      <c r="MZG1011" s="181"/>
      <c r="MZH1011" s="181"/>
      <c r="MZI1011" s="181"/>
      <c r="MZJ1011" s="181"/>
      <c r="MZK1011" s="181"/>
      <c r="MZL1011" s="181"/>
      <c r="MZM1011" s="181"/>
      <c r="MZN1011" s="181"/>
      <c r="MZO1011" s="181"/>
      <c r="MZP1011" s="181"/>
      <c r="MZQ1011" s="181"/>
      <c r="MZR1011" s="181"/>
      <c r="MZS1011" s="181"/>
      <c r="MZT1011" s="181"/>
      <c r="MZU1011" s="181"/>
      <c r="MZV1011" s="181"/>
      <c r="MZW1011" s="181"/>
      <c r="MZX1011" s="181"/>
      <c r="MZY1011" s="181"/>
      <c r="MZZ1011" s="181"/>
      <c r="NAA1011" s="181"/>
      <c r="NAB1011" s="181"/>
      <c r="NAC1011" s="181"/>
      <c r="NAD1011" s="181"/>
      <c r="NAE1011" s="181"/>
      <c r="NAF1011" s="181"/>
      <c r="NAG1011" s="181"/>
      <c r="NAH1011" s="181"/>
      <c r="NAI1011" s="181"/>
      <c r="NAJ1011" s="181"/>
      <c r="NAK1011" s="181"/>
      <c r="NAL1011" s="181"/>
      <c r="NAM1011" s="181"/>
      <c r="NAN1011" s="181"/>
      <c r="NAO1011" s="181"/>
      <c r="NAP1011" s="181"/>
      <c r="NAQ1011" s="181"/>
      <c r="NAR1011" s="181"/>
      <c r="NAS1011" s="181"/>
      <c r="NAT1011" s="181"/>
      <c r="NAU1011" s="181"/>
      <c r="NAV1011" s="181"/>
      <c r="NAW1011" s="181"/>
      <c r="NAX1011" s="181"/>
      <c r="NAY1011" s="181"/>
      <c r="NAZ1011" s="181"/>
      <c r="NBA1011" s="181"/>
      <c r="NBB1011" s="181"/>
      <c r="NBC1011" s="181"/>
      <c r="NBD1011" s="181"/>
      <c r="NBE1011" s="181"/>
      <c r="NBF1011" s="181"/>
      <c r="NBG1011" s="181"/>
      <c r="NBH1011" s="181"/>
      <c r="NBI1011" s="181"/>
      <c r="NBJ1011" s="181"/>
      <c r="NBK1011" s="181"/>
      <c r="NBL1011" s="181"/>
      <c r="NBM1011" s="181"/>
      <c r="NBN1011" s="181"/>
      <c r="NBO1011" s="181"/>
      <c r="NBP1011" s="181"/>
      <c r="NBQ1011" s="181"/>
      <c r="NBR1011" s="181"/>
      <c r="NBS1011" s="181"/>
      <c r="NBT1011" s="181"/>
      <c r="NBU1011" s="181"/>
      <c r="NBV1011" s="181"/>
      <c r="NBW1011" s="181"/>
      <c r="NBX1011" s="181"/>
      <c r="NBY1011" s="181"/>
      <c r="NBZ1011" s="181"/>
      <c r="NCA1011" s="181"/>
      <c r="NCB1011" s="181"/>
      <c r="NCC1011" s="181"/>
      <c r="NCD1011" s="181"/>
      <c r="NCE1011" s="181"/>
      <c r="NCF1011" s="181"/>
      <c r="NCG1011" s="181"/>
      <c r="NCH1011" s="181"/>
      <c r="NCI1011" s="181"/>
      <c r="NCJ1011" s="181"/>
      <c r="NCK1011" s="181"/>
      <c r="NCL1011" s="181"/>
      <c r="NCM1011" s="181"/>
      <c r="NCN1011" s="181"/>
      <c r="NCO1011" s="181"/>
      <c r="NCP1011" s="181"/>
      <c r="NCQ1011" s="181"/>
      <c r="NCR1011" s="181"/>
      <c r="NCS1011" s="181"/>
      <c r="NCT1011" s="181"/>
      <c r="NCU1011" s="181"/>
      <c r="NCV1011" s="181"/>
      <c r="NCW1011" s="181"/>
      <c r="NCX1011" s="181"/>
      <c r="NCY1011" s="181"/>
      <c r="NCZ1011" s="181"/>
      <c r="NDA1011" s="181"/>
      <c r="NDB1011" s="181"/>
      <c r="NDC1011" s="181"/>
      <c r="NDD1011" s="181"/>
      <c r="NDE1011" s="181"/>
      <c r="NDF1011" s="181"/>
      <c r="NDG1011" s="181"/>
      <c r="NDH1011" s="181"/>
      <c r="NDI1011" s="181"/>
      <c r="NDJ1011" s="181"/>
      <c r="NDK1011" s="181"/>
      <c r="NDL1011" s="181"/>
      <c r="NDM1011" s="181"/>
      <c r="NDN1011" s="181"/>
      <c r="NDO1011" s="181"/>
      <c r="NDP1011" s="181"/>
      <c r="NDQ1011" s="181"/>
      <c r="NDR1011" s="181"/>
      <c r="NDS1011" s="181"/>
      <c r="NDT1011" s="181"/>
      <c r="NDU1011" s="181"/>
      <c r="NDV1011" s="181"/>
      <c r="NDW1011" s="181"/>
      <c r="NDX1011" s="181"/>
      <c r="NDY1011" s="181"/>
      <c r="NDZ1011" s="181"/>
      <c r="NEA1011" s="181"/>
      <c r="NEB1011" s="181"/>
      <c r="NEC1011" s="181"/>
      <c r="NED1011" s="181"/>
      <c r="NEE1011" s="181"/>
      <c r="NEF1011" s="181"/>
      <c r="NEG1011" s="181"/>
      <c r="NEH1011" s="181"/>
      <c r="NEI1011" s="181"/>
      <c r="NEJ1011" s="181"/>
      <c r="NEK1011" s="181"/>
      <c r="NEL1011" s="181"/>
      <c r="NEM1011" s="181"/>
      <c r="NEN1011" s="181"/>
      <c r="NEO1011" s="181"/>
      <c r="NEP1011" s="181"/>
      <c r="NEQ1011" s="181"/>
      <c r="NER1011" s="181"/>
      <c r="NES1011" s="181"/>
      <c r="NET1011" s="181"/>
      <c r="NEU1011" s="181"/>
      <c r="NEV1011" s="181"/>
      <c r="NEW1011" s="181"/>
      <c r="NEX1011" s="181"/>
      <c r="NEY1011" s="181"/>
      <c r="NEZ1011" s="181"/>
      <c r="NFA1011" s="181"/>
      <c r="NFB1011" s="181"/>
      <c r="NFC1011" s="181"/>
      <c r="NFD1011" s="181"/>
      <c r="NFE1011" s="181"/>
      <c r="NFF1011" s="181"/>
      <c r="NFG1011" s="181"/>
      <c r="NFH1011" s="181"/>
      <c r="NFI1011" s="181"/>
      <c r="NFJ1011" s="181"/>
      <c r="NFK1011" s="181"/>
      <c r="NFL1011" s="181"/>
      <c r="NFM1011" s="181"/>
      <c r="NFN1011" s="181"/>
      <c r="NFO1011" s="181"/>
      <c r="NFP1011" s="181"/>
      <c r="NFQ1011" s="181"/>
      <c r="NFR1011" s="181"/>
      <c r="NFS1011" s="181"/>
      <c r="NFT1011" s="181"/>
      <c r="NFU1011" s="181"/>
      <c r="NFV1011" s="181"/>
      <c r="NFW1011" s="181"/>
      <c r="NFX1011" s="181"/>
      <c r="NFY1011" s="181"/>
      <c r="NFZ1011" s="181"/>
      <c r="NGA1011" s="181"/>
      <c r="NGB1011" s="181"/>
      <c r="NGC1011" s="181"/>
      <c r="NGD1011" s="181"/>
      <c r="NGE1011" s="181"/>
      <c r="NGF1011" s="181"/>
      <c r="NGG1011" s="181"/>
      <c r="NGH1011" s="181"/>
      <c r="NGI1011" s="181"/>
      <c r="NGJ1011" s="181"/>
      <c r="NGK1011" s="181"/>
      <c r="NGL1011" s="181"/>
      <c r="NGM1011" s="181"/>
      <c r="NGN1011" s="181"/>
      <c r="NGO1011" s="181"/>
      <c r="NGP1011" s="181"/>
      <c r="NGQ1011" s="181"/>
      <c r="NGR1011" s="181"/>
      <c r="NGS1011" s="181"/>
      <c r="NGT1011" s="181"/>
      <c r="NGU1011" s="181"/>
      <c r="NGV1011" s="181"/>
      <c r="NGW1011" s="181"/>
      <c r="NGX1011" s="181"/>
      <c r="NGY1011" s="181"/>
      <c r="NGZ1011" s="181"/>
      <c r="NHA1011" s="181"/>
      <c r="NHB1011" s="181"/>
      <c r="NHC1011" s="181"/>
      <c r="NHD1011" s="181"/>
      <c r="NHE1011" s="181"/>
      <c r="NHF1011" s="181"/>
      <c r="NHG1011" s="181"/>
      <c r="NHH1011" s="181"/>
      <c r="NHI1011" s="181"/>
      <c r="NHJ1011" s="181"/>
      <c r="NHK1011" s="181"/>
      <c r="NHL1011" s="181"/>
      <c r="NHM1011" s="181"/>
      <c r="NHN1011" s="181"/>
      <c r="NHO1011" s="181"/>
      <c r="NHP1011" s="181"/>
      <c r="NHQ1011" s="181"/>
      <c r="NHR1011" s="181"/>
      <c r="NHS1011" s="181"/>
      <c r="NHT1011" s="181"/>
      <c r="NHU1011" s="181"/>
      <c r="NHV1011" s="181"/>
      <c r="NHW1011" s="181"/>
      <c r="NHX1011" s="181"/>
      <c r="NHY1011" s="181"/>
      <c r="NHZ1011" s="181"/>
      <c r="NIA1011" s="181"/>
      <c r="NIB1011" s="181"/>
      <c r="NIC1011" s="181"/>
      <c r="NID1011" s="181"/>
      <c r="NIE1011" s="181"/>
      <c r="NIF1011" s="181"/>
      <c r="NIG1011" s="181"/>
      <c r="NIH1011" s="181"/>
      <c r="NII1011" s="181"/>
      <c r="NIJ1011" s="181"/>
      <c r="NIK1011" s="181"/>
      <c r="NIL1011" s="181"/>
      <c r="NIM1011" s="181"/>
      <c r="NIN1011" s="181"/>
      <c r="NIO1011" s="181"/>
      <c r="NIP1011" s="181"/>
      <c r="NIQ1011" s="181"/>
      <c r="NIR1011" s="181"/>
      <c r="NIS1011" s="181"/>
      <c r="NIT1011" s="181"/>
      <c r="NIU1011" s="181"/>
      <c r="NIV1011" s="181"/>
      <c r="NIW1011" s="181"/>
      <c r="NIX1011" s="181"/>
      <c r="NIY1011" s="181"/>
      <c r="NIZ1011" s="181"/>
      <c r="NJA1011" s="181"/>
      <c r="NJB1011" s="181"/>
      <c r="NJC1011" s="181"/>
      <c r="NJD1011" s="181"/>
      <c r="NJE1011" s="181"/>
      <c r="NJF1011" s="181"/>
      <c r="NJG1011" s="181"/>
      <c r="NJH1011" s="181"/>
      <c r="NJI1011" s="181"/>
      <c r="NJJ1011" s="181"/>
      <c r="NJK1011" s="181"/>
      <c r="NJL1011" s="181"/>
      <c r="NJM1011" s="181"/>
      <c r="NJN1011" s="181"/>
      <c r="NJO1011" s="181"/>
      <c r="NJP1011" s="181"/>
      <c r="NJQ1011" s="181"/>
      <c r="NJR1011" s="181"/>
      <c r="NJS1011" s="181"/>
      <c r="NJT1011" s="181"/>
      <c r="NJU1011" s="181"/>
      <c r="NJV1011" s="181"/>
      <c r="NJW1011" s="181"/>
      <c r="NJX1011" s="181"/>
      <c r="NJY1011" s="181"/>
      <c r="NJZ1011" s="181"/>
      <c r="NKA1011" s="181"/>
      <c r="NKB1011" s="181"/>
      <c r="NKC1011" s="181"/>
      <c r="NKD1011" s="181"/>
      <c r="NKE1011" s="181"/>
      <c r="NKF1011" s="181"/>
      <c r="NKG1011" s="181"/>
      <c r="NKH1011" s="181"/>
      <c r="NKI1011" s="181"/>
      <c r="NKJ1011" s="181"/>
      <c r="NKK1011" s="181"/>
      <c r="NKL1011" s="181"/>
      <c r="NKM1011" s="181"/>
      <c r="NKN1011" s="181"/>
      <c r="NKO1011" s="181"/>
      <c r="NKP1011" s="181"/>
      <c r="NKQ1011" s="181"/>
      <c r="NKR1011" s="181"/>
      <c r="NKS1011" s="181"/>
      <c r="NKT1011" s="181"/>
      <c r="NKU1011" s="181"/>
      <c r="NKV1011" s="181"/>
      <c r="NKW1011" s="181"/>
      <c r="NKX1011" s="181"/>
      <c r="NKY1011" s="181"/>
      <c r="NKZ1011" s="181"/>
      <c r="NLA1011" s="181"/>
      <c r="NLB1011" s="181"/>
      <c r="NLC1011" s="181"/>
      <c r="NLD1011" s="181"/>
      <c r="NLE1011" s="181"/>
      <c r="NLF1011" s="181"/>
      <c r="NLG1011" s="181"/>
      <c r="NLH1011" s="181"/>
      <c r="NLI1011" s="181"/>
      <c r="NLJ1011" s="181"/>
      <c r="NLK1011" s="181"/>
      <c r="NLL1011" s="181"/>
      <c r="NLM1011" s="181"/>
      <c r="NLN1011" s="181"/>
      <c r="NLO1011" s="181"/>
      <c r="NLP1011" s="181"/>
      <c r="NLQ1011" s="181"/>
      <c r="NLR1011" s="181"/>
      <c r="NLS1011" s="181"/>
      <c r="NLT1011" s="181"/>
      <c r="NLU1011" s="181"/>
      <c r="NLV1011" s="181"/>
      <c r="NLW1011" s="181"/>
      <c r="NLX1011" s="181"/>
      <c r="NLY1011" s="181"/>
      <c r="NLZ1011" s="181"/>
      <c r="NMA1011" s="181"/>
      <c r="NMB1011" s="181"/>
      <c r="NMC1011" s="181"/>
      <c r="NMD1011" s="181"/>
      <c r="NME1011" s="181"/>
      <c r="NMF1011" s="181"/>
      <c r="NMG1011" s="181"/>
      <c r="NMH1011" s="181"/>
      <c r="NMI1011" s="181"/>
      <c r="NMJ1011" s="181"/>
      <c r="NMK1011" s="181"/>
      <c r="NML1011" s="181"/>
      <c r="NMM1011" s="181"/>
      <c r="NMN1011" s="181"/>
      <c r="NMO1011" s="181"/>
      <c r="NMP1011" s="181"/>
      <c r="NMQ1011" s="181"/>
      <c r="NMR1011" s="181"/>
      <c r="NMS1011" s="181"/>
      <c r="NMT1011" s="181"/>
      <c r="NMU1011" s="181"/>
      <c r="NMV1011" s="181"/>
      <c r="NMW1011" s="181"/>
      <c r="NMX1011" s="181"/>
      <c r="NMY1011" s="181"/>
      <c r="NMZ1011" s="181"/>
      <c r="NNA1011" s="181"/>
      <c r="NNB1011" s="181"/>
      <c r="NNC1011" s="181"/>
      <c r="NND1011" s="181"/>
      <c r="NNE1011" s="181"/>
      <c r="NNF1011" s="181"/>
      <c r="NNG1011" s="181"/>
      <c r="NNH1011" s="181"/>
      <c r="NNI1011" s="181"/>
      <c r="NNJ1011" s="181"/>
      <c r="NNK1011" s="181"/>
      <c r="NNL1011" s="181"/>
      <c r="NNM1011" s="181"/>
      <c r="NNN1011" s="181"/>
      <c r="NNO1011" s="181"/>
      <c r="NNP1011" s="181"/>
      <c r="NNQ1011" s="181"/>
      <c r="NNR1011" s="181"/>
      <c r="NNS1011" s="181"/>
      <c r="NNT1011" s="181"/>
      <c r="NNU1011" s="181"/>
      <c r="NNV1011" s="181"/>
      <c r="NNW1011" s="181"/>
      <c r="NNX1011" s="181"/>
      <c r="NNY1011" s="181"/>
      <c r="NNZ1011" s="181"/>
      <c r="NOA1011" s="181"/>
      <c r="NOB1011" s="181"/>
      <c r="NOC1011" s="181"/>
      <c r="NOD1011" s="181"/>
      <c r="NOE1011" s="181"/>
      <c r="NOF1011" s="181"/>
      <c r="NOG1011" s="181"/>
      <c r="NOH1011" s="181"/>
      <c r="NOI1011" s="181"/>
      <c r="NOJ1011" s="181"/>
      <c r="NOK1011" s="181"/>
      <c r="NOL1011" s="181"/>
      <c r="NOM1011" s="181"/>
      <c r="NON1011" s="181"/>
      <c r="NOO1011" s="181"/>
      <c r="NOP1011" s="181"/>
      <c r="NOQ1011" s="181"/>
      <c r="NOR1011" s="181"/>
      <c r="NOS1011" s="181"/>
      <c r="NOT1011" s="181"/>
      <c r="NOU1011" s="181"/>
      <c r="NOV1011" s="181"/>
      <c r="NOW1011" s="181"/>
      <c r="NOX1011" s="181"/>
      <c r="NOY1011" s="181"/>
      <c r="NOZ1011" s="181"/>
      <c r="NPA1011" s="181"/>
      <c r="NPB1011" s="181"/>
      <c r="NPC1011" s="181"/>
      <c r="NPD1011" s="181"/>
      <c r="NPE1011" s="181"/>
      <c r="NPF1011" s="181"/>
      <c r="NPG1011" s="181"/>
      <c r="NPH1011" s="181"/>
      <c r="NPI1011" s="181"/>
      <c r="NPJ1011" s="181"/>
      <c r="NPK1011" s="181"/>
      <c r="NPL1011" s="181"/>
      <c r="NPM1011" s="181"/>
      <c r="NPN1011" s="181"/>
      <c r="NPO1011" s="181"/>
      <c r="NPP1011" s="181"/>
      <c r="NPQ1011" s="181"/>
      <c r="NPR1011" s="181"/>
      <c r="NPS1011" s="181"/>
      <c r="NPT1011" s="181"/>
      <c r="NPU1011" s="181"/>
      <c r="NPV1011" s="181"/>
      <c r="NPW1011" s="181"/>
      <c r="NPX1011" s="181"/>
      <c r="NPY1011" s="181"/>
      <c r="NPZ1011" s="181"/>
      <c r="NQA1011" s="181"/>
      <c r="NQB1011" s="181"/>
      <c r="NQC1011" s="181"/>
      <c r="NQD1011" s="181"/>
      <c r="NQE1011" s="181"/>
      <c r="NQF1011" s="181"/>
      <c r="NQG1011" s="181"/>
      <c r="NQH1011" s="181"/>
      <c r="NQI1011" s="181"/>
      <c r="NQJ1011" s="181"/>
      <c r="NQK1011" s="181"/>
      <c r="NQL1011" s="181"/>
      <c r="NQM1011" s="181"/>
      <c r="NQN1011" s="181"/>
      <c r="NQO1011" s="181"/>
      <c r="NQP1011" s="181"/>
      <c r="NQQ1011" s="181"/>
      <c r="NQR1011" s="181"/>
      <c r="NQS1011" s="181"/>
      <c r="NQT1011" s="181"/>
      <c r="NQU1011" s="181"/>
      <c r="NQV1011" s="181"/>
      <c r="NQW1011" s="181"/>
      <c r="NQX1011" s="181"/>
      <c r="NQY1011" s="181"/>
      <c r="NQZ1011" s="181"/>
      <c r="NRA1011" s="181"/>
      <c r="NRB1011" s="181"/>
      <c r="NRC1011" s="181"/>
      <c r="NRD1011" s="181"/>
      <c r="NRE1011" s="181"/>
      <c r="NRF1011" s="181"/>
      <c r="NRG1011" s="181"/>
      <c r="NRH1011" s="181"/>
      <c r="NRI1011" s="181"/>
      <c r="NRJ1011" s="181"/>
      <c r="NRK1011" s="181"/>
      <c r="NRL1011" s="181"/>
      <c r="NRM1011" s="181"/>
      <c r="NRN1011" s="181"/>
      <c r="NRO1011" s="181"/>
      <c r="NRP1011" s="181"/>
      <c r="NRQ1011" s="181"/>
      <c r="NRR1011" s="181"/>
      <c r="NRS1011" s="181"/>
      <c r="NRT1011" s="181"/>
      <c r="NRU1011" s="181"/>
      <c r="NRV1011" s="181"/>
      <c r="NRW1011" s="181"/>
      <c r="NRX1011" s="181"/>
      <c r="NRY1011" s="181"/>
      <c r="NRZ1011" s="181"/>
      <c r="NSA1011" s="181"/>
      <c r="NSB1011" s="181"/>
      <c r="NSC1011" s="181"/>
      <c r="NSD1011" s="181"/>
      <c r="NSE1011" s="181"/>
      <c r="NSF1011" s="181"/>
      <c r="NSG1011" s="181"/>
      <c r="NSH1011" s="181"/>
      <c r="NSI1011" s="181"/>
      <c r="NSJ1011" s="181"/>
      <c r="NSK1011" s="181"/>
      <c r="NSL1011" s="181"/>
      <c r="NSM1011" s="181"/>
      <c r="NSN1011" s="181"/>
      <c r="NSO1011" s="181"/>
      <c r="NSP1011" s="181"/>
      <c r="NSQ1011" s="181"/>
      <c r="NSR1011" s="181"/>
      <c r="NSS1011" s="181"/>
      <c r="NST1011" s="181"/>
      <c r="NSU1011" s="181"/>
      <c r="NSV1011" s="181"/>
      <c r="NSW1011" s="181"/>
      <c r="NSX1011" s="181"/>
      <c r="NSY1011" s="181"/>
      <c r="NSZ1011" s="181"/>
      <c r="NTA1011" s="181"/>
      <c r="NTB1011" s="181"/>
      <c r="NTC1011" s="181"/>
      <c r="NTD1011" s="181"/>
      <c r="NTE1011" s="181"/>
      <c r="NTF1011" s="181"/>
      <c r="NTG1011" s="181"/>
      <c r="NTH1011" s="181"/>
      <c r="NTI1011" s="181"/>
      <c r="NTJ1011" s="181"/>
      <c r="NTK1011" s="181"/>
      <c r="NTL1011" s="181"/>
      <c r="NTM1011" s="181"/>
      <c r="NTN1011" s="181"/>
      <c r="NTO1011" s="181"/>
      <c r="NTP1011" s="181"/>
      <c r="NTQ1011" s="181"/>
      <c r="NTR1011" s="181"/>
      <c r="NTS1011" s="181"/>
      <c r="NTT1011" s="181"/>
      <c r="NTU1011" s="181"/>
      <c r="NTV1011" s="181"/>
      <c r="NTW1011" s="181"/>
      <c r="NTX1011" s="181"/>
      <c r="NTY1011" s="181"/>
      <c r="NTZ1011" s="181"/>
      <c r="NUA1011" s="181"/>
      <c r="NUB1011" s="181"/>
      <c r="NUC1011" s="181"/>
      <c r="NUD1011" s="181"/>
      <c r="NUE1011" s="181"/>
      <c r="NUF1011" s="181"/>
      <c r="NUG1011" s="181"/>
      <c r="NUH1011" s="181"/>
      <c r="NUI1011" s="181"/>
      <c r="NUJ1011" s="181"/>
      <c r="NUK1011" s="181"/>
      <c r="NUL1011" s="181"/>
      <c r="NUM1011" s="181"/>
      <c r="NUN1011" s="181"/>
      <c r="NUO1011" s="181"/>
      <c r="NUP1011" s="181"/>
      <c r="NUQ1011" s="181"/>
      <c r="NUR1011" s="181"/>
      <c r="NUS1011" s="181"/>
      <c r="NUT1011" s="181"/>
      <c r="NUU1011" s="181"/>
      <c r="NUV1011" s="181"/>
      <c r="NUW1011" s="181"/>
      <c r="NUX1011" s="181"/>
      <c r="NUY1011" s="181"/>
      <c r="NUZ1011" s="181"/>
      <c r="NVA1011" s="181"/>
      <c r="NVB1011" s="181"/>
      <c r="NVC1011" s="181"/>
      <c r="NVD1011" s="181"/>
      <c r="NVE1011" s="181"/>
      <c r="NVF1011" s="181"/>
      <c r="NVG1011" s="181"/>
      <c r="NVH1011" s="181"/>
      <c r="NVI1011" s="181"/>
      <c r="NVJ1011" s="181"/>
      <c r="NVK1011" s="181"/>
      <c r="NVL1011" s="181"/>
      <c r="NVM1011" s="181"/>
      <c r="NVN1011" s="181"/>
      <c r="NVO1011" s="181"/>
      <c r="NVP1011" s="181"/>
      <c r="NVQ1011" s="181"/>
      <c r="NVR1011" s="181"/>
      <c r="NVS1011" s="181"/>
      <c r="NVT1011" s="181"/>
      <c r="NVU1011" s="181"/>
      <c r="NVV1011" s="181"/>
      <c r="NVW1011" s="181"/>
      <c r="NVX1011" s="181"/>
      <c r="NVY1011" s="181"/>
      <c r="NVZ1011" s="181"/>
      <c r="NWA1011" s="181"/>
      <c r="NWB1011" s="181"/>
      <c r="NWC1011" s="181"/>
      <c r="NWD1011" s="181"/>
      <c r="NWE1011" s="181"/>
      <c r="NWF1011" s="181"/>
      <c r="NWG1011" s="181"/>
      <c r="NWH1011" s="181"/>
      <c r="NWI1011" s="181"/>
      <c r="NWJ1011" s="181"/>
      <c r="NWK1011" s="181"/>
      <c r="NWL1011" s="181"/>
      <c r="NWM1011" s="181"/>
      <c r="NWN1011" s="181"/>
      <c r="NWO1011" s="181"/>
      <c r="NWP1011" s="181"/>
      <c r="NWQ1011" s="181"/>
      <c r="NWR1011" s="181"/>
      <c r="NWS1011" s="181"/>
      <c r="NWT1011" s="181"/>
      <c r="NWU1011" s="181"/>
      <c r="NWV1011" s="181"/>
      <c r="NWW1011" s="181"/>
      <c r="NWX1011" s="181"/>
      <c r="NWY1011" s="181"/>
      <c r="NWZ1011" s="181"/>
      <c r="NXA1011" s="181"/>
      <c r="NXB1011" s="181"/>
      <c r="NXC1011" s="181"/>
      <c r="NXD1011" s="181"/>
      <c r="NXE1011" s="181"/>
      <c r="NXF1011" s="181"/>
      <c r="NXG1011" s="181"/>
      <c r="NXH1011" s="181"/>
      <c r="NXI1011" s="181"/>
      <c r="NXJ1011" s="181"/>
      <c r="NXK1011" s="181"/>
      <c r="NXL1011" s="181"/>
      <c r="NXM1011" s="181"/>
      <c r="NXN1011" s="181"/>
      <c r="NXO1011" s="181"/>
      <c r="NXP1011" s="181"/>
      <c r="NXQ1011" s="181"/>
      <c r="NXR1011" s="181"/>
      <c r="NXS1011" s="181"/>
      <c r="NXT1011" s="181"/>
      <c r="NXU1011" s="181"/>
      <c r="NXV1011" s="181"/>
      <c r="NXW1011" s="181"/>
      <c r="NXX1011" s="181"/>
      <c r="NXY1011" s="181"/>
      <c r="NXZ1011" s="181"/>
      <c r="NYA1011" s="181"/>
      <c r="NYB1011" s="181"/>
      <c r="NYC1011" s="181"/>
      <c r="NYD1011" s="181"/>
      <c r="NYE1011" s="181"/>
      <c r="NYF1011" s="181"/>
      <c r="NYG1011" s="181"/>
      <c r="NYH1011" s="181"/>
      <c r="NYI1011" s="181"/>
      <c r="NYJ1011" s="181"/>
      <c r="NYK1011" s="181"/>
      <c r="NYL1011" s="181"/>
      <c r="NYM1011" s="181"/>
      <c r="NYN1011" s="181"/>
      <c r="NYO1011" s="181"/>
      <c r="NYP1011" s="181"/>
      <c r="NYQ1011" s="181"/>
      <c r="NYR1011" s="181"/>
      <c r="NYS1011" s="181"/>
      <c r="NYT1011" s="181"/>
      <c r="NYU1011" s="181"/>
      <c r="NYV1011" s="181"/>
      <c r="NYW1011" s="181"/>
      <c r="NYX1011" s="181"/>
      <c r="NYY1011" s="181"/>
      <c r="NYZ1011" s="181"/>
      <c r="NZA1011" s="181"/>
      <c r="NZB1011" s="181"/>
      <c r="NZC1011" s="181"/>
      <c r="NZD1011" s="181"/>
      <c r="NZE1011" s="181"/>
      <c r="NZF1011" s="181"/>
      <c r="NZG1011" s="181"/>
      <c r="NZH1011" s="181"/>
      <c r="NZI1011" s="181"/>
      <c r="NZJ1011" s="181"/>
      <c r="NZK1011" s="181"/>
      <c r="NZL1011" s="181"/>
      <c r="NZM1011" s="181"/>
      <c r="NZN1011" s="181"/>
      <c r="NZO1011" s="181"/>
      <c r="NZP1011" s="181"/>
      <c r="NZQ1011" s="181"/>
      <c r="NZR1011" s="181"/>
      <c r="NZS1011" s="181"/>
      <c r="NZT1011" s="181"/>
      <c r="NZU1011" s="181"/>
      <c r="NZV1011" s="181"/>
      <c r="NZW1011" s="181"/>
      <c r="NZX1011" s="181"/>
      <c r="NZY1011" s="181"/>
      <c r="NZZ1011" s="181"/>
      <c r="OAA1011" s="181"/>
      <c r="OAB1011" s="181"/>
      <c r="OAC1011" s="181"/>
      <c r="OAD1011" s="181"/>
      <c r="OAE1011" s="181"/>
      <c r="OAF1011" s="181"/>
      <c r="OAG1011" s="181"/>
      <c r="OAH1011" s="181"/>
      <c r="OAI1011" s="181"/>
      <c r="OAJ1011" s="181"/>
      <c r="OAK1011" s="181"/>
      <c r="OAL1011" s="181"/>
      <c r="OAM1011" s="181"/>
      <c r="OAN1011" s="181"/>
      <c r="OAO1011" s="181"/>
      <c r="OAP1011" s="181"/>
      <c r="OAQ1011" s="181"/>
      <c r="OAR1011" s="181"/>
      <c r="OAS1011" s="181"/>
      <c r="OAT1011" s="181"/>
      <c r="OAU1011" s="181"/>
      <c r="OAV1011" s="181"/>
      <c r="OAW1011" s="181"/>
      <c r="OAX1011" s="181"/>
      <c r="OAY1011" s="181"/>
      <c r="OAZ1011" s="181"/>
      <c r="OBA1011" s="181"/>
      <c r="OBB1011" s="181"/>
      <c r="OBC1011" s="181"/>
      <c r="OBD1011" s="181"/>
      <c r="OBE1011" s="181"/>
      <c r="OBF1011" s="181"/>
      <c r="OBG1011" s="181"/>
      <c r="OBH1011" s="181"/>
      <c r="OBI1011" s="181"/>
      <c r="OBJ1011" s="181"/>
      <c r="OBK1011" s="181"/>
      <c r="OBL1011" s="181"/>
      <c r="OBM1011" s="181"/>
      <c r="OBN1011" s="181"/>
      <c r="OBO1011" s="181"/>
      <c r="OBP1011" s="181"/>
      <c r="OBQ1011" s="181"/>
      <c r="OBR1011" s="181"/>
      <c r="OBS1011" s="181"/>
      <c r="OBT1011" s="181"/>
      <c r="OBU1011" s="181"/>
      <c r="OBV1011" s="181"/>
      <c r="OBW1011" s="181"/>
      <c r="OBX1011" s="181"/>
      <c r="OBY1011" s="181"/>
      <c r="OBZ1011" s="181"/>
      <c r="OCA1011" s="181"/>
      <c r="OCB1011" s="181"/>
      <c r="OCC1011" s="181"/>
      <c r="OCD1011" s="181"/>
      <c r="OCE1011" s="181"/>
      <c r="OCF1011" s="181"/>
      <c r="OCG1011" s="181"/>
      <c r="OCH1011" s="181"/>
      <c r="OCI1011" s="181"/>
      <c r="OCJ1011" s="181"/>
      <c r="OCK1011" s="181"/>
      <c r="OCL1011" s="181"/>
      <c r="OCM1011" s="181"/>
      <c r="OCN1011" s="181"/>
      <c r="OCO1011" s="181"/>
      <c r="OCP1011" s="181"/>
      <c r="OCQ1011" s="181"/>
      <c r="OCR1011" s="181"/>
      <c r="OCS1011" s="181"/>
      <c r="OCT1011" s="181"/>
      <c r="OCU1011" s="181"/>
      <c r="OCV1011" s="181"/>
      <c r="OCW1011" s="181"/>
      <c r="OCX1011" s="181"/>
      <c r="OCY1011" s="181"/>
      <c r="OCZ1011" s="181"/>
      <c r="ODA1011" s="181"/>
      <c r="ODB1011" s="181"/>
      <c r="ODC1011" s="181"/>
      <c r="ODD1011" s="181"/>
      <c r="ODE1011" s="181"/>
      <c r="ODF1011" s="181"/>
      <c r="ODG1011" s="181"/>
      <c r="ODH1011" s="181"/>
      <c r="ODI1011" s="181"/>
      <c r="ODJ1011" s="181"/>
      <c r="ODK1011" s="181"/>
      <c r="ODL1011" s="181"/>
      <c r="ODM1011" s="181"/>
      <c r="ODN1011" s="181"/>
      <c r="ODO1011" s="181"/>
      <c r="ODP1011" s="181"/>
      <c r="ODQ1011" s="181"/>
      <c r="ODR1011" s="181"/>
      <c r="ODS1011" s="181"/>
      <c r="ODT1011" s="181"/>
      <c r="ODU1011" s="181"/>
      <c r="ODV1011" s="181"/>
      <c r="ODW1011" s="181"/>
      <c r="ODX1011" s="181"/>
      <c r="ODY1011" s="181"/>
      <c r="ODZ1011" s="181"/>
      <c r="OEA1011" s="181"/>
      <c r="OEB1011" s="181"/>
      <c r="OEC1011" s="181"/>
      <c r="OED1011" s="181"/>
      <c r="OEE1011" s="181"/>
      <c r="OEF1011" s="181"/>
      <c r="OEG1011" s="181"/>
      <c r="OEH1011" s="181"/>
      <c r="OEI1011" s="181"/>
      <c r="OEJ1011" s="181"/>
      <c r="OEK1011" s="181"/>
      <c r="OEL1011" s="181"/>
      <c r="OEM1011" s="181"/>
      <c r="OEN1011" s="181"/>
      <c r="OEO1011" s="181"/>
      <c r="OEP1011" s="181"/>
      <c r="OEQ1011" s="181"/>
      <c r="OER1011" s="181"/>
      <c r="OES1011" s="181"/>
      <c r="OET1011" s="181"/>
      <c r="OEU1011" s="181"/>
      <c r="OEV1011" s="181"/>
      <c r="OEW1011" s="181"/>
      <c r="OEX1011" s="181"/>
      <c r="OEY1011" s="181"/>
      <c r="OEZ1011" s="181"/>
      <c r="OFA1011" s="181"/>
      <c r="OFB1011" s="181"/>
      <c r="OFC1011" s="181"/>
      <c r="OFD1011" s="181"/>
      <c r="OFE1011" s="181"/>
      <c r="OFF1011" s="181"/>
      <c r="OFG1011" s="181"/>
      <c r="OFH1011" s="181"/>
      <c r="OFI1011" s="181"/>
      <c r="OFJ1011" s="181"/>
      <c r="OFK1011" s="181"/>
      <c r="OFL1011" s="181"/>
      <c r="OFM1011" s="181"/>
      <c r="OFN1011" s="181"/>
      <c r="OFO1011" s="181"/>
      <c r="OFP1011" s="181"/>
      <c r="OFQ1011" s="181"/>
      <c r="OFR1011" s="181"/>
      <c r="OFS1011" s="181"/>
      <c r="OFT1011" s="181"/>
      <c r="OFU1011" s="181"/>
      <c r="OFV1011" s="181"/>
      <c r="OFW1011" s="181"/>
      <c r="OFX1011" s="181"/>
      <c r="OFY1011" s="181"/>
      <c r="OFZ1011" s="181"/>
      <c r="OGA1011" s="181"/>
      <c r="OGB1011" s="181"/>
      <c r="OGC1011" s="181"/>
      <c r="OGD1011" s="181"/>
      <c r="OGE1011" s="181"/>
      <c r="OGF1011" s="181"/>
      <c r="OGG1011" s="181"/>
      <c r="OGH1011" s="181"/>
      <c r="OGI1011" s="181"/>
      <c r="OGJ1011" s="181"/>
      <c r="OGK1011" s="181"/>
      <c r="OGL1011" s="181"/>
      <c r="OGM1011" s="181"/>
      <c r="OGN1011" s="181"/>
      <c r="OGO1011" s="181"/>
      <c r="OGP1011" s="181"/>
      <c r="OGQ1011" s="181"/>
      <c r="OGR1011" s="181"/>
      <c r="OGS1011" s="181"/>
      <c r="OGT1011" s="181"/>
      <c r="OGU1011" s="181"/>
      <c r="OGV1011" s="181"/>
      <c r="OGW1011" s="181"/>
      <c r="OGX1011" s="181"/>
      <c r="OGY1011" s="181"/>
      <c r="OGZ1011" s="181"/>
      <c r="OHA1011" s="181"/>
      <c r="OHB1011" s="181"/>
      <c r="OHC1011" s="181"/>
      <c r="OHD1011" s="181"/>
      <c r="OHE1011" s="181"/>
      <c r="OHF1011" s="181"/>
      <c r="OHG1011" s="181"/>
      <c r="OHH1011" s="181"/>
      <c r="OHI1011" s="181"/>
      <c r="OHJ1011" s="181"/>
      <c r="OHK1011" s="181"/>
      <c r="OHL1011" s="181"/>
      <c r="OHM1011" s="181"/>
      <c r="OHN1011" s="181"/>
      <c r="OHO1011" s="181"/>
      <c r="OHP1011" s="181"/>
      <c r="OHQ1011" s="181"/>
      <c r="OHR1011" s="181"/>
      <c r="OHS1011" s="181"/>
      <c r="OHT1011" s="181"/>
      <c r="OHU1011" s="181"/>
      <c r="OHV1011" s="181"/>
      <c r="OHW1011" s="181"/>
      <c r="OHX1011" s="181"/>
      <c r="OHY1011" s="181"/>
      <c r="OHZ1011" s="181"/>
      <c r="OIA1011" s="181"/>
      <c r="OIB1011" s="181"/>
      <c r="OIC1011" s="181"/>
      <c r="OID1011" s="181"/>
      <c r="OIE1011" s="181"/>
      <c r="OIF1011" s="181"/>
      <c r="OIG1011" s="181"/>
      <c r="OIH1011" s="181"/>
      <c r="OII1011" s="181"/>
      <c r="OIJ1011" s="181"/>
      <c r="OIK1011" s="181"/>
      <c r="OIL1011" s="181"/>
      <c r="OIM1011" s="181"/>
      <c r="OIN1011" s="181"/>
      <c r="OIO1011" s="181"/>
      <c r="OIP1011" s="181"/>
      <c r="OIQ1011" s="181"/>
      <c r="OIR1011" s="181"/>
      <c r="OIS1011" s="181"/>
      <c r="OIT1011" s="181"/>
      <c r="OIU1011" s="181"/>
      <c r="OIV1011" s="181"/>
      <c r="OIW1011" s="181"/>
      <c r="OIX1011" s="181"/>
      <c r="OIY1011" s="181"/>
      <c r="OIZ1011" s="181"/>
      <c r="OJA1011" s="181"/>
      <c r="OJB1011" s="181"/>
      <c r="OJC1011" s="181"/>
      <c r="OJD1011" s="181"/>
      <c r="OJE1011" s="181"/>
      <c r="OJF1011" s="181"/>
      <c r="OJG1011" s="181"/>
      <c r="OJH1011" s="181"/>
      <c r="OJI1011" s="181"/>
      <c r="OJJ1011" s="181"/>
      <c r="OJK1011" s="181"/>
      <c r="OJL1011" s="181"/>
      <c r="OJM1011" s="181"/>
      <c r="OJN1011" s="181"/>
      <c r="OJO1011" s="181"/>
      <c r="OJP1011" s="181"/>
      <c r="OJQ1011" s="181"/>
      <c r="OJR1011" s="181"/>
      <c r="OJS1011" s="181"/>
      <c r="OJT1011" s="181"/>
      <c r="OJU1011" s="181"/>
      <c r="OJV1011" s="181"/>
      <c r="OJW1011" s="181"/>
      <c r="OJX1011" s="181"/>
      <c r="OJY1011" s="181"/>
      <c r="OJZ1011" s="181"/>
      <c r="OKA1011" s="181"/>
      <c r="OKB1011" s="181"/>
      <c r="OKC1011" s="181"/>
      <c r="OKD1011" s="181"/>
      <c r="OKE1011" s="181"/>
      <c r="OKF1011" s="181"/>
      <c r="OKG1011" s="181"/>
      <c r="OKH1011" s="181"/>
      <c r="OKI1011" s="181"/>
      <c r="OKJ1011" s="181"/>
      <c r="OKK1011" s="181"/>
      <c r="OKL1011" s="181"/>
      <c r="OKM1011" s="181"/>
      <c r="OKN1011" s="181"/>
      <c r="OKO1011" s="181"/>
      <c r="OKP1011" s="181"/>
      <c r="OKQ1011" s="181"/>
      <c r="OKR1011" s="181"/>
      <c r="OKS1011" s="181"/>
      <c r="OKT1011" s="181"/>
      <c r="OKU1011" s="181"/>
      <c r="OKV1011" s="181"/>
      <c r="OKW1011" s="181"/>
      <c r="OKX1011" s="181"/>
      <c r="OKY1011" s="181"/>
      <c r="OKZ1011" s="181"/>
      <c r="OLA1011" s="181"/>
      <c r="OLB1011" s="181"/>
      <c r="OLC1011" s="181"/>
      <c r="OLD1011" s="181"/>
      <c r="OLE1011" s="181"/>
      <c r="OLF1011" s="181"/>
      <c r="OLG1011" s="181"/>
      <c r="OLH1011" s="181"/>
      <c r="OLI1011" s="181"/>
      <c r="OLJ1011" s="181"/>
      <c r="OLK1011" s="181"/>
      <c r="OLL1011" s="181"/>
      <c r="OLM1011" s="181"/>
      <c r="OLN1011" s="181"/>
      <c r="OLO1011" s="181"/>
      <c r="OLP1011" s="181"/>
      <c r="OLQ1011" s="181"/>
      <c r="OLR1011" s="181"/>
      <c r="OLS1011" s="181"/>
      <c r="OLT1011" s="181"/>
      <c r="OLU1011" s="181"/>
      <c r="OLV1011" s="181"/>
      <c r="OLW1011" s="181"/>
      <c r="OLX1011" s="181"/>
      <c r="OLY1011" s="181"/>
      <c r="OLZ1011" s="181"/>
      <c r="OMA1011" s="181"/>
      <c r="OMB1011" s="181"/>
      <c r="OMC1011" s="181"/>
      <c r="OMD1011" s="181"/>
      <c r="OME1011" s="181"/>
      <c r="OMF1011" s="181"/>
      <c r="OMG1011" s="181"/>
      <c r="OMH1011" s="181"/>
      <c r="OMI1011" s="181"/>
      <c r="OMJ1011" s="181"/>
      <c r="OMK1011" s="181"/>
      <c r="OML1011" s="181"/>
      <c r="OMM1011" s="181"/>
      <c r="OMN1011" s="181"/>
      <c r="OMO1011" s="181"/>
      <c r="OMP1011" s="181"/>
      <c r="OMQ1011" s="181"/>
      <c r="OMR1011" s="181"/>
      <c r="OMS1011" s="181"/>
      <c r="OMT1011" s="181"/>
      <c r="OMU1011" s="181"/>
      <c r="OMV1011" s="181"/>
      <c r="OMW1011" s="181"/>
      <c r="OMX1011" s="181"/>
      <c r="OMY1011" s="181"/>
      <c r="OMZ1011" s="181"/>
      <c r="ONA1011" s="181"/>
      <c r="ONB1011" s="181"/>
      <c r="ONC1011" s="181"/>
      <c r="OND1011" s="181"/>
      <c r="ONE1011" s="181"/>
      <c r="ONF1011" s="181"/>
      <c r="ONG1011" s="181"/>
      <c r="ONH1011" s="181"/>
      <c r="ONI1011" s="181"/>
      <c r="ONJ1011" s="181"/>
      <c r="ONK1011" s="181"/>
      <c r="ONL1011" s="181"/>
      <c r="ONM1011" s="181"/>
      <c r="ONN1011" s="181"/>
      <c r="ONO1011" s="181"/>
      <c r="ONP1011" s="181"/>
      <c r="ONQ1011" s="181"/>
      <c r="ONR1011" s="181"/>
      <c r="ONS1011" s="181"/>
      <c r="ONT1011" s="181"/>
      <c r="ONU1011" s="181"/>
      <c r="ONV1011" s="181"/>
      <c r="ONW1011" s="181"/>
      <c r="ONX1011" s="181"/>
      <c r="ONY1011" s="181"/>
      <c r="ONZ1011" s="181"/>
      <c r="OOA1011" s="181"/>
      <c r="OOB1011" s="181"/>
      <c r="OOC1011" s="181"/>
      <c r="OOD1011" s="181"/>
      <c r="OOE1011" s="181"/>
      <c r="OOF1011" s="181"/>
      <c r="OOG1011" s="181"/>
      <c r="OOH1011" s="181"/>
      <c r="OOI1011" s="181"/>
      <c r="OOJ1011" s="181"/>
      <c r="OOK1011" s="181"/>
      <c r="OOL1011" s="181"/>
      <c r="OOM1011" s="181"/>
      <c r="OON1011" s="181"/>
      <c r="OOO1011" s="181"/>
      <c r="OOP1011" s="181"/>
      <c r="OOQ1011" s="181"/>
      <c r="OOR1011" s="181"/>
      <c r="OOS1011" s="181"/>
      <c r="OOT1011" s="181"/>
      <c r="OOU1011" s="181"/>
      <c r="OOV1011" s="181"/>
      <c r="OOW1011" s="181"/>
      <c r="OOX1011" s="181"/>
      <c r="OOY1011" s="181"/>
      <c r="OOZ1011" s="181"/>
      <c r="OPA1011" s="181"/>
      <c r="OPB1011" s="181"/>
      <c r="OPC1011" s="181"/>
      <c r="OPD1011" s="181"/>
      <c r="OPE1011" s="181"/>
      <c r="OPF1011" s="181"/>
      <c r="OPG1011" s="181"/>
      <c r="OPH1011" s="181"/>
      <c r="OPI1011" s="181"/>
      <c r="OPJ1011" s="181"/>
      <c r="OPK1011" s="181"/>
      <c r="OPL1011" s="181"/>
      <c r="OPM1011" s="181"/>
      <c r="OPN1011" s="181"/>
      <c r="OPO1011" s="181"/>
      <c r="OPP1011" s="181"/>
      <c r="OPQ1011" s="181"/>
      <c r="OPR1011" s="181"/>
      <c r="OPS1011" s="181"/>
      <c r="OPT1011" s="181"/>
      <c r="OPU1011" s="181"/>
      <c r="OPV1011" s="181"/>
      <c r="OPW1011" s="181"/>
      <c r="OPX1011" s="181"/>
      <c r="OPY1011" s="181"/>
      <c r="OPZ1011" s="181"/>
      <c r="OQA1011" s="181"/>
      <c r="OQB1011" s="181"/>
      <c r="OQC1011" s="181"/>
      <c r="OQD1011" s="181"/>
      <c r="OQE1011" s="181"/>
      <c r="OQF1011" s="181"/>
      <c r="OQG1011" s="181"/>
      <c r="OQH1011" s="181"/>
      <c r="OQI1011" s="181"/>
      <c r="OQJ1011" s="181"/>
      <c r="OQK1011" s="181"/>
      <c r="OQL1011" s="181"/>
      <c r="OQM1011" s="181"/>
      <c r="OQN1011" s="181"/>
      <c r="OQO1011" s="181"/>
      <c r="OQP1011" s="181"/>
      <c r="OQQ1011" s="181"/>
      <c r="OQR1011" s="181"/>
      <c r="OQS1011" s="181"/>
      <c r="OQT1011" s="181"/>
      <c r="OQU1011" s="181"/>
      <c r="OQV1011" s="181"/>
      <c r="OQW1011" s="181"/>
      <c r="OQX1011" s="181"/>
      <c r="OQY1011" s="181"/>
      <c r="OQZ1011" s="181"/>
      <c r="ORA1011" s="181"/>
      <c r="ORB1011" s="181"/>
      <c r="ORC1011" s="181"/>
      <c r="ORD1011" s="181"/>
      <c r="ORE1011" s="181"/>
      <c r="ORF1011" s="181"/>
      <c r="ORG1011" s="181"/>
      <c r="ORH1011" s="181"/>
      <c r="ORI1011" s="181"/>
      <c r="ORJ1011" s="181"/>
      <c r="ORK1011" s="181"/>
      <c r="ORL1011" s="181"/>
      <c r="ORM1011" s="181"/>
      <c r="ORN1011" s="181"/>
      <c r="ORO1011" s="181"/>
      <c r="ORP1011" s="181"/>
      <c r="ORQ1011" s="181"/>
      <c r="ORR1011" s="181"/>
      <c r="ORS1011" s="181"/>
      <c r="ORT1011" s="181"/>
      <c r="ORU1011" s="181"/>
      <c r="ORV1011" s="181"/>
      <c r="ORW1011" s="181"/>
      <c r="ORX1011" s="181"/>
      <c r="ORY1011" s="181"/>
      <c r="ORZ1011" s="181"/>
      <c r="OSA1011" s="181"/>
      <c r="OSB1011" s="181"/>
      <c r="OSC1011" s="181"/>
      <c r="OSD1011" s="181"/>
      <c r="OSE1011" s="181"/>
      <c r="OSF1011" s="181"/>
      <c r="OSG1011" s="181"/>
      <c r="OSH1011" s="181"/>
      <c r="OSI1011" s="181"/>
      <c r="OSJ1011" s="181"/>
      <c r="OSK1011" s="181"/>
      <c r="OSL1011" s="181"/>
      <c r="OSM1011" s="181"/>
      <c r="OSN1011" s="181"/>
      <c r="OSO1011" s="181"/>
      <c r="OSP1011" s="181"/>
      <c r="OSQ1011" s="181"/>
      <c r="OSR1011" s="181"/>
      <c r="OSS1011" s="181"/>
      <c r="OST1011" s="181"/>
      <c r="OSU1011" s="181"/>
      <c r="OSV1011" s="181"/>
      <c r="OSW1011" s="181"/>
      <c r="OSX1011" s="181"/>
      <c r="OSY1011" s="181"/>
      <c r="OSZ1011" s="181"/>
      <c r="OTA1011" s="181"/>
      <c r="OTB1011" s="181"/>
      <c r="OTC1011" s="181"/>
      <c r="OTD1011" s="181"/>
      <c r="OTE1011" s="181"/>
      <c r="OTF1011" s="181"/>
      <c r="OTG1011" s="181"/>
      <c r="OTH1011" s="181"/>
      <c r="OTI1011" s="181"/>
      <c r="OTJ1011" s="181"/>
      <c r="OTK1011" s="181"/>
      <c r="OTL1011" s="181"/>
      <c r="OTM1011" s="181"/>
      <c r="OTN1011" s="181"/>
      <c r="OTO1011" s="181"/>
      <c r="OTP1011" s="181"/>
      <c r="OTQ1011" s="181"/>
      <c r="OTR1011" s="181"/>
      <c r="OTS1011" s="181"/>
      <c r="OTT1011" s="181"/>
      <c r="OTU1011" s="181"/>
      <c r="OTV1011" s="181"/>
      <c r="OTW1011" s="181"/>
      <c r="OTX1011" s="181"/>
      <c r="OTY1011" s="181"/>
      <c r="OTZ1011" s="181"/>
      <c r="OUA1011" s="181"/>
      <c r="OUB1011" s="181"/>
      <c r="OUC1011" s="181"/>
      <c r="OUD1011" s="181"/>
      <c r="OUE1011" s="181"/>
      <c r="OUF1011" s="181"/>
      <c r="OUG1011" s="181"/>
      <c r="OUH1011" s="181"/>
      <c r="OUI1011" s="181"/>
      <c r="OUJ1011" s="181"/>
      <c r="OUK1011" s="181"/>
      <c r="OUL1011" s="181"/>
      <c r="OUM1011" s="181"/>
      <c r="OUN1011" s="181"/>
      <c r="OUO1011" s="181"/>
      <c r="OUP1011" s="181"/>
      <c r="OUQ1011" s="181"/>
      <c r="OUR1011" s="181"/>
      <c r="OUS1011" s="181"/>
      <c r="OUT1011" s="181"/>
      <c r="OUU1011" s="181"/>
      <c r="OUV1011" s="181"/>
      <c r="OUW1011" s="181"/>
      <c r="OUX1011" s="181"/>
      <c r="OUY1011" s="181"/>
      <c r="OUZ1011" s="181"/>
      <c r="OVA1011" s="181"/>
      <c r="OVB1011" s="181"/>
      <c r="OVC1011" s="181"/>
      <c r="OVD1011" s="181"/>
      <c r="OVE1011" s="181"/>
      <c r="OVF1011" s="181"/>
      <c r="OVG1011" s="181"/>
      <c r="OVH1011" s="181"/>
      <c r="OVI1011" s="181"/>
      <c r="OVJ1011" s="181"/>
      <c r="OVK1011" s="181"/>
      <c r="OVL1011" s="181"/>
      <c r="OVM1011" s="181"/>
      <c r="OVN1011" s="181"/>
      <c r="OVO1011" s="181"/>
      <c r="OVP1011" s="181"/>
      <c r="OVQ1011" s="181"/>
      <c r="OVR1011" s="181"/>
      <c r="OVS1011" s="181"/>
      <c r="OVT1011" s="181"/>
      <c r="OVU1011" s="181"/>
      <c r="OVV1011" s="181"/>
      <c r="OVW1011" s="181"/>
      <c r="OVX1011" s="181"/>
      <c r="OVY1011" s="181"/>
      <c r="OVZ1011" s="181"/>
      <c r="OWA1011" s="181"/>
      <c r="OWB1011" s="181"/>
      <c r="OWC1011" s="181"/>
      <c r="OWD1011" s="181"/>
      <c r="OWE1011" s="181"/>
      <c r="OWF1011" s="181"/>
      <c r="OWG1011" s="181"/>
      <c r="OWH1011" s="181"/>
      <c r="OWI1011" s="181"/>
      <c r="OWJ1011" s="181"/>
      <c r="OWK1011" s="181"/>
      <c r="OWL1011" s="181"/>
      <c r="OWM1011" s="181"/>
      <c r="OWN1011" s="181"/>
      <c r="OWO1011" s="181"/>
      <c r="OWP1011" s="181"/>
      <c r="OWQ1011" s="181"/>
      <c r="OWR1011" s="181"/>
      <c r="OWS1011" s="181"/>
      <c r="OWT1011" s="181"/>
      <c r="OWU1011" s="181"/>
      <c r="OWV1011" s="181"/>
      <c r="OWW1011" s="181"/>
      <c r="OWX1011" s="181"/>
      <c r="OWY1011" s="181"/>
      <c r="OWZ1011" s="181"/>
      <c r="OXA1011" s="181"/>
      <c r="OXB1011" s="181"/>
      <c r="OXC1011" s="181"/>
      <c r="OXD1011" s="181"/>
      <c r="OXE1011" s="181"/>
      <c r="OXF1011" s="181"/>
      <c r="OXG1011" s="181"/>
      <c r="OXH1011" s="181"/>
      <c r="OXI1011" s="181"/>
      <c r="OXJ1011" s="181"/>
      <c r="OXK1011" s="181"/>
      <c r="OXL1011" s="181"/>
      <c r="OXM1011" s="181"/>
      <c r="OXN1011" s="181"/>
      <c r="OXO1011" s="181"/>
      <c r="OXP1011" s="181"/>
      <c r="OXQ1011" s="181"/>
      <c r="OXR1011" s="181"/>
      <c r="OXS1011" s="181"/>
      <c r="OXT1011" s="181"/>
      <c r="OXU1011" s="181"/>
      <c r="OXV1011" s="181"/>
      <c r="OXW1011" s="181"/>
      <c r="OXX1011" s="181"/>
      <c r="OXY1011" s="181"/>
      <c r="OXZ1011" s="181"/>
      <c r="OYA1011" s="181"/>
      <c r="OYB1011" s="181"/>
      <c r="OYC1011" s="181"/>
      <c r="OYD1011" s="181"/>
      <c r="OYE1011" s="181"/>
      <c r="OYF1011" s="181"/>
      <c r="OYG1011" s="181"/>
      <c r="OYH1011" s="181"/>
      <c r="OYI1011" s="181"/>
      <c r="OYJ1011" s="181"/>
      <c r="OYK1011" s="181"/>
      <c r="OYL1011" s="181"/>
      <c r="OYM1011" s="181"/>
      <c r="OYN1011" s="181"/>
      <c r="OYO1011" s="181"/>
      <c r="OYP1011" s="181"/>
      <c r="OYQ1011" s="181"/>
      <c r="OYR1011" s="181"/>
      <c r="OYS1011" s="181"/>
      <c r="OYT1011" s="181"/>
      <c r="OYU1011" s="181"/>
      <c r="OYV1011" s="181"/>
      <c r="OYW1011" s="181"/>
      <c r="OYX1011" s="181"/>
      <c r="OYY1011" s="181"/>
      <c r="OYZ1011" s="181"/>
      <c r="OZA1011" s="181"/>
      <c r="OZB1011" s="181"/>
      <c r="OZC1011" s="181"/>
      <c r="OZD1011" s="181"/>
      <c r="OZE1011" s="181"/>
      <c r="OZF1011" s="181"/>
      <c r="OZG1011" s="181"/>
      <c r="OZH1011" s="181"/>
      <c r="OZI1011" s="181"/>
      <c r="OZJ1011" s="181"/>
      <c r="OZK1011" s="181"/>
      <c r="OZL1011" s="181"/>
      <c r="OZM1011" s="181"/>
      <c r="OZN1011" s="181"/>
      <c r="OZO1011" s="181"/>
      <c r="OZP1011" s="181"/>
      <c r="OZQ1011" s="181"/>
      <c r="OZR1011" s="181"/>
      <c r="OZS1011" s="181"/>
      <c r="OZT1011" s="181"/>
      <c r="OZU1011" s="181"/>
      <c r="OZV1011" s="181"/>
      <c r="OZW1011" s="181"/>
      <c r="OZX1011" s="181"/>
      <c r="OZY1011" s="181"/>
      <c r="OZZ1011" s="181"/>
      <c r="PAA1011" s="181"/>
      <c r="PAB1011" s="181"/>
      <c r="PAC1011" s="181"/>
      <c r="PAD1011" s="181"/>
      <c r="PAE1011" s="181"/>
      <c r="PAF1011" s="181"/>
      <c r="PAG1011" s="181"/>
      <c r="PAH1011" s="181"/>
      <c r="PAI1011" s="181"/>
      <c r="PAJ1011" s="181"/>
      <c r="PAK1011" s="181"/>
      <c r="PAL1011" s="181"/>
      <c r="PAM1011" s="181"/>
      <c r="PAN1011" s="181"/>
      <c r="PAO1011" s="181"/>
      <c r="PAP1011" s="181"/>
      <c r="PAQ1011" s="181"/>
      <c r="PAR1011" s="181"/>
      <c r="PAS1011" s="181"/>
      <c r="PAT1011" s="181"/>
      <c r="PAU1011" s="181"/>
      <c r="PAV1011" s="181"/>
      <c r="PAW1011" s="181"/>
      <c r="PAX1011" s="181"/>
      <c r="PAY1011" s="181"/>
      <c r="PAZ1011" s="181"/>
      <c r="PBA1011" s="181"/>
      <c r="PBB1011" s="181"/>
      <c r="PBC1011" s="181"/>
      <c r="PBD1011" s="181"/>
      <c r="PBE1011" s="181"/>
      <c r="PBF1011" s="181"/>
      <c r="PBG1011" s="181"/>
      <c r="PBH1011" s="181"/>
      <c r="PBI1011" s="181"/>
      <c r="PBJ1011" s="181"/>
      <c r="PBK1011" s="181"/>
      <c r="PBL1011" s="181"/>
      <c r="PBM1011" s="181"/>
      <c r="PBN1011" s="181"/>
      <c r="PBO1011" s="181"/>
      <c r="PBP1011" s="181"/>
      <c r="PBQ1011" s="181"/>
      <c r="PBR1011" s="181"/>
      <c r="PBS1011" s="181"/>
      <c r="PBT1011" s="181"/>
      <c r="PBU1011" s="181"/>
      <c r="PBV1011" s="181"/>
      <c r="PBW1011" s="181"/>
      <c r="PBX1011" s="181"/>
      <c r="PBY1011" s="181"/>
      <c r="PBZ1011" s="181"/>
      <c r="PCA1011" s="181"/>
      <c r="PCB1011" s="181"/>
      <c r="PCC1011" s="181"/>
      <c r="PCD1011" s="181"/>
      <c r="PCE1011" s="181"/>
      <c r="PCF1011" s="181"/>
      <c r="PCG1011" s="181"/>
      <c r="PCH1011" s="181"/>
      <c r="PCI1011" s="181"/>
      <c r="PCJ1011" s="181"/>
      <c r="PCK1011" s="181"/>
      <c r="PCL1011" s="181"/>
      <c r="PCM1011" s="181"/>
      <c r="PCN1011" s="181"/>
      <c r="PCO1011" s="181"/>
      <c r="PCP1011" s="181"/>
      <c r="PCQ1011" s="181"/>
      <c r="PCR1011" s="181"/>
      <c r="PCS1011" s="181"/>
      <c r="PCT1011" s="181"/>
      <c r="PCU1011" s="181"/>
      <c r="PCV1011" s="181"/>
      <c r="PCW1011" s="181"/>
      <c r="PCX1011" s="181"/>
      <c r="PCY1011" s="181"/>
      <c r="PCZ1011" s="181"/>
      <c r="PDA1011" s="181"/>
      <c r="PDB1011" s="181"/>
      <c r="PDC1011" s="181"/>
      <c r="PDD1011" s="181"/>
      <c r="PDE1011" s="181"/>
      <c r="PDF1011" s="181"/>
      <c r="PDG1011" s="181"/>
      <c r="PDH1011" s="181"/>
      <c r="PDI1011" s="181"/>
      <c r="PDJ1011" s="181"/>
      <c r="PDK1011" s="181"/>
      <c r="PDL1011" s="181"/>
      <c r="PDM1011" s="181"/>
      <c r="PDN1011" s="181"/>
      <c r="PDO1011" s="181"/>
      <c r="PDP1011" s="181"/>
      <c r="PDQ1011" s="181"/>
      <c r="PDR1011" s="181"/>
      <c r="PDS1011" s="181"/>
      <c r="PDT1011" s="181"/>
      <c r="PDU1011" s="181"/>
      <c r="PDV1011" s="181"/>
      <c r="PDW1011" s="181"/>
      <c r="PDX1011" s="181"/>
      <c r="PDY1011" s="181"/>
      <c r="PDZ1011" s="181"/>
      <c r="PEA1011" s="181"/>
      <c r="PEB1011" s="181"/>
      <c r="PEC1011" s="181"/>
      <c r="PED1011" s="181"/>
      <c r="PEE1011" s="181"/>
      <c r="PEF1011" s="181"/>
      <c r="PEG1011" s="181"/>
      <c r="PEH1011" s="181"/>
      <c r="PEI1011" s="181"/>
      <c r="PEJ1011" s="181"/>
      <c r="PEK1011" s="181"/>
      <c r="PEL1011" s="181"/>
      <c r="PEM1011" s="181"/>
      <c r="PEN1011" s="181"/>
      <c r="PEO1011" s="181"/>
      <c r="PEP1011" s="181"/>
      <c r="PEQ1011" s="181"/>
      <c r="PER1011" s="181"/>
      <c r="PES1011" s="181"/>
      <c r="PET1011" s="181"/>
      <c r="PEU1011" s="181"/>
      <c r="PEV1011" s="181"/>
      <c r="PEW1011" s="181"/>
      <c r="PEX1011" s="181"/>
      <c r="PEY1011" s="181"/>
      <c r="PEZ1011" s="181"/>
      <c r="PFA1011" s="181"/>
      <c r="PFB1011" s="181"/>
      <c r="PFC1011" s="181"/>
      <c r="PFD1011" s="181"/>
      <c r="PFE1011" s="181"/>
      <c r="PFF1011" s="181"/>
      <c r="PFG1011" s="181"/>
      <c r="PFH1011" s="181"/>
      <c r="PFI1011" s="181"/>
      <c r="PFJ1011" s="181"/>
      <c r="PFK1011" s="181"/>
      <c r="PFL1011" s="181"/>
      <c r="PFM1011" s="181"/>
      <c r="PFN1011" s="181"/>
      <c r="PFO1011" s="181"/>
      <c r="PFP1011" s="181"/>
      <c r="PFQ1011" s="181"/>
      <c r="PFR1011" s="181"/>
      <c r="PFS1011" s="181"/>
      <c r="PFT1011" s="181"/>
      <c r="PFU1011" s="181"/>
      <c r="PFV1011" s="181"/>
      <c r="PFW1011" s="181"/>
      <c r="PFX1011" s="181"/>
      <c r="PFY1011" s="181"/>
      <c r="PFZ1011" s="181"/>
      <c r="PGA1011" s="181"/>
      <c r="PGB1011" s="181"/>
      <c r="PGC1011" s="181"/>
      <c r="PGD1011" s="181"/>
      <c r="PGE1011" s="181"/>
      <c r="PGF1011" s="181"/>
      <c r="PGG1011" s="181"/>
      <c r="PGH1011" s="181"/>
      <c r="PGI1011" s="181"/>
      <c r="PGJ1011" s="181"/>
      <c r="PGK1011" s="181"/>
      <c r="PGL1011" s="181"/>
      <c r="PGM1011" s="181"/>
      <c r="PGN1011" s="181"/>
      <c r="PGO1011" s="181"/>
      <c r="PGP1011" s="181"/>
      <c r="PGQ1011" s="181"/>
      <c r="PGR1011" s="181"/>
      <c r="PGS1011" s="181"/>
      <c r="PGT1011" s="181"/>
      <c r="PGU1011" s="181"/>
      <c r="PGV1011" s="181"/>
      <c r="PGW1011" s="181"/>
      <c r="PGX1011" s="181"/>
      <c r="PGY1011" s="181"/>
      <c r="PGZ1011" s="181"/>
      <c r="PHA1011" s="181"/>
      <c r="PHB1011" s="181"/>
      <c r="PHC1011" s="181"/>
      <c r="PHD1011" s="181"/>
      <c r="PHE1011" s="181"/>
      <c r="PHF1011" s="181"/>
      <c r="PHG1011" s="181"/>
      <c r="PHH1011" s="181"/>
      <c r="PHI1011" s="181"/>
      <c r="PHJ1011" s="181"/>
      <c r="PHK1011" s="181"/>
      <c r="PHL1011" s="181"/>
      <c r="PHM1011" s="181"/>
      <c r="PHN1011" s="181"/>
      <c r="PHO1011" s="181"/>
      <c r="PHP1011" s="181"/>
      <c r="PHQ1011" s="181"/>
      <c r="PHR1011" s="181"/>
      <c r="PHS1011" s="181"/>
      <c r="PHT1011" s="181"/>
      <c r="PHU1011" s="181"/>
      <c r="PHV1011" s="181"/>
      <c r="PHW1011" s="181"/>
      <c r="PHX1011" s="181"/>
      <c r="PHY1011" s="181"/>
      <c r="PHZ1011" s="181"/>
      <c r="PIA1011" s="181"/>
      <c r="PIB1011" s="181"/>
      <c r="PIC1011" s="181"/>
      <c r="PID1011" s="181"/>
      <c r="PIE1011" s="181"/>
      <c r="PIF1011" s="181"/>
      <c r="PIG1011" s="181"/>
      <c r="PIH1011" s="181"/>
      <c r="PII1011" s="181"/>
      <c r="PIJ1011" s="181"/>
      <c r="PIK1011" s="181"/>
      <c r="PIL1011" s="181"/>
      <c r="PIM1011" s="181"/>
      <c r="PIN1011" s="181"/>
      <c r="PIO1011" s="181"/>
      <c r="PIP1011" s="181"/>
      <c r="PIQ1011" s="181"/>
      <c r="PIR1011" s="181"/>
      <c r="PIS1011" s="181"/>
      <c r="PIT1011" s="181"/>
      <c r="PIU1011" s="181"/>
      <c r="PIV1011" s="181"/>
      <c r="PIW1011" s="181"/>
      <c r="PIX1011" s="181"/>
      <c r="PIY1011" s="181"/>
      <c r="PIZ1011" s="181"/>
      <c r="PJA1011" s="181"/>
      <c r="PJB1011" s="181"/>
      <c r="PJC1011" s="181"/>
      <c r="PJD1011" s="181"/>
      <c r="PJE1011" s="181"/>
      <c r="PJF1011" s="181"/>
      <c r="PJG1011" s="181"/>
      <c r="PJH1011" s="181"/>
      <c r="PJI1011" s="181"/>
      <c r="PJJ1011" s="181"/>
      <c r="PJK1011" s="181"/>
      <c r="PJL1011" s="181"/>
      <c r="PJM1011" s="181"/>
      <c r="PJN1011" s="181"/>
      <c r="PJO1011" s="181"/>
      <c r="PJP1011" s="181"/>
      <c r="PJQ1011" s="181"/>
      <c r="PJR1011" s="181"/>
      <c r="PJS1011" s="181"/>
      <c r="PJT1011" s="181"/>
      <c r="PJU1011" s="181"/>
      <c r="PJV1011" s="181"/>
      <c r="PJW1011" s="181"/>
      <c r="PJX1011" s="181"/>
      <c r="PJY1011" s="181"/>
      <c r="PJZ1011" s="181"/>
      <c r="PKA1011" s="181"/>
      <c r="PKB1011" s="181"/>
      <c r="PKC1011" s="181"/>
      <c r="PKD1011" s="181"/>
      <c r="PKE1011" s="181"/>
      <c r="PKF1011" s="181"/>
      <c r="PKG1011" s="181"/>
      <c r="PKH1011" s="181"/>
      <c r="PKI1011" s="181"/>
      <c r="PKJ1011" s="181"/>
      <c r="PKK1011" s="181"/>
      <c r="PKL1011" s="181"/>
      <c r="PKM1011" s="181"/>
      <c r="PKN1011" s="181"/>
      <c r="PKO1011" s="181"/>
      <c r="PKP1011" s="181"/>
      <c r="PKQ1011" s="181"/>
      <c r="PKR1011" s="181"/>
      <c r="PKS1011" s="181"/>
      <c r="PKT1011" s="181"/>
      <c r="PKU1011" s="181"/>
      <c r="PKV1011" s="181"/>
      <c r="PKW1011" s="181"/>
      <c r="PKX1011" s="181"/>
      <c r="PKY1011" s="181"/>
      <c r="PKZ1011" s="181"/>
      <c r="PLA1011" s="181"/>
      <c r="PLB1011" s="181"/>
      <c r="PLC1011" s="181"/>
      <c r="PLD1011" s="181"/>
      <c r="PLE1011" s="181"/>
      <c r="PLF1011" s="181"/>
      <c r="PLG1011" s="181"/>
      <c r="PLH1011" s="181"/>
      <c r="PLI1011" s="181"/>
      <c r="PLJ1011" s="181"/>
      <c r="PLK1011" s="181"/>
      <c r="PLL1011" s="181"/>
      <c r="PLM1011" s="181"/>
      <c r="PLN1011" s="181"/>
      <c r="PLO1011" s="181"/>
      <c r="PLP1011" s="181"/>
      <c r="PLQ1011" s="181"/>
      <c r="PLR1011" s="181"/>
      <c r="PLS1011" s="181"/>
      <c r="PLT1011" s="181"/>
      <c r="PLU1011" s="181"/>
      <c r="PLV1011" s="181"/>
      <c r="PLW1011" s="181"/>
      <c r="PLX1011" s="181"/>
      <c r="PLY1011" s="181"/>
      <c r="PLZ1011" s="181"/>
      <c r="PMA1011" s="181"/>
      <c r="PMB1011" s="181"/>
      <c r="PMC1011" s="181"/>
      <c r="PMD1011" s="181"/>
      <c r="PME1011" s="181"/>
      <c r="PMF1011" s="181"/>
      <c r="PMG1011" s="181"/>
      <c r="PMH1011" s="181"/>
      <c r="PMI1011" s="181"/>
      <c r="PMJ1011" s="181"/>
      <c r="PMK1011" s="181"/>
      <c r="PML1011" s="181"/>
      <c r="PMM1011" s="181"/>
      <c r="PMN1011" s="181"/>
      <c r="PMO1011" s="181"/>
      <c r="PMP1011" s="181"/>
      <c r="PMQ1011" s="181"/>
      <c r="PMR1011" s="181"/>
      <c r="PMS1011" s="181"/>
      <c r="PMT1011" s="181"/>
      <c r="PMU1011" s="181"/>
      <c r="PMV1011" s="181"/>
      <c r="PMW1011" s="181"/>
      <c r="PMX1011" s="181"/>
      <c r="PMY1011" s="181"/>
      <c r="PMZ1011" s="181"/>
      <c r="PNA1011" s="181"/>
      <c r="PNB1011" s="181"/>
      <c r="PNC1011" s="181"/>
      <c r="PND1011" s="181"/>
      <c r="PNE1011" s="181"/>
      <c r="PNF1011" s="181"/>
      <c r="PNG1011" s="181"/>
      <c r="PNH1011" s="181"/>
      <c r="PNI1011" s="181"/>
      <c r="PNJ1011" s="181"/>
      <c r="PNK1011" s="181"/>
      <c r="PNL1011" s="181"/>
      <c r="PNM1011" s="181"/>
      <c r="PNN1011" s="181"/>
      <c r="PNO1011" s="181"/>
      <c r="PNP1011" s="181"/>
      <c r="PNQ1011" s="181"/>
      <c r="PNR1011" s="181"/>
      <c r="PNS1011" s="181"/>
      <c r="PNT1011" s="181"/>
      <c r="PNU1011" s="181"/>
      <c r="PNV1011" s="181"/>
      <c r="PNW1011" s="181"/>
      <c r="PNX1011" s="181"/>
      <c r="PNY1011" s="181"/>
      <c r="PNZ1011" s="181"/>
      <c r="POA1011" s="181"/>
      <c r="POB1011" s="181"/>
      <c r="POC1011" s="181"/>
      <c r="POD1011" s="181"/>
      <c r="POE1011" s="181"/>
      <c r="POF1011" s="181"/>
      <c r="POG1011" s="181"/>
      <c r="POH1011" s="181"/>
      <c r="POI1011" s="181"/>
      <c r="POJ1011" s="181"/>
      <c r="POK1011" s="181"/>
      <c r="POL1011" s="181"/>
      <c r="POM1011" s="181"/>
      <c r="PON1011" s="181"/>
      <c r="POO1011" s="181"/>
      <c r="POP1011" s="181"/>
      <c r="POQ1011" s="181"/>
      <c r="POR1011" s="181"/>
      <c r="POS1011" s="181"/>
      <c r="POT1011" s="181"/>
      <c r="POU1011" s="181"/>
      <c r="POV1011" s="181"/>
      <c r="POW1011" s="181"/>
      <c r="POX1011" s="181"/>
      <c r="POY1011" s="181"/>
      <c r="POZ1011" s="181"/>
      <c r="PPA1011" s="181"/>
      <c r="PPB1011" s="181"/>
      <c r="PPC1011" s="181"/>
      <c r="PPD1011" s="181"/>
      <c r="PPE1011" s="181"/>
      <c r="PPF1011" s="181"/>
      <c r="PPG1011" s="181"/>
      <c r="PPH1011" s="181"/>
      <c r="PPI1011" s="181"/>
      <c r="PPJ1011" s="181"/>
      <c r="PPK1011" s="181"/>
      <c r="PPL1011" s="181"/>
      <c r="PPM1011" s="181"/>
      <c r="PPN1011" s="181"/>
      <c r="PPO1011" s="181"/>
      <c r="PPP1011" s="181"/>
      <c r="PPQ1011" s="181"/>
      <c r="PPR1011" s="181"/>
      <c r="PPS1011" s="181"/>
      <c r="PPT1011" s="181"/>
      <c r="PPU1011" s="181"/>
      <c r="PPV1011" s="181"/>
      <c r="PPW1011" s="181"/>
      <c r="PPX1011" s="181"/>
      <c r="PPY1011" s="181"/>
      <c r="PPZ1011" s="181"/>
      <c r="PQA1011" s="181"/>
      <c r="PQB1011" s="181"/>
      <c r="PQC1011" s="181"/>
      <c r="PQD1011" s="181"/>
      <c r="PQE1011" s="181"/>
      <c r="PQF1011" s="181"/>
      <c r="PQG1011" s="181"/>
      <c r="PQH1011" s="181"/>
      <c r="PQI1011" s="181"/>
      <c r="PQJ1011" s="181"/>
      <c r="PQK1011" s="181"/>
      <c r="PQL1011" s="181"/>
      <c r="PQM1011" s="181"/>
      <c r="PQN1011" s="181"/>
      <c r="PQO1011" s="181"/>
      <c r="PQP1011" s="181"/>
      <c r="PQQ1011" s="181"/>
      <c r="PQR1011" s="181"/>
      <c r="PQS1011" s="181"/>
      <c r="PQT1011" s="181"/>
      <c r="PQU1011" s="181"/>
      <c r="PQV1011" s="181"/>
      <c r="PQW1011" s="181"/>
      <c r="PQX1011" s="181"/>
      <c r="PQY1011" s="181"/>
      <c r="PQZ1011" s="181"/>
      <c r="PRA1011" s="181"/>
      <c r="PRB1011" s="181"/>
      <c r="PRC1011" s="181"/>
      <c r="PRD1011" s="181"/>
      <c r="PRE1011" s="181"/>
      <c r="PRF1011" s="181"/>
      <c r="PRG1011" s="181"/>
      <c r="PRH1011" s="181"/>
      <c r="PRI1011" s="181"/>
      <c r="PRJ1011" s="181"/>
      <c r="PRK1011" s="181"/>
      <c r="PRL1011" s="181"/>
      <c r="PRM1011" s="181"/>
      <c r="PRN1011" s="181"/>
      <c r="PRO1011" s="181"/>
      <c r="PRP1011" s="181"/>
      <c r="PRQ1011" s="181"/>
      <c r="PRR1011" s="181"/>
      <c r="PRS1011" s="181"/>
      <c r="PRT1011" s="181"/>
      <c r="PRU1011" s="181"/>
      <c r="PRV1011" s="181"/>
      <c r="PRW1011" s="181"/>
      <c r="PRX1011" s="181"/>
      <c r="PRY1011" s="181"/>
      <c r="PRZ1011" s="181"/>
      <c r="PSA1011" s="181"/>
      <c r="PSB1011" s="181"/>
      <c r="PSC1011" s="181"/>
      <c r="PSD1011" s="181"/>
      <c r="PSE1011" s="181"/>
      <c r="PSF1011" s="181"/>
      <c r="PSG1011" s="181"/>
      <c r="PSH1011" s="181"/>
      <c r="PSI1011" s="181"/>
      <c r="PSJ1011" s="181"/>
      <c r="PSK1011" s="181"/>
      <c r="PSL1011" s="181"/>
      <c r="PSM1011" s="181"/>
      <c r="PSN1011" s="181"/>
      <c r="PSO1011" s="181"/>
      <c r="PSP1011" s="181"/>
      <c r="PSQ1011" s="181"/>
      <c r="PSR1011" s="181"/>
      <c r="PSS1011" s="181"/>
      <c r="PST1011" s="181"/>
      <c r="PSU1011" s="181"/>
      <c r="PSV1011" s="181"/>
      <c r="PSW1011" s="181"/>
      <c r="PSX1011" s="181"/>
      <c r="PSY1011" s="181"/>
      <c r="PSZ1011" s="181"/>
      <c r="PTA1011" s="181"/>
      <c r="PTB1011" s="181"/>
      <c r="PTC1011" s="181"/>
      <c r="PTD1011" s="181"/>
      <c r="PTE1011" s="181"/>
      <c r="PTF1011" s="181"/>
      <c r="PTG1011" s="181"/>
      <c r="PTH1011" s="181"/>
      <c r="PTI1011" s="181"/>
      <c r="PTJ1011" s="181"/>
      <c r="PTK1011" s="181"/>
      <c r="PTL1011" s="181"/>
      <c r="PTM1011" s="181"/>
      <c r="PTN1011" s="181"/>
      <c r="PTO1011" s="181"/>
      <c r="PTP1011" s="181"/>
      <c r="PTQ1011" s="181"/>
      <c r="PTR1011" s="181"/>
      <c r="PTS1011" s="181"/>
      <c r="PTT1011" s="181"/>
      <c r="PTU1011" s="181"/>
      <c r="PTV1011" s="181"/>
      <c r="PTW1011" s="181"/>
      <c r="PTX1011" s="181"/>
      <c r="PTY1011" s="181"/>
      <c r="PTZ1011" s="181"/>
      <c r="PUA1011" s="181"/>
      <c r="PUB1011" s="181"/>
      <c r="PUC1011" s="181"/>
      <c r="PUD1011" s="181"/>
      <c r="PUE1011" s="181"/>
      <c r="PUF1011" s="181"/>
      <c r="PUG1011" s="181"/>
      <c r="PUH1011" s="181"/>
      <c r="PUI1011" s="181"/>
      <c r="PUJ1011" s="181"/>
      <c r="PUK1011" s="181"/>
      <c r="PUL1011" s="181"/>
      <c r="PUM1011" s="181"/>
      <c r="PUN1011" s="181"/>
      <c r="PUO1011" s="181"/>
      <c r="PUP1011" s="181"/>
      <c r="PUQ1011" s="181"/>
      <c r="PUR1011" s="181"/>
      <c r="PUS1011" s="181"/>
      <c r="PUT1011" s="181"/>
      <c r="PUU1011" s="181"/>
      <c r="PUV1011" s="181"/>
      <c r="PUW1011" s="181"/>
      <c r="PUX1011" s="181"/>
      <c r="PUY1011" s="181"/>
      <c r="PUZ1011" s="181"/>
      <c r="PVA1011" s="181"/>
      <c r="PVB1011" s="181"/>
      <c r="PVC1011" s="181"/>
      <c r="PVD1011" s="181"/>
      <c r="PVE1011" s="181"/>
      <c r="PVF1011" s="181"/>
      <c r="PVG1011" s="181"/>
      <c r="PVH1011" s="181"/>
      <c r="PVI1011" s="181"/>
      <c r="PVJ1011" s="181"/>
      <c r="PVK1011" s="181"/>
      <c r="PVL1011" s="181"/>
      <c r="PVM1011" s="181"/>
      <c r="PVN1011" s="181"/>
      <c r="PVO1011" s="181"/>
      <c r="PVP1011" s="181"/>
      <c r="PVQ1011" s="181"/>
      <c r="PVR1011" s="181"/>
      <c r="PVS1011" s="181"/>
      <c r="PVT1011" s="181"/>
      <c r="PVU1011" s="181"/>
      <c r="PVV1011" s="181"/>
      <c r="PVW1011" s="181"/>
      <c r="PVX1011" s="181"/>
      <c r="PVY1011" s="181"/>
      <c r="PVZ1011" s="181"/>
      <c r="PWA1011" s="181"/>
      <c r="PWB1011" s="181"/>
      <c r="PWC1011" s="181"/>
      <c r="PWD1011" s="181"/>
      <c r="PWE1011" s="181"/>
      <c r="PWF1011" s="181"/>
      <c r="PWG1011" s="181"/>
      <c r="PWH1011" s="181"/>
      <c r="PWI1011" s="181"/>
      <c r="PWJ1011" s="181"/>
      <c r="PWK1011" s="181"/>
      <c r="PWL1011" s="181"/>
      <c r="PWM1011" s="181"/>
      <c r="PWN1011" s="181"/>
      <c r="PWO1011" s="181"/>
      <c r="PWP1011" s="181"/>
      <c r="PWQ1011" s="181"/>
      <c r="PWR1011" s="181"/>
      <c r="PWS1011" s="181"/>
      <c r="PWT1011" s="181"/>
      <c r="PWU1011" s="181"/>
      <c r="PWV1011" s="181"/>
      <c r="PWW1011" s="181"/>
      <c r="PWX1011" s="181"/>
      <c r="PWY1011" s="181"/>
      <c r="PWZ1011" s="181"/>
      <c r="PXA1011" s="181"/>
      <c r="PXB1011" s="181"/>
      <c r="PXC1011" s="181"/>
      <c r="PXD1011" s="181"/>
      <c r="PXE1011" s="181"/>
      <c r="PXF1011" s="181"/>
      <c r="PXG1011" s="181"/>
      <c r="PXH1011" s="181"/>
      <c r="PXI1011" s="181"/>
      <c r="PXJ1011" s="181"/>
      <c r="PXK1011" s="181"/>
      <c r="PXL1011" s="181"/>
      <c r="PXM1011" s="181"/>
      <c r="PXN1011" s="181"/>
      <c r="PXO1011" s="181"/>
      <c r="PXP1011" s="181"/>
      <c r="PXQ1011" s="181"/>
      <c r="PXR1011" s="181"/>
      <c r="PXS1011" s="181"/>
      <c r="PXT1011" s="181"/>
      <c r="PXU1011" s="181"/>
      <c r="PXV1011" s="181"/>
      <c r="PXW1011" s="181"/>
      <c r="PXX1011" s="181"/>
      <c r="PXY1011" s="181"/>
      <c r="PXZ1011" s="181"/>
      <c r="PYA1011" s="181"/>
      <c r="PYB1011" s="181"/>
      <c r="PYC1011" s="181"/>
      <c r="PYD1011" s="181"/>
      <c r="PYE1011" s="181"/>
      <c r="PYF1011" s="181"/>
      <c r="PYG1011" s="181"/>
      <c r="PYH1011" s="181"/>
      <c r="PYI1011" s="181"/>
      <c r="PYJ1011" s="181"/>
      <c r="PYK1011" s="181"/>
      <c r="PYL1011" s="181"/>
      <c r="PYM1011" s="181"/>
      <c r="PYN1011" s="181"/>
      <c r="PYO1011" s="181"/>
      <c r="PYP1011" s="181"/>
      <c r="PYQ1011" s="181"/>
      <c r="PYR1011" s="181"/>
      <c r="PYS1011" s="181"/>
      <c r="PYT1011" s="181"/>
      <c r="PYU1011" s="181"/>
      <c r="PYV1011" s="181"/>
      <c r="PYW1011" s="181"/>
      <c r="PYX1011" s="181"/>
      <c r="PYY1011" s="181"/>
      <c r="PYZ1011" s="181"/>
      <c r="PZA1011" s="181"/>
      <c r="PZB1011" s="181"/>
      <c r="PZC1011" s="181"/>
      <c r="PZD1011" s="181"/>
      <c r="PZE1011" s="181"/>
      <c r="PZF1011" s="181"/>
      <c r="PZG1011" s="181"/>
      <c r="PZH1011" s="181"/>
      <c r="PZI1011" s="181"/>
      <c r="PZJ1011" s="181"/>
      <c r="PZK1011" s="181"/>
      <c r="PZL1011" s="181"/>
      <c r="PZM1011" s="181"/>
      <c r="PZN1011" s="181"/>
      <c r="PZO1011" s="181"/>
      <c r="PZP1011" s="181"/>
      <c r="PZQ1011" s="181"/>
      <c r="PZR1011" s="181"/>
      <c r="PZS1011" s="181"/>
      <c r="PZT1011" s="181"/>
      <c r="PZU1011" s="181"/>
      <c r="PZV1011" s="181"/>
      <c r="PZW1011" s="181"/>
      <c r="PZX1011" s="181"/>
      <c r="PZY1011" s="181"/>
      <c r="PZZ1011" s="181"/>
      <c r="QAA1011" s="181"/>
      <c r="QAB1011" s="181"/>
      <c r="QAC1011" s="181"/>
      <c r="QAD1011" s="181"/>
      <c r="QAE1011" s="181"/>
      <c r="QAF1011" s="181"/>
      <c r="QAG1011" s="181"/>
      <c r="QAH1011" s="181"/>
      <c r="QAI1011" s="181"/>
      <c r="QAJ1011" s="181"/>
      <c r="QAK1011" s="181"/>
      <c r="QAL1011" s="181"/>
      <c r="QAM1011" s="181"/>
      <c r="QAN1011" s="181"/>
      <c r="QAO1011" s="181"/>
      <c r="QAP1011" s="181"/>
      <c r="QAQ1011" s="181"/>
      <c r="QAR1011" s="181"/>
      <c r="QAS1011" s="181"/>
      <c r="QAT1011" s="181"/>
      <c r="QAU1011" s="181"/>
      <c r="QAV1011" s="181"/>
      <c r="QAW1011" s="181"/>
      <c r="QAX1011" s="181"/>
      <c r="QAY1011" s="181"/>
      <c r="QAZ1011" s="181"/>
      <c r="QBA1011" s="181"/>
      <c r="QBB1011" s="181"/>
      <c r="QBC1011" s="181"/>
      <c r="QBD1011" s="181"/>
      <c r="QBE1011" s="181"/>
      <c r="QBF1011" s="181"/>
      <c r="QBG1011" s="181"/>
      <c r="QBH1011" s="181"/>
      <c r="QBI1011" s="181"/>
      <c r="QBJ1011" s="181"/>
      <c r="QBK1011" s="181"/>
      <c r="QBL1011" s="181"/>
      <c r="QBM1011" s="181"/>
      <c r="QBN1011" s="181"/>
      <c r="QBO1011" s="181"/>
      <c r="QBP1011" s="181"/>
      <c r="QBQ1011" s="181"/>
      <c r="QBR1011" s="181"/>
      <c r="QBS1011" s="181"/>
      <c r="QBT1011" s="181"/>
      <c r="QBU1011" s="181"/>
      <c r="QBV1011" s="181"/>
      <c r="QBW1011" s="181"/>
      <c r="QBX1011" s="181"/>
      <c r="QBY1011" s="181"/>
      <c r="QBZ1011" s="181"/>
      <c r="QCA1011" s="181"/>
      <c r="QCB1011" s="181"/>
      <c r="QCC1011" s="181"/>
      <c r="QCD1011" s="181"/>
      <c r="QCE1011" s="181"/>
      <c r="QCF1011" s="181"/>
      <c r="QCG1011" s="181"/>
      <c r="QCH1011" s="181"/>
      <c r="QCI1011" s="181"/>
      <c r="QCJ1011" s="181"/>
      <c r="QCK1011" s="181"/>
      <c r="QCL1011" s="181"/>
      <c r="QCM1011" s="181"/>
      <c r="QCN1011" s="181"/>
      <c r="QCO1011" s="181"/>
      <c r="QCP1011" s="181"/>
      <c r="QCQ1011" s="181"/>
      <c r="QCR1011" s="181"/>
      <c r="QCS1011" s="181"/>
      <c r="QCT1011" s="181"/>
      <c r="QCU1011" s="181"/>
      <c r="QCV1011" s="181"/>
      <c r="QCW1011" s="181"/>
      <c r="QCX1011" s="181"/>
      <c r="QCY1011" s="181"/>
      <c r="QCZ1011" s="181"/>
      <c r="QDA1011" s="181"/>
      <c r="QDB1011" s="181"/>
      <c r="QDC1011" s="181"/>
      <c r="QDD1011" s="181"/>
      <c r="QDE1011" s="181"/>
      <c r="QDF1011" s="181"/>
      <c r="QDG1011" s="181"/>
      <c r="QDH1011" s="181"/>
      <c r="QDI1011" s="181"/>
      <c r="QDJ1011" s="181"/>
      <c r="QDK1011" s="181"/>
      <c r="QDL1011" s="181"/>
      <c r="QDM1011" s="181"/>
      <c r="QDN1011" s="181"/>
      <c r="QDO1011" s="181"/>
      <c r="QDP1011" s="181"/>
      <c r="QDQ1011" s="181"/>
      <c r="QDR1011" s="181"/>
      <c r="QDS1011" s="181"/>
      <c r="QDT1011" s="181"/>
      <c r="QDU1011" s="181"/>
      <c r="QDV1011" s="181"/>
      <c r="QDW1011" s="181"/>
      <c r="QDX1011" s="181"/>
      <c r="QDY1011" s="181"/>
      <c r="QDZ1011" s="181"/>
      <c r="QEA1011" s="181"/>
      <c r="QEB1011" s="181"/>
      <c r="QEC1011" s="181"/>
      <c r="QED1011" s="181"/>
      <c r="QEE1011" s="181"/>
      <c r="QEF1011" s="181"/>
      <c r="QEG1011" s="181"/>
      <c r="QEH1011" s="181"/>
      <c r="QEI1011" s="181"/>
      <c r="QEJ1011" s="181"/>
      <c r="QEK1011" s="181"/>
      <c r="QEL1011" s="181"/>
      <c r="QEM1011" s="181"/>
      <c r="QEN1011" s="181"/>
      <c r="QEO1011" s="181"/>
      <c r="QEP1011" s="181"/>
      <c r="QEQ1011" s="181"/>
      <c r="QER1011" s="181"/>
      <c r="QES1011" s="181"/>
      <c r="QET1011" s="181"/>
      <c r="QEU1011" s="181"/>
      <c r="QEV1011" s="181"/>
      <c r="QEW1011" s="181"/>
      <c r="QEX1011" s="181"/>
      <c r="QEY1011" s="181"/>
      <c r="QEZ1011" s="181"/>
      <c r="QFA1011" s="181"/>
      <c r="QFB1011" s="181"/>
      <c r="QFC1011" s="181"/>
      <c r="QFD1011" s="181"/>
      <c r="QFE1011" s="181"/>
      <c r="QFF1011" s="181"/>
      <c r="QFG1011" s="181"/>
      <c r="QFH1011" s="181"/>
      <c r="QFI1011" s="181"/>
      <c r="QFJ1011" s="181"/>
      <c r="QFK1011" s="181"/>
      <c r="QFL1011" s="181"/>
      <c r="QFM1011" s="181"/>
      <c r="QFN1011" s="181"/>
      <c r="QFO1011" s="181"/>
      <c r="QFP1011" s="181"/>
      <c r="QFQ1011" s="181"/>
      <c r="QFR1011" s="181"/>
      <c r="QFS1011" s="181"/>
      <c r="QFT1011" s="181"/>
      <c r="QFU1011" s="181"/>
      <c r="QFV1011" s="181"/>
      <c r="QFW1011" s="181"/>
      <c r="QFX1011" s="181"/>
      <c r="QFY1011" s="181"/>
      <c r="QFZ1011" s="181"/>
      <c r="QGA1011" s="181"/>
      <c r="QGB1011" s="181"/>
      <c r="QGC1011" s="181"/>
      <c r="QGD1011" s="181"/>
      <c r="QGE1011" s="181"/>
      <c r="QGF1011" s="181"/>
      <c r="QGG1011" s="181"/>
      <c r="QGH1011" s="181"/>
      <c r="QGI1011" s="181"/>
      <c r="QGJ1011" s="181"/>
      <c r="QGK1011" s="181"/>
      <c r="QGL1011" s="181"/>
      <c r="QGM1011" s="181"/>
      <c r="QGN1011" s="181"/>
      <c r="QGO1011" s="181"/>
      <c r="QGP1011" s="181"/>
      <c r="QGQ1011" s="181"/>
      <c r="QGR1011" s="181"/>
      <c r="QGS1011" s="181"/>
      <c r="QGT1011" s="181"/>
      <c r="QGU1011" s="181"/>
      <c r="QGV1011" s="181"/>
      <c r="QGW1011" s="181"/>
      <c r="QGX1011" s="181"/>
      <c r="QGY1011" s="181"/>
      <c r="QGZ1011" s="181"/>
      <c r="QHA1011" s="181"/>
      <c r="QHB1011" s="181"/>
      <c r="QHC1011" s="181"/>
      <c r="QHD1011" s="181"/>
      <c r="QHE1011" s="181"/>
      <c r="QHF1011" s="181"/>
      <c r="QHG1011" s="181"/>
      <c r="QHH1011" s="181"/>
      <c r="QHI1011" s="181"/>
      <c r="QHJ1011" s="181"/>
      <c r="QHK1011" s="181"/>
      <c r="QHL1011" s="181"/>
      <c r="QHM1011" s="181"/>
      <c r="QHN1011" s="181"/>
      <c r="QHO1011" s="181"/>
      <c r="QHP1011" s="181"/>
      <c r="QHQ1011" s="181"/>
      <c r="QHR1011" s="181"/>
      <c r="QHS1011" s="181"/>
      <c r="QHT1011" s="181"/>
      <c r="QHU1011" s="181"/>
      <c r="QHV1011" s="181"/>
      <c r="QHW1011" s="181"/>
      <c r="QHX1011" s="181"/>
      <c r="QHY1011" s="181"/>
      <c r="QHZ1011" s="181"/>
      <c r="QIA1011" s="181"/>
      <c r="QIB1011" s="181"/>
      <c r="QIC1011" s="181"/>
      <c r="QID1011" s="181"/>
      <c r="QIE1011" s="181"/>
      <c r="QIF1011" s="181"/>
      <c r="QIG1011" s="181"/>
      <c r="QIH1011" s="181"/>
      <c r="QII1011" s="181"/>
      <c r="QIJ1011" s="181"/>
      <c r="QIK1011" s="181"/>
      <c r="QIL1011" s="181"/>
      <c r="QIM1011" s="181"/>
      <c r="QIN1011" s="181"/>
      <c r="QIO1011" s="181"/>
      <c r="QIP1011" s="181"/>
      <c r="QIQ1011" s="181"/>
      <c r="QIR1011" s="181"/>
      <c r="QIS1011" s="181"/>
      <c r="QIT1011" s="181"/>
      <c r="QIU1011" s="181"/>
      <c r="QIV1011" s="181"/>
      <c r="QIW1011" s="181"/>
      <c r="QIX1011" s="181"/>
      <c r="QIY1011" s="181"/>
      <c r="QIZ1011" s="181"/>
      <c r="QJA1011" s="181"/>
      <c r="QJB1011" s="181"/>
      <c r="QJC1011" s="181"/>
      <c r="QJD1011" s="181"/>
      <c r="QJE1011" s="181"/>
      <c r="QJF1011" s="181"/>
      <c r="QJG1011" s="181"/>
      <c r="QJH1011" s="181"/>
      <c r="QJI1011" s="181"/>
      <c r="QJJ1011" s="181"/>
      <c r="QJK1011" s="181"/>
      <c r="QJL1011" s="181"/>
      <c r="QJM1011" s="181"/>
      <c r="QJN1011" s="181"/>
      <c r="QJO1011" s="181"/>
      <c r="QJP1011" s="181"/>
      <c r="QJQ1011" s="181"/>
      <c r="QJR1011" s="181"/>
      <c r="QJS1011" s="181"/>
      <c r="QJT1011" s="181"/>
      <c r="QJU1011" s="181"/>
      <c r="QJV1011" s="181"/>
      <c r="QJW1011" s="181"/>
      <c r="QJX1011" s="181"/>
      <c r="QJY1011" s="181"/>
      <c r="QJZ1011" s="181"/>
      <c r="QKA1011" s="181"/>
      <c r="QKB1011" s="181"/>
      <c r="QKC1011" s="181"/>
      <c r="QKD1011" s="181"/>
      <c r="QKE1011" s="181"/>
      <c r="QKF1011" s="181"/>
      <c r="QKG1011" s="181"/>
      <c r="QKH1011" s="181"/>
      <c r="QKI1011" s="181"/>
      <c r="QKJ1011" s="181"/>
      <c r="QKK1011" s="181"/>
      <c r="QKL1011" s="181"/>
      <c r="QKM1011" s="181"/>
      <c r="QKN1011" s="181"/>
      <c r="QKO1011" s="181"/>
      <c r="QKP1011" s="181"/>
      <c r="QKQ1011" s="181"/>
      <c r="QKR1011" s="181"/>
      <c r="QKS1011" s="181"/>
      <c r="QKT1011" s="181"/>
      <c r="QKU1011" s="181"/>
      <c r="QKV1011" s="181"/>
      <c r="QKW1011" s="181"/>
      <c r="QKX1011" s="181"/>
      <c r="QKY1011" s="181"/>
      <c r="QKZ1011" s="181"/>
      <c r="QLA1011" s="181"/>
      <c r="QLB1011" s="181"/>
      <c r="QLC1011" s="181"/>
      <c r="QLD1011" s="181"/>
      <c r="QLE1011" s="181"/>
      <c r="QLF1011" s="181"/>
      <c r="QLG1011" s="181"/>
      <c r="QLH1011" s="181"/>
      <c r="QLI1011" s="181"/>
      <c r="QLJ1011" s="181"/>
      <c r="QLK1011" s="181"/>
      <c r="QLL1011" s="181"/>
      <c r="QLM1011" s="181"/>
      <c r="QLN1011" s="181"/>
      <c r="QLO1011" s="181"/>
      <c r="QLP1011" s="181"/>
      <c r="QLQ1011" s="181"/>
      <c r="QLR1011" s="181"/>
      <c r="QLS1011" s="181"/>
      <c r="QLT1011" s="181"/>
      <c r="QLU1011" s="181"/>
      <c r="QLV1011" s="181"/>
      <c r="QLW1011" s="181"/>
      <c r="QLX1011" s="181"/>
      <c r="QLY1011" s="181"/>
      <c r="QLZ1011" s="181"/>
      <c r="QMA1011" s="181"/>
      <c r="QMB1011" s="181"/>
      <c r="QMC1011" s="181"/>
      <c r="QMD1011" s="181"/>
      <c r="QME1011" s="181"/>
      <c r="QMF1011" s="181"/>
      <c r="QMG1011" s="181"/>
      <c r="QMH1011" s="181"/>
      <c r="QMI1011" s="181"/>
      <c r="QMJ1011" s="181"/>
      <c r="QMK1011" s="181"/>
      <c r="QML1011" s="181"/>
      <c r="QMM1011" s="181"/>
      <c r="QMN1011" s="181"/>
      <c r="QMO1011" s="181"/>
      <c r="QMP1011" s="181"/>
      <c r="QMQ1011" s="181"/>
      <c r="QMR1011" s="181"/>
      <c r="QMS1011" s="181"/>
      <c r="QMT1011" s="181"/>
      <c r="QMU1011" s="181"/>
      <c r="QMV1011" s="181"/>
      <c r="QMW1011" s="181"/>
      <c r="QMX1011" s="181"/>
      <c r="QMY1011" s="181"/>
      <c r="QMZ1011" s="181"/>
      <c r="QNA1011" s="181"/>
      <c r="QNB1011" s="181"/>
      <c r="QNC1011" s="181"/>
      <c r="QND1011" s="181"/>
      <c r="QNE1011" s="181"/>
      <c r="QNF1011" s="181"/>
      <c r="QNG1011" s="181"/>
      <c r="QNH1011" s="181"/>
      <c r="QNI1011" s="181"/>
      <c r="QNJ1011" s="181"/>
      <c r="QNK1011" s="181"/>
      <c r="QNL1011" s="181"/>
      <c r="QNM1011" s="181"/>
      <c r="QNN1011" s="181"/>
      <c r="QNO1011" s="181"/>
      <c r="QNP1011" s="181"/>
      <c r="QNQ1011" s="181"/>
      <c r="QNR1011" s="181"/>
      <c r="QNS1011" s="181"/>
      <c r="QNT1011" s="181"/>
      <c r="QNU1011" s="181"/>
      <c r="QNV1011" s="181"/>
      <c r="QNW1011" s="181"/>
      <c r="QNX1011" s="181"/>
      <c r="QNY1011" s="181"/>
      <c r="QNZ1011" s="181"/>
      <c r="QOA1011" s="181"/>
      <c r="QOB1011" s="181"/>
      <c r="QOC1011" s="181"/>
      <c r="QOD1011" s="181"/>
      <c r="QOE1011" s="181"/>
      <c r="QOF1011" s="181"/>
      <c r="QOG1011" s="181"/>
      <c r="QOH1011" s="181"/>
      <c r="QOI1011" s="181"/>
      <c r="QOJ1011" s="181"/>
      <c r="QOK1011" s="181"/>
      <c r="QOL1011" s="181"/>
      <c r="QOM1011" s="181"/>
      <c r="QON1011" s="181"/>
      <c r="QOO1011" s="181"/>
      <c r="QOP1011" s="181"/>
      <c r="QOQ1011" s="181"/>
      <c r="QOR1011" s="181"/>
      <c r="QOS1011" s="181"/>
      <c r="QOT1011" s="181"/>
      <c r="QOU1011" s="181"/>
      <c r="QOV1011" s="181"/>
      <c r="QOW1011" s="181"/>
      <c r="QOX1011" s="181"/>
      <c r="QOY1011" s="181"/>
      <c r="QOZ1011" s="181"/>
      <c r="QPA1011" s="181"/>
      <c r="QPB1011" s="181"/>
      <c r="QPC1011" s="181"/>
      <c r="QPD1011" s="181"/>
      <c r="QPE1011" s="181"/>
      <c r="QPF1011" s="181"/>
      <c r="QPG1011" s="181"/>
      <c r="QPH1011" s="181"/>
      <c r="QPI1011" s="181"/>
      <c r="QPJ1011" s="181"/>
      <c r="QPK1011" s="181"/>
      <c r="QPL1011" s="181"/>
      <c r="QPM1011" s="181"/>
      <c r="QPN1011" s="181"/>
      <c r="QPO1011" s="181"/>
      <c r="QPP1011" s="181"/>
      <c r="QPQ1011" s="181"/>
      <c r="QPR1011" s="181"/>
      <c r="QPS1011" s="181"/>
      <c r="QPT1011" s="181"/>
      <c r="QPU1011" s="181"/>
      <c r="QPV1011" s="181"/>
      <c r="QPW1011" s="181"/>
      <c r="QPX1011" s="181"/>
      <c r="QPY1011" s="181"/>
      <c r="QPZ1011" s="181"/>
      <c r="QQA1011" s="181"/>
      <c r="QQB1011" s="181"/>
      <c r="QQC1011" s="181"/>
      <c r="QQD1011" s="181"/>
      <c r="QQE1011" s="181"/>
      <c r="QQF1011" s="181"/>
      <c r="QQG1011" s="181"/>
      <c r="QQH1011" s="181"/>
      <c r="QQI1011" s="181"/>
      <c r="QQJ1011" s="181"/>
      <c r="QQK1011" s="181"/>
      <c r="QQL1011" s="181"/>
      <c r="QQM1011" s="181"/>
      <c r="QQN1011" s="181"/>
      <c r="QQO1011" s="181"/>
      <c r="QQP1011" s="181"/>
      <c r="QQQ1011" s="181"/>
      <c r="QQR1011" s="181"/>
      <c r="QQS1011" s="181"/>
      <c r="QQT1011" s="181"/>
      <c r="QQU1011" s="181"/>
      <c r="QQV1011" s="181"/>
      <c r="QQW1011" s="181"/>
      <c r="QQX1011" s="181"/>
      <c r="QQY1011" s="181"/>
      <c r="QQZ1011" s="181"/>
      <c r="QRA1011" s="181"/>
      <c r="QRB1011" s="181"/>
      <c r="QRC1011" s="181"/>
      <c r="QRD1011" s="181"/>
      <c r="QRE1011" s="181"/>
      <c r="QRF1011" s="181"/>
      <c r="QRG1011" s="181"/>
      <c r="QRH1011" s="181"/>
      <c r="QRI1011" s="181"/>
      <c r="QRJ1011" s="181"/>
      <c r="QRK1011" s="181"/>
      <c r="QRL1011" s="181"/>
      <c r="QRM1011" s="181"/>
      <c r="QRN1011" s="181"/>
      <c r="QRO1011" s="181"/>
      <c r="QRP1011" s="181"/>
      <c r="QRQ1011" s="181"/>
      <c r="QRR1011" s="181"/>
      <c r="QRS1011" s="181"/>
      <c r="QRT1011" s="181"/>
      <c r="QRU1011" s="181"/>
      <c r="QRV1011" s="181"/>
      <c r="QRW1011" s="181"/>
      <c r="QRX1011" s="181"/>
      <c r="QRY1011" s="181"/>
      <c r="QRZ1011" s="181"/>
      <c r="QSA1011" s="181"/>
      <c r="QSB1011" s="181"/>
      <c r="QSC1011" s="181"/>
      <c r="QSD1011" s="181"/>
      <c r="QSE1011" s="181"/>
      <c r="QSF1011" s="181"/>
      <c r="QSG1011" s="181"/>
      <c r="QSH1011" s="181"/>
      <c r="QSI1011" s="181"/>
      <c r="QSJ1011" s="181"/>
      <c r="QSK1011" s="181"/>
      <c r="QSL1011" s="181"/>
      <c r="QSM1011" s="181"/>
      <c r="QSN1011" s="181"/>
      <c r="QSO1011" s="181"/>
      <c r="QSP1011" s="181"/>
      <c r="QSQ1011" s="181"/>
      <c r="QSR1011" s="181"/>
      <c r="QSS1011" s="181"/>
      <c r="QST1011" s="181"/>
      <c r="QSU1011" s="181"/>
      <c r="QSV1011" s="181"/>
      <c r="QSW1011" s="181"/>
      <c r="QSX1011" s="181"/>
      <c r="QSY1011" s="181"/>
      <c r="QSZ1011" s="181"/>
      <c r="QTA1011" s="181"/>
      <c r="QTB1011" s="181"/>
      <c r="QTC1011" s="181"/>
      <c r="QTD1011" s="181"/>
      <c r="QTE1011" s="181"/>
      <c r="QTF1011" s="181"/>
      <c r="QTG1011" s="181"/>
      <c r="QTH1011" s="181"/>
      <c r="QTI1011" s="181"/>
      <c r="QTJ1011" s="181"/>
      <c r="QTK1011" s="181"/>
      <c r="QTL1011" s="181"/>
      <c r="QTM1011" s="181"/>
      <c r="QTN1011" s="181"/>
      <c r="QTO1011" s="181"/>
      <c r="QTP1011" s="181"/>
      <c r="QTQ1011" s="181"/>
      <c r="QTR1011" s="181"/>
      <c r="QTS1011" s="181"/>
      <c r="QTT1011" s="181"/>
      <c r="QTU1011" s="181"/>
      <c r="QTV1011" s="181"/>
      <c r="QTW1011" s="181"/>
      <c r="QTX1011" s="181"/>
      <c r="QTY1011" s="181"/>
      <c r="QTZ1011" s="181"/>
      <c r="QUA1011" s="181"/>
      <c r="QUB1011" s="181"/>
      <c r="QUC1011" s="181"/>
      <c r="QUD1011" s="181"/>
      <c r="QUE1011" s="181"/>
      <c r="QUF1011" s="181"/>
      <c r="QUG1011" s="181"/>
      <c r="QUH1011" s="181"/>
      <c r="QUI1011" s="181"/>
      <c r="QUJ1011" s="181"/>
      <c r="QUK1011" s="181"/>
      <c r="QUL1011" s="181"/>
      <c r="QUM1011" s="181"/>
      <c r="QUN1011" s="181"/>
      <c r="QUO1011" s="181"/>
      <c r="QUP1011" s="181"/>
      <c r="QUQ1011" s="181"/>
      <c r="QUR1011" s="181"/>
      <c r="QUS1011" s="181"/>
      <c r="QUT1011" s="181"/>
      <c r="QUU1011" s="181"/>
      <c r="QUV1011" s="181"/>
      <c r="QUW1011" s="181"/>
      <c r="QUX1011" s="181"/>
      <c r="QUY1011" s="181"/>
      <c r="QUZ1011" s="181"/>
      <c r="QVA1011" s="181"/>
      <c r="QVB1011" s="181"/>
      <c r="QVC1011" s="181"/>
      <c r="QVD1011" s="181"/>
      <c r="QVE1011" s="181"/>
      <c r="QVF1011" s="181"/>
      <c r="QVG1011" s="181"/>
      <c r="QVH1011" s="181"/>
      <c r="QVI1011" s="181"/>
      <c r="QVJ1011" s="181"/>
      <c r="QVK1011" s="181"/>
      <c r="QVL1011" s="181"/>
      <c r="QVM1011" s="181"/>
      <c r="QVN1011" s="181"/>
      <c r="QVO1011" s="181"/>
      <c r="QVP1011" s="181"/>
      <c r="QVQ1011" s="181"/>
      <c r="QVR1011" s="181"/>
      <c r="QVS1011" s="181"/>
      <c r="QVT1011" s="181"/>
      <c r="QVU1011" s="181"/>
      <c r="QVV1011" s="181"/>
      <c r="QVW1011" s="181"/>
      <c r="QVX1011" s="181"/>
      <c r="QVY1011" s="181"/>
      <c r="QVZ1011" s="181"/>
      <c r="QWA1011" s="181"/>
      <c r="QWB1011" s="181"/>
      <c r="QWC1011" s="181"/>
      <c r="QWD1011" s="181"/>
      <c r="QWE1011" s="181"/>
      <c r="QWF1011" s="181"/>
      <c r="QWG1011" s="181"/>
      <c r="QWH1011" s="181"/>
      <c r="QWI1011" s="181"/>
      <c r="QWJ1011" s="181"/>
      <c r="QWK1011" s="181"/>
      <c r="QWL1011" s="181"/>
      <c r="QWM1011" s="181"/>
      <c r="QWN1011" s="181"/>
      <c r="QWO1011" s="181"/>
      <c r="QWP1011" s="181"/>
      <c r="QWQ1011" s="181"/>
      <c r="QWR1011" s="181"/>
      <c r="QWS1011" s="181"/>
      <c r="QWT1011" s="181"/>
      <c r="QWU1011" s="181"/>
      <c r="QWV1011" s="181"/>
      <c r="QWW1011" s="181"/>
      <c r="QWX1011" s="181"/>
      <c r="QWY1011" s="181"/>
      <c r="QWZ1011" s="181"/>
      <c r="QXA1011" s="181"/>
      <c r="QXB1011" s="181"/>
      <c r="QXC1011" s="181"/>
      <c r="QXD1011" s="181"/>
      <c r="QXE1011" s="181"/>
      <c r="QXF1011" s="181"/>
      <c r="QXG1011" s="181"/>
      <c r="QXH1011" s="181"/>
      <c r="QXI1011" s="181"/>
      <c r="QXJ1011" s="181"/>
      <c r="QXK1011" s="181"/>
      <c r="QXL1011" s="181"/>
      <c r="QXM1011" s="181"/>
      <c r="QXN1011" s="181"/>
      <c r="QXO1011" s="181"/>
      <c r="QXP1011" s="181"/>
      <c r="QXQ1011" s="181"/>
      <c r="QXR1011" s="181"/>
      <c r="QXS1011" s="181"/>
      <c r="QXT1011" s="181"/>
      <c r="QXU1011" s="181"/>
      <c r="QXV1011" s="181"/>
      <c r="QXW1011" s="181"/>
      <c r="QXX1011" s="181"/>
      <c r="QXY1011" s="181"/>
      <c r="QXZ1011" s="181"/>
      <c r="QYA1011" s="181"/>
      <c r="QYB1011" s="181"/>
      <c r="QYC1011" s="181"/>
      <c r="QYD1011" s="181"/>
      <c r="QYE1011" s="181"/>
      <c r="QYF1011" s="181"/>
      <c r="QYG1011" s="181"/>
      <c r="QYH1011" s="181"/>
      <c r="QYI1011" s="181"/>
      <c r="QYJ1011" s="181"/>
      <c r="QYK1011" s="181"/>
      <c r="QYL1011" s="181"/>
      <c r="QYM1011" s="181"/>
      <c r="QYN1011" s="181"/>
      <c r="QYO1011" s="181"/>
      <c r="QYP1011" s="181"/>
      <c r="QYQ1011" s="181"/>
      <c r="QYR1011" s="181"/>
      <c r="QYS1011" s="181"/>
      <c r="QYT1011" s="181"/>
      <c r="QYU1011" s="181"/>
      <c r="QYV1011" s="181"/>
      <c r="QYW1011" s="181"/>
      <c r="QYX1011" s="181"/>
      <c r="QYY1011" s="181"/>
      <c r="QYZ1011" s="181"/>
      <c r="QZA1011" s="181"/>
      <c r="QZB1011" s="181"/>
      <c r="QZC1011" s="181"/>
      <c r="QZD1011" s="181"/>
      <c r="QZE1011" s="181"/>
      <c r="QZF1011" s="181"/>
      <c r="QZG1011" s="181"/>
      <c r="QZH1011" s="181"/>
      <c r="QZI1011" s="181"/>
      <c r="QZJ1011" s="181"/>
      <c r="QZK1011" s="181"/>
      <c r="QZL1011" s="181"/>
      <c r="QZM1011" s="181"/>
      <c r="QZN1011" s="181"/>
      <c r="QZO1011" s="181"/>
      <c r="QZP1011" s="181"/>
      <c r="QZQ1011" s="181"/>
      <c r="QZR1011" s="181"/>
      <c r="QZS1011" s="181"/>
      <c r="QZT1011" s="181"/>
      <c r="QZU1011" s="181"/>
      <c r="QZV1011" s="181"/>
      <c r="QZW1011" s="181"/>
      <c r="QZX1011" s="181"/>
      <c r="QZY1011" s="181"/>
      <c r="QZZ1011" s="181"/>
      <c r="RAA1011" s="181"/>
      <c r="RAB1011" s="181"/>
      <c r="RAC1011" s="181"/>
      <c r="RAD1011" s="181"/>
      <c r="RAE1011" s="181"/>
      <c r="RAF1011" s="181"/>
      <c r="RAG1011" s="181"/>
      <c r="RAH1011" s="181"/>
      <c r="RAI1011" s="181"/>
      <c r="RAJ1011" s="181"/>
      <c r="RAK1011" s="181"/>
      <c r="RAL1011" s="181"/>
      <c r="RAM1011" s="181"/>
      <c r="RAN1011" s="181"/>
      <c r="RAO1011" s="181"/>
      <c r="RAP1011" s="181"/>
      <c r="RAQ1011" s="181"/>
      <c r="RAR1011" s="181"/>
      <c r="RAS1011" s="181"/>
      <c r="RAT1011" s="181"/>
      <c r="RAU1011" s="181"/>
      <c r="RAV1011" s="181"/>
      <c r="RAW1011" s="181"/>
      <c r="RAX1011" s="181"/>
      <c r="RAY1011" s="181"/>
      <c r="RAZ1011" s="181"/>
      <c r="RBA1011" s="181"/>
      <c r="RBB1011" s="181"/>
      <c r="RBC1011" s="181"/>
      <c r="RBD1011" s="181"/>
      <c r="RBE1011" s="181"/>
      <c r="RBF1011" s="181"/>
      <c r="RBG1011" s="181"/>
      <c r="RBH1011" s="181"/>
      <c r="RBI1011" s="181"/>
      <c r="RBJ1011" s="181"/>
      <c r="RBK1011" s="181"/>
      <c r="RBL1011" s="181"/>
      <c r="RBM1011" s="181"/>
      <c r="RBN1011" s="181"/>
      <c r="RBO1011" s="181"/>
      <c r="RBP1011" s="181"/>
      <c r="RBQ1011" s="181"/>
      <c r="RBR1011" s="181"/>
      <c r="RBS1011" s="181"/>
      <c r="RBT1011" s="181"/>
      <c r="RBU1011" s="181"/>
      <c r="RBV1011" s="181"/>
      <c r="RBW1011" s="181"/>
      <c r="RBX1011" s="181"/>
      <c r="RBY1011" s="181"/>
      <c r="RBZ1011" s="181"/>
      <c r="RCA1011" s="181"/>
      <c r="RCB1011" s="181"/>
      <c r="RCC1011" s="181"/>
      <c r="RCD1011" s="181"/>
      <c r="RCE1011" s="181"/>
      <c r="RCF1011" s="181"/>
      <c r="RCG1011" s="181"/>
      <c r="RCH1011" s="181"/>
      <c r="RCI1011" s="181"/>
      <c r="RCJ1011" s="181"/>
      <c r="RCK1011" s="181"/>
      <c r="RCL1011" s="181"/>
      <c r="RCM1011" s="181"/>
      <c r="RCN1011" s="181"/>
      <c r="RCO1011" s="181"/>
      <c r="RCP1011" s="181"/>
      <c r="RCQ1011" s="181"/>
      <c r="RCR1011" s="181"/>
      <c r="RCS1011" s="181"/>
      <c r="RCT1011" s="181"/>
      <c r="RCU1011" s="181"/>
      <c r="RCV1011" s="181"/>
      <c r="RCW1011" s="181"/>
      <c r="RCX1011" s="181"/>
      <c r="RCY1011" s="181"/>
      <c r="RCZ1011" s="181"/>
      <c r="RDA1011" s="181"/>
      <c r="RDB1011" s="181"/>
      <c r="RDC1011" s="181"/>
      <c r="RDD1011" s="181"/>
      <c r="RDE1011" s="181"/>
      <c r="RDF1011" s="181"/>
      <c r="RDG1011" s="181"/>
      <c r="RDH1011" s="181"/>
      <c r="RDI1011" s="181"/>
      <c r="RDJ1011" s="181"/>
      <c r="RDK1011" s="181"/>
      <c r="RDL1011" s="181"/>
      <c r="RDM1011" s="181"/>
      <c r="RDN1011" s="181"/>
      <c r="RDO1011" s="181"/>
      <c r="RDP1011" s="181"/>
      <c r="RDQ1011" s="181"/>
      <c r="RDR1011" s="181"/>
      <c r="RDS1011" s="181"/>
      <c r="RDT1011" s="181"/>
      <c r="RDU1011" s="181"/>
      <c r="RDV1011" s="181"/>
      <c r="RDW1011" s="181"/>
      <c r="RDX1011" s="181"/>
      <c r="RDY1011" s="181"/>
      <c r="RDZ1011" s="181"/>
      <c r="REA1011" s="181"/>
      <c r="REB1011" s="181"/>
      <c r="REC1011" s="181"/>
      <c r="RED1011" s="181"/>
      <c r="REE1011" s="181"/>
      <c r="REF1011" s="181"/>
      <c r="REG1011" s="181"/>
      <c r="REH1011" s="181"/>
      <c r="REI1011" s="181"/>
      <c r="REJ1011" s="181"/>
      <c r="REK1011" s="181"/>
      <c r="REL1011" s="181"/>
      <c r="REM1011" s="181"/>
      <c r="REN1011" s="181"/>
      <c r="REO1011" s="181"/>
      <c r="REP1011" s="181"/>
      <c r="REQ1011" s="181"/>
      <c r="RER1011" s="181"/>
      <c r="RES1011" s="181"/>
      <c r="RET1011" s="181"/>
      <c r="REU1011" s="181"/>
      <c r="REV1011" s="181"/>
      <c r="REW1011" s="181"/>
      <c r="REX1011" s="181"/>
      <c r="REY1011" s="181"/>
      <c r="REZ1011" s="181"/>
      <c r="RFA1011" s="181"/>
      <c r="RFB1011" s="181"/>
      <c r="RFC1011" s="181"/>
      <c r="RFD1011" s="181"/>
      <c r="RFE1011" s="181"/>
      <c r="RFF1011" s="181"/>
      <c r="RFG1011" s="181"/>
      <c r="RFH1011" s="181"/>
      <c r="RFI1011" s="181"/>
      <c r="RFJ1011" s="181"/>
      <c r="RFK1011" s="181"/>
      <c r="RFL1011" s="181"/>
      <c r="RFM1011" s="181"/>
      <c r="RFN1011" s="181"/>
      <c r="RFO1011" s="181"/>
      <c r="RFP1011" s="181"/>
      <c r="RFQ1011" s="181"/>
      <c r="RFR1011" s="181"/>
      <c r="RFS1011" s="181"/>
      <c r="RFT1011" s="181"/>
      <c r="RFU1011" s="181"/>
      <c r="RFV1011" s="181"/>
      <c r="RFW1011" s="181"/>
      <c r="RFX1011" s="181"/>
      <c r="RFY1011" s="181"/>
      <c r="RFZ1011" s="181"/>
      <c r="RGA1011" s="181"/>
      <c r="RGB1011" s="181"/>
      <c r="RGC1011" s="181"/>
      <c r="RGD1011" s="181"/>
      <c r="RGE1011" s="181"/>
      <c r="RGF1011" s="181"/>
      <c r="RGG1011" s="181"/>
      <c r="RGH1011" s="181"/>
      <c r="RGI1011" s="181"/>
      <c r="RGJ1011" s="181"/>
      <c r="RGK1011" s="181"/>
      <c r="RGL1011" s="181"/>
      <c r="RGM1011" s="181"/>
      <c r="RGN1011" s="181"/>
      <c r="RGO1011" s="181"/>
      <c r="RGP1011" s="181"/>
      <c r="RGQ1011" s="181"/>
      <c r="RGR1011" s="181"/>
      <c r="RGS1011" s="181"/>
      <c r="RGT1011" s="181"/>
      <c r="RGU1011" s="181"/>
      <c r="RGV1011" s="181"/>
      <c r="RGW1011" s="181"/>
      <c r="RGX1011" s="181"/>
      <c r="RGY1011" s="181"/>
      <c r="RGZ1011" s="181"/>
      <c r="RHA1011" s="181"/>
      <c r="RHB1011" s="181"/>
      <c r="RHC1011" s="181"/>
      <c r="RHD1011" s="181"/>
      <c r="RHE1011" s="181"/>
      <c r="RHF1011" s="181"/>
      <c r="RHG1011" s="181"/>
      <c r="RHH1011" s="181"/>
      <c r="RHI1011" s="181"/>
      <c r="RHJ1011" s="181"/>
      <c r="RHK1011" s="181"/>
      <c r="RHL1011" s="181"/>
      <c r="RHM1011" s="181"/>
      <c r="RHN1011" s="181"/>
      <c r="RHO1011" s="181"/>
      <c r="RHP1011" s="181"/>
      <c r="RHQ1011" s="181"/>
      <c r="RHR1011" s="181"/>
      <c r="RHS1011" s="181"/>
      <c r="RHT1011" s="181"/>
      <c r="RHU1011" s="181"/>
      <c r="RHV1011" s="181"/>
      <c r="RHW1011" s="181"/>
      <c r="RHX1011" s="181"/>
      <c r="RHY1011" s="181"/>
      <c r="RHZ1011" s="181"/>
      <c r="RIA1011" s="181"/>
      <c r="RIB1011" s="181"/>
      <c r="RIC1011" s="181"/>
      <c r="RID1011" s="181"/>
      <c r="RIE1011" s="181"/>
      <c r="RIF1011" s="181"/>
      <c r="RIG1011" s="181"/>
      <c r="RIH1011" s="181"/>
      <c r="RII1011" s="181"/>
      <c r="RIJ1011" s="181"/>
      <c r="RIK1011" s="181"/>
      <c r="RIL1011" s="181"/>
      <c r="RIM1011" s="181"/>
      <c r="RIN1011" s="181"/>
      <c r="RIO1011" s="181"/>
      <c r="RIP1011" s="181"/>
      <c r="RIQ1011" s="181"/>
      <c r="RIR1011" s="181"/>
      <c r="RIS1011" s="181"/>
      <c r="RIT1011" s="181"/>
      <c r="RIU1011" s="181"/>
      <c r="RIV1011" s="181"/>
      <c r="RIW1011" s="181"/>
      <c r="RIX1011" s="181"/>
      <c r="RIY1011" s="181"/>
      <c r="RIZ1011" s="181"/>
      <c r="RJA1011" s="181"/>
      <c r="RJB1011" s="181"/>
      <c r="RJC1011" s="181"/>
      <c r="RJD1011" s="181"/>
      <c r="RJE1011" s="181"/>
      <c r="RJF1011" s="181"/>
      <c r="RJG1011" s="181"/>
      <c r="RJH1011" s="181"/>
      <c r="RJI1011" s="181"/>
      <c r="RJJ1011" s="181"/>
      <c r="RJK1011" s="181"/>
      <c r="RJL1011" s="181"/>
      <c r="RJM1011" s="181"/>
      <c r="RJN1011" s="181"/>
      <c r="RJO1011" s="181"/>
      <c r="RJP1011" s="181"/>
      <c r="RJQ1011" s="181"/>
      <c r="RJR1011" s="181"/>
      <c r="RJS1011" s="181"/>
      <c r="RJT1011" s="181"/>
      <c r="RJU1011" s="181"/>
      <c r="RJV1011" s="181"/>
      <c r="RJW1011" s="181"/>
      <c r="RJX1011" s="181"/>
      <c r="RJY1011" s="181"/>
      <c r="RJZ1011" s="181"/>
      <c r="RKA1011" s="181"/>
      <c r="RKB1011" s="181"/>
      <c r="RKC1011" s="181"/>
      <c r="RKD1011" s="181"/>
      <c r="RKE1011" s="181"/>
      <c r="RKF1011" s="181"/>
      <c r="RKG1011" s="181"/>
      <c r="RKH1011" s="181"/>
      <c r="RKI1011" s="181"/>
      <c r="RKJ1011" s="181"/>
      <c r="RKK1011" s="181"/>
      <c r="RKL1011" s="181"/>
      <c r="RKM1011" s="181"/>
      <c r="RKN1011" s="181"/>
      <c r="RKO1011" s="181"/>
      <c r="RKP1011" s="181"/>
      <c r="RKQ1011" s="181"/>
      <c r="RKR1011" s="181"/>
      <c r="RKS1011" s="181"/>
      <c r="RKT1011" s="181"/>
      <c r="RKU1011" s="181"/>
      <c r="RKV1011" s="181"/>
      <c r="RKW1011" s="181"/>
      <c r="RKX1011" s="181"/>
      <c r="RKY1011" s="181"/>
      <c r="RKZ1011" s="181"/>
      <c r="RLA1011" s="181"/>
      <c r="RLB1011" s="181"/>
      <c r="RLC1011" s="181"/>
      <c r="RLD1011" s="181"/>
      <c r="RLE1011" s="181"/>
      <c r="RLF1011" s="181"/>
      <c r="RLG1011" s="181"/>
      <c r="RLH1011" s="181"/>
      <c r="RLI1011" s="181"/>
      <c r="RLJ1011" s="181"/>
      <c r="RLK1011" s="181"/>
      <c r="RLL1011" s="181"/>
      <c r="RLM1011" s="181"/>
      <c r="RLN1011" s="181"/>
      <c r="RLO1011" s="181"/>
      <c r="RLP1011" s="181"/>
      <c r="RLQ1011" s="181"/>
      <c r="RLR1011" s="181"/>
      <c r="RLS1011" s="181"/>
      <c r="RLT1011" s="181"/>
      <c r="RLU1011" s="181"/>
      <c r="RLV1011" s="181"/>
      <c r="RLW1011" s="181"/>
      <c r="RLX1011" s="181"/>
      <c r="RLY1011" s="181"/>
      <c r="RLZ1011" s="181"/>
      <c r="RMA1011" s="181"/>
      <c r="RMB1011" s="181"/>
      <c r="RMC1011" s="181"/>
      <c r="RMD1011" s="181"/>
      <c r="RME1011" s="181"/>
      <c r="RMF1011" s="181"/>
      <c r="RMG1011" s="181"/>
      <c r="RMH1011" s="181"/>
      <c r="RMI1011" s="181"/>
      <c r="RMJ1011" s="181"/>
      <c r="RMK1011" s="181"/>
      <c r="RML1011" s="181"/>
      <c r="RMM1011" s="181"/>
      <c r="RMN1011" s="181"/>
      <c r="RMO1011" s="181"/>
      <c r="RMP1011" s="181"/>
      <c r="RMQ1011" s="181"/>
      <c r="RMR1011" s="181"/>
      <c r="RMS1011" s="181"/>
      <c r="RMT1011" s="181"/>
      <c r="RMU1011" s="181"/>
      <c r="RMV1011" s="181"/>
      <c r="RMW1011" s="181"/>
      <c r="RMX1011" s="181"/>
      <c r="RMY1011" s="181"/>
      <c r="RMZ1011" s="181"/>
      <c r="RNA1011" s="181"/>
      <c r="RNB1011" s="181"/>
      <c r="RNC1011" s="181"/>
      <c r="RND1011" s="181"/>
      <c r="RNE1011" s="181"/>
      <c r="RNF1011" s="181"/>
      <c r="RNG1011" s="181"/>
      <c r="RNH1011" s="181"/>
      <c r="RNI1011" s="181"/>
      <c r="RNJ1011" s="181"/>
      <c r="RNK1011" s="181"/>
      <c r="RNL1011" s="181"/>
      <c r="RNM1011" s="181"/>
      <c r="RNN1011" s="181"/>
      <c r="RNO1011" s="181"/>
      <c r="RNP1011" s="181"/>
      <c r="RNQ1011" s="181"/>
      <c r="RNR1011" s="181"/>
      <c r="RNS1011" s="181"/>
      <c r="RNT1011" s="181"/>
      <c r="RNU1011" s="181"/>
      <c r="RNV1011" s="181"/>
      <c r="RNW1011" s="181"/>
      <c r="RNX1011" s="181"/>
      <c r="RNY1011" s="181"/>
      <c r="RNZ1011" s="181"/>
      <c r="ROA1011" s="181"/>
      <c r="ROB1011" s="181"/>
      <c r="ROC1011" s="181"/>
      <c r="ROD1011" s="181"/>
      <c r="ROE1011" s="181"/>
      <c r="ROF1011" s="181"/>
      <c r="ROG1011" s="181"/>
      <c r="ROH1011" s="181"/>
      <c r="ROI1011" s="181"/>
      <c r="ROJ1011" s="181"/>
      <c r="ROK1011" s="181"/>
      <c r="ROL1011" s="181"/>
      <c r="ROM1011" s="181"/>
      <c r="RON1011" s="181"/>
      <c r="ROO1011" s="181"/>
      <c r="ROP1011" s="181"/>
      <c r="ROQ1011" s="181"/>
      <c r="ROR1011" s="181"/>
      <c r="ROS1011" s="181"/>
      <c r="ROT1011" s="181"/>
      <c r="ROU1011" s="181"/>
      <c r="ROV1011" s="181"/>
      <c r="ROW1011" s="181"/>
      <c r="ROX1011" s="181"/>
      <c r="ROY1011" s="181"/>
      <c r="ROZ1011" s="181"/>
      <c r="RPA1011" s="181"/>
      <c r="RPB1011" s="181"/>
      <c r="RPC1011" s="181"/>
      <c r="RPD1011" s="181"/>
      <c r="RPE1011" s="181"/>
      <c r="RPF1011" s="181"/>
      <c r="RPG1011" s="181"/>
      <c r="RPH1011" s="181"/>
      <c r="RPI1011" s="181"/>
      <c r="RPJ1011" s="181"/>
      <c r="RPK1011" s="181"/>
      <c r="RPL1011" s="181"/>
      <c r="RPM1011" s="181"/>
      <c r="RPN1011" s="181"/>
      <c r="RPO1011" s="181"/>
      <c r="RPP1011" s="181"/>
      <c r="RPQ1011" s="181"/>
      <c r="RPR1011" s="181"/>
      <c r="RPS1011" s="181"/>
      <c r="RPT1011" s="181"/>
      <c r="RPU1011" s="181"/>
      <c r="RPV1011" s="181"/>
      <c r="RPW1011" s="181"/>
      <c r="RPX1011" s="181"/>
      <c r="RPY1011" s="181"/>
      <c r="RPZ1011" s="181"/>
      <c r="RQA1011" s="181"/>
      <c r="RQB1011" s="181"/>
      <c r="RQC1011" s="181"/>
      <c r="RQD1011" s="181"/>
      <c r="RQE1011" s="181"/>
      <c r="RQF1011" s="181"/>
      <c r="RQG1011" s="181"/>
      <c r="RQH1011" s="181"/>
      <c r="RQI1011" s="181"/>
      <c r="RQJ1011" s="181"/>
      <c r="RQK1011" s="181"/>
      <c r="RQL1011" s="181"/>
      <c r="RQM1011" s="181"/>
      <c r="RQN1011" s="181"/>
      <c r="RQO1011" s="181"/>
      <c r="RQP1011" s="181"/>
      <c r="RQQ1011" s="181"/>
      <c r="RQR1011" s="181"/>
      <c r="RQS1011" s="181"/>
      <c r="RQT1011" s="181"/>
      <c r="RQU1011" s="181"/>
      <c r="RQV1011" s="181"/>
      <c r="RQW1011" s="181"/>
      <c r="RQX1011" s="181"/>
      <c r="RQY1011" s="181"/>
      <c r="RQZ1011" s="181"/>
      <c r="RRA1011" s="181"/>
      <c r="RRB1011" s="181"/>
      <c r="RRC1011" s="181"/>
      <c r="RRD1011" s="181"/>
      <c r="RRE1011" s="181"/>
      <c r="RRF1011" s="181"/>
      <c r="RRG1011" s="181"/>
      <c r="RRH1011" s="181"/>
      <c r="RRI1011" s="181"/>
      <c r="RRJ1011" s="181"/>
      <c r="RRK1011" s="181"/>
      <c r="RRL1011" s="181"/>
      <c r="RRM1011" s="181"/>
      <c r="RRN1011" s="181"/>
      <c r="RRO1011" s="181"/>
      <c r="RRP1011" s="181"/>
      <c r="RRQ1011" s="181"/>
      <c r="RRR1011" s="181"/>
      <c r="RRS1011" s="181"/>
      <c r="RRT1011" s="181"/>
      <c r="RRU1011" s="181"/>
      <c r="RRV1011" s="181"/>
      <c r="RRW1011" s="181"/>
      <c r="RRX1011" s="181"/>
      <c r="RRY1011" s="181"/>
      <c r="RRZ1011" s="181"/>
      <c r="RSA1011" s="181"/>
      <c r="RSB1011" s="181"/>
      <c r="RSC1011" s="181"/>
      <c r="RSD1011" s="181"/>
      <c r="RSE1011" s="181"/>
      <c r="RSF1011" s="181"/>
      <c r="RSG1011" s="181"/>
      <c r="RSH1011" s="181"/>
      <c r="RSI1011" s="181"/>
      <c r="RSJ1011" s="181"/>
      <c r="RSK1011" s="181"/>
      <c r="RSL1011" s="181"/>
      <c r="RSM1011" s="181"/>
      <c r="RSN1011" s="181"/>
      <c r="RSO1011" s="181"/>
      <c r="RSP1011" s="181"/>
      <c r="RSQ1011" s="181"/>
      <c r="RSR1011" s="181"/>
      <c r="RSS1011" s="181"/>
      <c r="RST1011" s="181"/>
      <c r="RSU1011" s="181"/>
      <c r="RSV1011" s="181"/>
      <c r="RSW1011" s="181"/>
      <c r="RSX1011" s="181"/>
      <c r="RSY1011" s="181"/>
      <c r="RSZ1011" s="181"/>
      <c r="RTA1011" s="181"/>
      <c r="RTB1011" s="181"/>
      <c r="RTC1011" s="181"/>
      <c r="RTD1011" s="181"/>
      <c r="RTE1011" s="181"/>
      <c r="RTF1011" s="181"/>
      <c r="RTG1011" s="181"/>
      <c r="RTH1011" s="181"/>
      <c r="RTI1011" s="181"/>
      <c r="RTJ1011" s="181"/>
      <c r="RTK1011" s="181"/>
      <c r="RTL1011" s="181"/>
      <c r="RTM1011" s="181"/>
      <c r="RTN1011" s="181"/>
      <c r="RTO1011" s="181"/>
      <c r="RTP1011" s="181"/>
      <c r="RTQ1011" s="181"/>
      <c r="RTR1011" s="181"/>
      <c r="RTS1011" s="181"/>
      <c r="RTT1011" s="181"/>
      <c r="RTU1011" s="181"/>
      <c r="RTV1011" s="181"/>
      <c r="RTW1011" s="181"/>
      <c r="RTX1011" s="181"/>
      <c r="RTY1011" s="181"/>
      <c r="RTZ1011" s="181"/>
      <c r="RUA1011" s="181"/>
      <c r="RUB1011" s="181"/>
      <c r="RUC1011" s="181"/>
      <c r="RUD1011" s="181"/>
      <c r="RUE1011" s="181"/>
      <c r="RUF1011" s="181"/>
      <c r="RUG1011" s="181"/>
      <c r="RUH1011" s="181"/>
      <c r="RUI1011" s="181"/>
      <c r="RUJ1011" s="181"/>
      <c r="RUK1011" s="181"/>
      <c r="RUL1011" s="181"/>
      <c r="RUM1011" s="181"/>
      <c r="RUN1011" s="181"/>
      <c r="RUO1011" s="181"/>
      <c r="RUP1011" s="181"/>
      <c r="RUQ1011" s="181"/>
      <c r="RUR1011" s="181"/>
      <c r="RUS1011" s="181"/>
      <c r="RUT1011" s="181"/>
      <c r="RUU1011" s="181"/>
      <c r="RUV1011" s="181"/>
      <c r="RUW1011" s="181"/>
      <c r="RUX1011" s="181"/>
      <c r="RUY1011" s="181"/>
      <c r="RUZ1011" s="181"/>
      <c r="RVA1011" s="181"/>
      <c r="RVB1011" s="181"/>
      <c r="RVC1011" s="181"/>
      <c r="RVD1011" s="181"/>
      <c r="RVE1011" s="181"/>
      <c r="RVF1011" s="181"/>
      <c r="RVG1011" s="181"/>
      <c r="RVH1011" s="181"/>
      <c r="RVI1011" s="181"/>
      <c r="RVJ1011" s="181"/>
      <c r="RVK1011" s="181"/>
      <c r="RVL1011" s="181"/>
      <c r="RVM1011" s="181"/>
      <c r="RVN1011" s="181"/>
      <c r="RVO1011" s="181"/>
      <c r="RVP1011" s="181"/>
      <c r="RVQ1011" s="181"/>
      <c r="RVR1011" s="181"/>
      <c r="RVS1011" s="181"/>
      <c r="RVT1011" s="181"/>
      <c r="RVU1011" s="181"/>
      <c r="RVV1011" s="181"/>
      <c r="RVW1011" s="181"/>
      <c r="RVX1011" s="181"/>
      <c r="RVY1011" s="181"/>
      <c r="RVZ1011" s="181"/>
      <c r="RWA1011" s="181"/>
      <c r="RWB1011" s="181"/>
      <c r="RWC1011" s="181"/>
      <c r="RWD1011" s="181"/>
      <c r="RWE1011" s="181"/>
      <c r="RWF1011" s="181"/>
      <c r="RWG1011" s="181"/>
      <c r="RWH1011" s="181"/>
      <c r="RWI1011" s="181"/>
      <c r="RWJ1011" s="181"/>
      <c r="RWK1011" s="181"/>
      <c r="RWL1011" s="181"/>
      <c r="RWM1011" s="181"/>
      <c r="RWN1011" s="181"/>
      <c r="RWO1011" s="181"/>
      <c r="RWP1011" s="181"/>
      <c r="RWQ1011" s="181"/>
      <c r="RWR1011" s="181"/>
      <c r="RWS1011" s="181"/>
      <c r="RWT1011" s="181"/>
      <c r="RWU1011" s="181"/>
      <c r="RWV1011" s="181"/>
      <c r="RWW1011" s="181"/>
      <c r="RWX1011" s="181"/>
      <c r="RWY1011" s="181"/>
      <c r="RWZ1011" s="181"/>
      <c r="RXA1011" s="181"/>
      <c r="RXB1011" s="181"/>
      <c r="RXC1011" s="181"/>
      <c r="RXD1011" s="181"/>
      <c r="RXE1011" s="181"/>
      <c r="RXF1011" s="181"/>
      <c r="RXG1011" s="181"/>
      <c r="RXH1011" s="181"/>
      <c r="RXI1011" s="181"/>
      <c r="RXJ1011" s="181"/>
      <c r="RXK1011" s="181"/>
      <c r="RXL1011" s="181"/>
      <c r="RXM1011" s="181"/>
      <c r="RXN1011" s="181"/>
      <c r="RXO1011" s="181"/>
      <c r="RXP1011" s="181"/>
      <c r="RXQ1011" s="181"/>
      <c r="RXR1011" s="181"/>
      <c r="RXS1011" s="181"/>
      <c r="RXT1011" s="181"/>
      <c r="RXU1011" s="181"/>
      <c r="RXV1011" s="181"/>
      <c r="RXW1011" s="181"/>
      <c r="RXX1011" s="181"/>
      <c r="RXY1011" s="181"/>
      <c r="RXZ1011" s="181"/>
      <c r="RYA1011" s="181"/>
      <c r="RYB1011" s="181"/>
      <c r="RYC1011" s="181"/>
      <c r="RYD1011" s="181"/>
      <c r="RYE1011" s="181"/>
      <c r="RYF1011" s="181"/>
      <c r="RYG1011" s="181"/>
      <c r="RYH1011" s="181"/>
      <c r="RYI1011" s="181"/>
      <c r="RYJ1011" s="181"/>
      <c r="RYK1011" s="181"/>
      <c r="RYL1011" s="181"/>
      <c r="RYM1011" s="181"/>
      <c r="RYN1011" s="181"/>
      <c r="RYO1011" s="181"/>
      <c r="RYP1011" s="181"/>
      <c r="RYQ1011" s="181"/>
      <c r="RYR1011" s="181"/>
      <c r="RYS1011" s="181"/>
      <c r="RYT1011" s="181"/>
      <c r="RYU1011" s="181"/>
      <c r="RYV1011" s="181"/>
      <c r="RYW1011" s="181"/>
      <c r="RYX1011" s="181"/>
      <c r="RYY1011" s="181"/>
      <c r="RYZ1011" s="181"/>
      <c r="RZA1011" s="181"/>
      <c r="RZB1011" s="181"/>
      <c r="RZC1011" s="181"/>
      <c r="RZD1011" s="181"/>
      <c r="RZE1011" s="181"/>
      <c r="RZF1011" s="181"/>
      <c r="RZG1011" s="181"/>
      <c r="RZH1011" s="181"/>
      <c r="RZI1011" s="181"/>
      <c r="RZJ1011" s="181"/>
      <c r="RZK1011" s="181"/>
      <c r="RZL1011" s="181"/>
      <c r="RZM1011" s="181"/>
      <c r="RZN1011" s="181"/>
      <c r="RZO1011" s="181"/>
      <c r="RZP1011" s="181"/>
      <c r="RZQ1011" s="181"/>
      <c r="RZR1011" s="181"/>
      <c r="RZS1011" s="181"/>
      <c r="RZT1011" s="181"/>
      <c r="RZU1011" s="181"/>
      <c r="RZV1011" s="181"/>
      <c r="RZW1011" s="181"/>
      <c r="RZX1011" s="181"/>
      <c r="RZY1011" s="181"/>
      <c r="RZZ1011" s="181"/>
      <c r="SAA1011" s="181"/>
      <c r="SAB1011" s="181"/>
      <c r="SAC1011" s="181"/>
      <c r="SAD1011" s="181"/>
      <c r="SAE1011" s="181"/>
      <c r="SAF1011" s="181"/>
      <c r="SAG1011" s="181"/>
      <c r="SAH1011" s="181"/>
      <c r="SAI1011" s="181"/>
      <c r="SAJ1011" s="181"/>
      <c r="SAK1011" s="181"/>
      <c r="SAL1011" s="181"/>
      <c r="SAM1011" s="181"/>
      <c r="SAN1011" s="181"/>
      <c r="SAO1011" s="181"/>
      <c r="SAP1011" s="181"/>
      <c r="SAQ1011" s="181"/>
      <c r="SAR1011" s="181"/>
      <c r="SAS1011" s="181"/>
      <c r="SAT1011" s="181"/>
      <c r="SAU1011" s="181"/>
      <c r="SAV1011" s="181"/>
      <c r="SAW1011" s="181"/>
      <c r="SAX1011" s="181"/>
      <c r="SAY1011" s="181"/>
      <c r="SAZ1011" s="181"/>
      <c r="SBA1011" s="181"/>
      <c r="SBB1011" s="181"/>
      <c r="SBC1011" s="181"/>
      <c r="SBD1011" s="181"/>
      <c r="SBE1011" s="181"/>
      <c r="SBF1011" s="181"/>
      <c r="SBG1011" s="181"/>
      <c r="SBH1011" s="181"/>
      <c r="SBI1011" s="181"/>
      <c r="SBJ1011" s="181"/>
      <c r="SBK1011" s="181"/>
      <c r="SBL1011" s="181"/>
      <c r="SBM1011" s="181"/>
      <c r="SBN1011" s="181"/>
      <c r="SBO1011" s="181"/>
      <c r="SBP1011" s="181"/>
      <c r="SBQ1011" s="181"/>
      <c r="SBR1011" s="181"/>
      <c r="SBS1011" s="181"/>
      <c r="SBT1011" s="181"/>
      <c r="SBU1011" s="181"/>
      <c r="SBV1011" s="181"/>
      <c r="SBW1011" s="181"/>
      <c r="SBX1011" s="181"/>
      <c r="SBY1011" s="181"/>
      <c r="SBZ1011" s="181"/>
      <c r="SCA1011" s="181"/>
      <c r="SCB1011" s="181"/>
      <c r="SCC1011" s="181"/>
      <c r="SCD1011" s="181"/>
      <c r="SCE1011" s="181"/>
      <c r="SCF1011" s="181"/>
      <c r="SCG1011" s="181"/>
      <c r="SCH1011" s="181"/>
      <c r="SCI1011" s="181"/>
      <c r="SCJ1011" s="181"/>
      <c r="SCK1011" s="181"/>
      <c r="SCL1011" s="181"/>
      <c r="SCM1011" s="181"/>
      <c r="SCN1011" s="181"/>
      <c r="SCO1011" s="181"/>
      <c r="SCP1011" s="181"/>
      <c r="SCQ1011" s="181"/>
      <c r="SCR1011" s="181"/>
      <c r="SCS1011" s="181"/>
      <c r="SCT1011" s="181"/>
      <c r="SCU1011" s="181"/>
      <c r="SCV1011" s="181"/>
      <c r="SCW1011" s="181"/>
      <c r="SCX1011" s="181"/>
      <c r="SCY1011" s="181"/>
      <c r="SCZ1011" s="181"/>
      <c r="SDA1011" s="181"/>
      <c r="SDB1011" s="181"/>
      <c r="SDC1011" s="181"/>
      <c r="SDD1011" s="181"/>
      <c r="SDE1011" s="181"/>
      <c r="SDF1011" s="181"/>
      <c r="SDG1011" s="181"/>
      <c r="SDH1011" s="181"/>
      <c r="SDI1011" s="181"/>
      <c r="SDJ1011" s="181"/>
      <c r="SDK1011" s="181"/>
      <c r="SDL1011" s="181"/>
      <c r="SDM1011" s="181"/>
      <c r="SDN1011" s="181"/>
      <c r="SDO1011" s="181"/>
      <c r="SDP1011" s="181"/>
      <c r="SDQ1011" s="181"/>
      <c r="SDR1011" s="181"/>
      <c r="SDS1011" s="181"/>
      <c r="SDT1011" s="181"/>
      <c r="SDU1011" s="181"/>
      <c r="SDV1011" s="181"/>
      <c r="SDW1011" s="181"/>
      <c r="SDX1011" s="181"/>
      <c r="SDY1011" s="181"/>
      <c r="SDZ1011" s="181"/>
      <c r="SEA1011" s="181"/>
      <c r="SEB1011" s="181"/>
      <c r="SEC1011" s="181"/>
      <c r="SED1011" s="181"/>
      <c r="SEE1011" s="181"/>
      <c r="SEF1011" s="181"/>
      <c r="SEG1011" s="181"/>
      <c r="SEH1011" s="181"/>
      <c r="SEI1011" s="181"/>
      <c r="SEJ1011" s="181"/>
      <c r="SEK1011" s="181"/>
      <c r="SEL1011" s="181"/>
      <c r="SEM1011" s="181"/>
      <c r="SEN1011" s="181"/>
      <c r="SEO1011" s="181"/>
      <c r="SEP1011" s="181"/>
      <c r="SEQ1011" s="181"/>
      <c r="SER1011" s="181"/>
      <c r="SES1011" s="181"/>
      <c r="SET1011" s="181"/>
      <c r="SEU1011" s="181"/>
      <c r="SEV1011" s="181"/>
      <c r="SEW1011" s="181"/>
      <c r="SEX1011" s="181"/>
      <c r="SEY1011" s="181"/>
      <c r="SEZ1011" s="181"/>
      <c r="SFA1011" s="181"/>
      <c r="SFB1011" s="181"/>
      <c r="SFC1011" s="181"/>
      <c r="SFD1011" s="181"/>
      <c r="SFE1011" s="181"/>
      <c r="SFF1011" s="181"/>
      <c r="SFG1011" s="181"/>
      <c r="SFH1011" s="181"/>
      <c r="SFI1011" s="181"/>
      <c r="SFJ1011" s="181"/>
      <c r="SFK1011" s="181"/>
      <c r="SFL1011" s="181"/>
      <c r="SFM1011" s="181"/>
      <c r="SFN1011" s="181"/>
      <c r="SFO1011" s="181"/>
      <c r="SFP1011" s="181"/>
      <c r="SFQ1011" s="181"/>
      <c r="SFR1011" s="181"/>
      <c r="SFS1011" s="181"/>
      <c r="SFT1011" s="181"/>
      <c r="SFU1011" s="181"/>
      <c r="SFV1011" s="181"/>
      <c r="SFW1011" s="181"/>
      <c r="SFX1011" s="181"/>
      <c r="SFY1011" s="181"/>
      <c r="SFZ1011" s="181"/>
      <c r="SGA1011" s="181"/>
      <c r="SGB1011" s="181"/>
      <c r="SGC1011" s="181"/>
      <c r="SGD1011" s="181"/>
      <c r="SGE1011" s="181"/>
      <c r="SGF1011" s="181"/>
      <c r="SGG1011" s="181"/>
      <c r="SGH1011" s="181"/>
      <c r="SGI1011" s="181"/>
      <c r="SGJ1011" s="181"/>
      <c r="SGK1011" s="181"/>
      <c r="SGL1011" s="181"/>
      <c r="SGM1011" s="181"/>
      <c r="SGN1011" s="181"/>
      <c r="SGO1011" s="181"/>
      <c r="SGP1011" s="181"/>
      <c r="SGQ1011" s="181"/>
      <c r="SGR1011" s="181"/>
      <c r="SGS1011" s="181"/>
      <c r="SGT1011" s="181"/>
      <c r="SGU1011" s="181"/>
      <c r="SGV1011" s="181"/>
      <c r="SGW1011" s="181"/>
      <c r="SGX1011" s="181"/>
      <c r="SGY1011" s="181"/>
      <c r="SGZ1011" s="181"/>
      <c r="SHA1011" s="181"/>
      <c r="SHB1011" s="181"/>
      <c r="SHC1011" s="181"/>
      <c r="SHD1011" s="181"/>
      <c r="SHE1011" s="181"/>
      <c r="SHF1011" s="181"/>
      <c r="SHG1011" s="181"/>
      <c r="SHH1011" s="181"/>
      <c r="SHI1011" s="181"/>
      <c r="SHJ1011" s="181"/>
      <c r="SHK1011" s="181"/>
      <c r="SHL1011" s="181"/>
      <c r="SHM1011" s="181"/>
      <c r="SHN1011" s="181"/>
      <c r="SHO1011" s="181"/>
      <c r="SHP1011" s="181"/>
      <c r="SHQ1011" s="181"/>
      <c r="SHR1011" s="181"/>
      <c r="SHS1011" s="181"/>
      <c r="SHT1011" s="181"/>
      <c r="SHU1011" s="181"/>
      <c r="SHV1011" s="181"/>
      <c r="SHW1011" s="181"/>
      <c r="SHX1011" s="181"/>
      <c r="SHY1011" s="181"/>
      <c r="SHZ1011" s="181"/>
      <c r="SIA1011" s="181"/>
      <c r="SIB1011" s="181"/>
      <c r="SIC1011" s="181"/>
      <c r="SID1011" s="181"/>
      <c r="SIE1011" s="181"/>
      <c r="SIF1011" s="181"/>
      <c r="SIG1011" s="181"/>
      <c r="SIH1011" s="181"/>
      <c r="SII1011" s="181"/>
      <c r="SIJ1011" s="181"/>
      <c r="SIK1011" s="181"/>
      <c r="SIL1011" s="181"/>
      <c r="SIM1011" s="181"/>
      <c r="SIN1011" s="181"/>
      <c r="SIO1011" s="181"/>
      <c r="SIP1011" s="181"/>
      <c r="SIQ1011" s="181"/>
      <c r="SIR1011" s="181"/>
      <c r="SIS1011" s="181"/>
      <c r="SIT1011" s="181"/>
      <c r="SIU1011" s="181"/>
      <c r="SIV1011" s="181"/>
      <c r="SIW1011" s="181"/>
      <c r="SIX1011" s="181"/>
      <c r="SIY1011" s="181"/>
      <c r="SIZ1011" s="181"/>
      <c r="SJA1011" s="181"/>
      <c r="SJB1011" s="181"/>
      <c r="SJC1011" s="181"/>
      <c r="SJD1011" s="181"/>
      <c r="SJE1011" s="181"/>
      <c r="SJF1011" s="181"/>
      <c r="SJG1011" s="181"/>
      <c r="SJH1011" s="181"/>
      <c r="SJI1011" s="181"/>
      <c r="SJJ1011" s="181"/>
      <c r="SJK1011" s="181"/>
      <c r="SJL1011" s="181"/>
      <c r="SJM1011" s="181"/>
      <c r="SJN1011" s="181"/>
      <c r="SJO1011" s="181"/>
      <c r="SJP1011" s="181"/>
      <c r="SJQ1011" s="181"/>
      <c r="SJR1011" s="181"/>
      <c r="SJS1011" s="181"/>
      <c r="SJT1011" s="181"/>
      <c r="SJU1011" s="181"/>
      <c r="SJV1011" s="181"/>
      <c r="SJW1011" s="181"/>
      <c r="SJX1011" s="181"/>
      <c r="SJY1011" s="181"/>
      <c r="SJZ1011" s="181"/>
      <c r="SKA1011" s="181"/>
      <c r="SKB1011" s="181"/>
      <c r="SKC1011" s="181"/>
      <c r="SKD1011" s="181"/>
      <c r="SKE1011" s="181"/>
      <c r="SKF1011" s="181"/>
      <c r="SKG1011" s="181"/>
      <c r="SKH1011" s="181"/>
      <c r="SKI1011" s="181"/>
      <c r="SKJ1011" s="181"/>
      <c r="SKK1011" s="181"/>
      <c r="SKL1011" s="181"/>
      <c r="SKM1011" s="181"/>
      <c r="SKN1011" s="181"/>
      <c r="SKO1011" s="181"/>
      <c r="SKP1011" s="181"/>
      <c r="SKQ1011" s="181"/>
      <c r="SKR1011" s="181"/>
      <c r="SKS1011" s="181"/>
      <c r="SKT1011" s="181"/>
      <c r="SKU1011" s="181"/>
      <c r="SKV1011" s="181"/>
      <c r="SKW1011" s="181"/>
      <c r="SKX1011" s="181"/>
      <c r="SKY1011" s="181"/>
      <c r="SKZ1011" s="181"/>
      <c r="SLA1011" s="181"/>
      <c r="SLB1011" s="181"/>
      <c r="SLC1011" s="181"/>
      <c r="SLD1011" s="181"/>
      <c r="SLE1011" s="181"/>
      <c r="SLF1011" s="181"/>
      <c r="SLG1011" s="181"/>
      <c r="SLH1011" s="181"/>
      <c r="SLI1011" s="181"/>
      <c r="SLJ1011" s="181"/>
      <c r="SLK1011" s="181"/>
      <c r="SLL1011" s="181"/>
      <c r="SLM1011" s="181"/>
      <c r="SLN1011" s="181"/>
      <c r="SLO1011" s="181"/>
      <c r="SLP1011" s="181"/>
      <c r="SLQ1011" s="181"/>
      <c r="SLR1011" s="181"/>
      <c r="SLS1011" s="181"/>
      <c r="SLT1011" s="181"/>
      <c r="SLU1011" s="181"/>
      <c r="SLV1011" s="181"/>
      <c r="SLW1011" s="181"/>
      <c r="SLX1011" s="181"/>
      <c r="SLY1011" s="181"/>
      <c r="SLZ1011" s="181"/>
      <c r="SMA1011" s="181"/>
      <c r="SMB1011" s="181"/>
      <c r="SMC1011" s="181"/>
      <c r="SMD1011" s="181"/>
      <c r="SME1011" s="181"/>
      <c r="SMF1011" s="181"/>
      <c r="SMG1011" s="181"/>
      <c r="SMH1011" s="181"/>
      <c r="SMI1011" s="181"/>
      <c r="SMJ1011" s="181"/>
      <c r="SMK1011" s="181"/>
      <c r="SML1011" s="181"/>
      <c r="SMM1011" s="181"/>
      <c r="SMN1011" s="181"/>
      <c r="SMO1011" s="181"/>
      <c r="SMP1011" s="181"/>
      <c r="SMQ1011" s="181"/>
      <c r="SMR1011" s="181"/>
      <c r="SMS1011" s="181"/>
      <c r="SMT1011" s="181"/>
      <c r="SMU1011" s="181"/>
      <c r="SMV1011" s="181"/>
      <c r="SMW1011" s="181"/>
      <c r="SMX1011" s="181"/>
      <c r="SMY1011" s="181"/>
      <c r="SMZ1011" s="181"/>
      <c r="SNA1011" s="181"/>
      <c r="SNB1011" s="181"/>
      <c r="SNC1011" s="181"/>
      <c r="SND1011" s="181"/>
      <c r="SNE1011" s="181"/>
      <c r="SNF1011" s="181"/>
      <c r="SNG1011" s="181"/>
      <c r="SNH1011" s="181"/>
      <c r="SNI1011" s="181"/>
      <c r="SNJ1011" s="181"/>
      <c r="SNK1011" s="181"/>
      <c r="SNL1011" s="181"/>
      <c r="SNM1011" s="181"/>
      <c r="SNN1011" s="181"/>
      <c r="SNO1011" s="181"/>
      <c r="SNP1011" s="181"/>
      <c r="SNQ1011" s="181"/>
      <c r="SNR1011" s="181"/>
      <c r="SNS1011" s="181"/>
      <c r="SNT1011" s="181"/>
      <c r="SNU1011" s="181"/>
      <c r="SNV1011" s="181"/>
      <c r="SNW1011" s="181"/>
      <c r="SNX1011" s="181"/>
      <c r="SNY1011" s="181"/>
      <c r="SNZ1011" s="181"/>
      <c r="SOA1011" s="181"/>
      <c r="SOB1011" s="181"/>
      <c r="SOC1011" s="181"/>
      <c r="SOD1011" s="181"/>
      <c r="SOE1011" s="181"/>
      <c r="SOF1011" s="181"/>
      <c r="SOG1011" s="181"/>
      <c r="SOH1011" s="181"/>
      <c r="SOI1011" s="181"/>
      <c r="SOJ1011" s="181"/>
      <c r="SOK1011" s="181"/>
      <c r="SOL1011" s="181"/>
      <c r="SOM1011" s="181"/>
      <c r="SON1011" s="181"/>
      <c r="SOO1011" s="181"/>
      <c r="SOP1011" s="181"/>
      <c r="SOQ1011" s="181"/>
      <c r="SOR1011" s="181"/>
      <c r="SOS1011" s="181"/>
      <c r="SOT1011" s="181"/>
      <c r="SOU1011" s="181"/>
      <c r="SOV1011" s="181"/>
      <c r="SOW1011" s="181"/>
      <c r="SOX1011" s="181"/>
      <c r="SOY1011" s="181"/>
      <c r="SOZ1011" s="181"/>
      <c r="SPA1011" s="181"/>
      <c r="SPB1011" s="181"/>
      <c r="SPC1011" s="181"/>
      <c r="SPD1011" s="181"/>
      <c r="SPE1011" s="181"/>
      <c r="SPF1011" s="181"/>
      <c r="SPG1011" s="181"/>
      <c r="SPH1011" s="181"/>
      <c r="SPI1011" s="181"/>
      <c r="SPJ1011" s="181"/>
      <c r="SPK1011" s="181"/>
      <c r="SPL1011" s="181"/>
      <c r="SPM1011" s="181"/>
      <c r="SPN1011" s="181"/>
      <c r="SPO1011" s="181"/>
      <c r="SPP1011" s="181"/>
      <c r="SPQ1011" s="181"/>
      <c r="SPR1011" s="181"/>
      <c r="SPS1011" s="181"/>
      <c r="SPT1011" s="181"/>
      <c r="SPU1011" s="181"/>
      <c r="SPV1011" s="181"/>
      <c r="SPW1011" s="181"/>
      <c r="SPX1011" s="181"/>
      <c r="SPY1011" s="181"/>
      <c r="SPZ1011" s="181"/>
      <c r="SQA1011" s="181"/>
      <c r="SQB1011" s="181"/>
      <c r="SQC1011" s="181"/>
      <c r="SQD1011" s="181"/>
      <c r="SQE1011" s="181"/>
      <c r="SQF1011" s="181"/>
      <c r="SQG1011" s="181"/>
      <c r="SQH1011" s="181"/>
      <c r="SQI1011" s="181"/>
      <c r="SQJ1011" s="181"/>
      <c r="SQK1011" s="181"/>
      <c r="SQL1011" s="181"/>
      <c r="SQM1011" s="181"/>
      <c r="SQN1011" s="181"/>
      <c r="SQO1011" s="181"/>
      <c r="SQP1011" s="181"/>
      <c r="SQQ1011" s="181"/>
      <c r="SQR1011" s="181"/>
      <c r="SQS1011" s="181"/>
      <c r="SQT1011" s="181"/>
      <c r="SQU1011" s="181"/>
      <c r="SQV1011" s="181"/>
      <c r="SQW1011" s="181"/>
      <c r="SQX1011" s="181"/>
      <c r="SQY1011" s="181"/>
      <c r="SQZ1011" s="181"/>
      <c r="SRA1011" s="181"/>
      <c r="SRB1011" s="181"/>
      <c r="SRC1011" s="181"/>
      <c r="SRD1011" s="181"/>
      <c r="SRE1011" s="181"/>
      <c r="SRF1011" s="181"/>
      <c r="SRG1011" s="181"/>
      <c r="SRH1011" s="181"/>
      <c r="SRI1011" s="181"/>
      <c r="SRJ1011" s="181"/>
      <c r="SRK1011" s="181"/>
      <c r="SRL1011" s="181"/>
      <c r="SRM1011" s="181"/>
      <c r="SRN1011" s="181"/>
      <c r="SRO1011" s="181"/>
      <c r="SRP1011" s="181"/>
      <c r="SRQ1011" s="181"/>
      <c r="SRR1011" s="181"/>
      <c r="SRS1011" s="181"/>
      <c r="SRT1011" s="181"/>
      <c r="SRU1011" s="181"/>
      <c r="SRV1011" s="181"/>
      <c r="SRW1011" s="181"/>
      <c r="SRX1011" s="181"/>
      <c r="SRY1011" s="181"/>
      <c r="SRZ1011" s="181"/>
      <c r="SSA1011" s="181"/>
      <c r="SSB1011" s="181"/>
      <c r="SSC1011" s="181"/>
      <c r="SSD1011" s="181"/>
      <c r="SSE1011" s="181"/>
      <c r="SSF1011" s="181"/>
      <c r="SSG1011" s="181"/>
      <c r="SSH1011" s="181"/>
      <c r="SSI1011" s="181"/>
      <c r="SSJ1011" s="181"/>
      <c r="SSK1011" s="181"/>
      <c r="SSL1011" s="181"/>
      <c r="SSM1011" s="181"/>
      <c r="SSN1011" s="181"/>
      <c r="SSO1011" s="181"/>
      <c r="SSP1011" s="181"/>
      <c r="SSQ1011" s="181"/>
      <c r="SSR1011" s="181"/>
      <c r="SSS1011" s="181"/>
      <c r="SST1011" s="181"/>
      <c r="SSU1011" s="181"/>
      <c r="SSV1011" s="181"/>
      <c r="SSW1011" s="181"/>
      <c r="SSX1011" s="181"/>
      <c r="SSY1011" s="181"/>
      <c r="SSZ1011" s="181"/>
      <c r="STA1011" s="181"/>
      <c r="STB1011" s="181"/>
      <c r="STC1011" s="181"/>
      <c r="STD1011" s="181"/>
      <c r="STE1011" s="181"/>
      <c r="STF1011" s="181"/>
      <c r="STG1011" s="181"/>
      <c r="STH1011" s="181"/>
      <c r="STI1011" s="181"/>
      <c r="STJ1011" s="181"/>
      <c r="STK1011" s="181"/>
      <c r="STL1011" s="181"/>
      <c r="STM1011" s="181"/>
      <c r="STN1011" s="181"/>
      <c r="STO1011" s="181"/>
      <c r="STP1011" s="181"/>
      <c r="STQ1011" s="181"/>
      <c r="STR1011" s="181"/>
      <c r="STS1011" s="181"/>
      <c r="STT1011" s="181"/>
      <c r="STU1011" s="181"/>
      <c r="STV1011" s="181"/>
      <c r="STW1011" s="181"/>
      <c r="STX1011" s="181"/>
      <c r="STY1011" s="181"/>
      <c r="STZ1011" s="181"/>
      <c r="SUA1011" s="181"/>
      <c r="SUB1011" s="181"/>
      <c r="SUC1011" s="181"/>
      <c r="SUD1011" s="181"/>
      <c r="SUE1011" s="181"/>
      <c r="SUF1011" s="181"/>
      <c r="SUG1011" s="181"/>
      <c r="SUH1011" s="181"/>
      <c r="SUI1011" s="181"/>
      <c r="SUJ1011" s="181"/>
      <c r="SUK1011" s="181"/>
      <c r="SUL1011" s="181"/>
      <c r="SUM1011" s="181"/>
      <c r="SUN1011" s="181"/>
      <c r="SUO1011" s="181"/>
      <c r="SUP1011" s="181"/>
      <c r="SUQ1011" s="181"/>
      <c r="SUR1011" s="181"/>
      <c r="SUS1011" s="181"/>
      <c r="SUT1011" s="181"/>
      <c r="SUU1011" s="181"/>
      <c r="SUV1011" s="181"/>
      <c r="SUW1011" s="181"/>
      <c r="SUX1011" s="181"/>
      <c r="SUY1011" s="181"/>
      <c r="SUZ1011" s="181"/>
      <c r="SVA1011" s="181"/>
      <c r="SVB1011" s="181"/>
      <c r="SVC1011" s="181"/>
      <c r="SVD1011" s="181"/>
      <c r="SVE1011" s="181"/>
      <c r="SVF1011" s="181"/>
      <c r="SVG1011" s="181"/>
      <c r="SVH1011" s="181"/>
      <c r="SVI1011" s="181"/>
      <c r="SVJ1011" s="181"/>
      <c r="SVK1011" s="181"/>
      <c r="SVL1011" s="181"/>
      <c r="SVM1011" s="181"/>
      <c r="SVN1011" s="181"/>
      <c r="SVO1011" s="181"/>
      <c r="SVP1011" s="181"/>
      <c r="SVQ1011" s="181"/>
      <c r="SVR1011" s="181"/>
      <c r="SVS1011" s="181"/>
      <c r="SVT1011" s="181"/>
      <c r="SVU1011" s="181"/>
      <c r="SVV1011" s="181"/>
      <c r="SVW1011" s="181"/>
      <c r="SVX1011" s="181"/>
      <c r="SVY1011" s="181"/>
      <c r="SVZ1011" s="181"/>
      <c r="SWA1011" s="181"/>
      <c r="SWB1011" s="181"/>
      <c r="SWC1011" s="181"/>
      <c r="SWD1011" s="181"/>
      <c r="SWE1011" s="181"/>
      <c r="SWF1011" s="181"/>
      <c r="SWG1011" s="181"/>
      <c r="SWH1011" s="181"/>
      <c r="SWI1011" s="181"/>
      <c r="SWJ1011" s="181"/>
      <c r="SWK1011" s="181"/>
      <c r="SWL1011" s="181"/>
      <c r="SWM1011" s="181"/>
      <c r="SWN1011" s="181"/>
      <c r="SWO1011" s="181"/>
      <c r="SWP1011" s="181"/>
      <c r="SWQ1011" s="181"/>
      <c r="SWR1011" s="181"/>
      <c r="SWS1011" s="181"/>
      <c r="SWT1011" s="181"/>
      <c r="SWU1011" s="181"/>
      <c r="SWV1011" s="181"/>
      <c r="SWW1011" s="181"/>
      <c r="SWX1011" s="181"/>
      <c r="SWY1011" s="181"/>
      <c r="SWZ1011" s="181"/>
      <c r="SXA1011" s="181"/>
      <c r="SXB1011" s="181"/>
      <c r="SXC1011" s="181"/>
      <c r="SXD1011" s="181"/>
      <c r="SXE1011" s="181"/>
      <c r="SXF1011" s="181"/>
      <c r="SXG1011" s="181"/>
      <c r="SXH1011" s="181"/>
      <c r="SXI1011" s="181"/>
      <c r="SXJ1011" s="181"/>
      <c r="SXK1011" s="181"/>
      <c r="SXL1011" s="181"/>
      <c r="SXM1011" s="181"/>
      <c r="SXN1011" s="181"/>
      <c r="SXO1011" s="181"/>
      <c r="SXP1011" s="181"/>
      <c r="SXQ1011" s="181"/>
      <c r="SXR1011" s="181"/>
      <c r="SXS1011" s="181"/>
      <c r="SXT1011" s="181"/>
      <c r="SXU1011" s="181"/>
      <c r="SXV1011" s="181"/>
      <c r="SXW1011" s="181"/>
      <c r="SXX1011" s="181"/>
      <c r="SXY1011" s="181"/>
      <c r="SXZ1011" s="181"/>
      <c r="SYA1011" s="181"/>
      <c r="SYB1011" s="181"/>
      <c r="SYC1011" s="181"/>
      <c r="SYD1011" s="181"/>
      <c r="SYE1011" s="181"/>
      <c r="SYF1011" s="181"/>
      <c r="SYG1011" s="181"/>
      <c r="SYH1011" s="181"/>
      <c r="SYI1011" s="181"/>
      <c r="SYJ1011" s="181"/>
      <c r="SYK1011" s="181"/>
      <c r="SYL1011" s="181"/>
      <c r="SYM1011" s="181"/>
      <c r="SYN1011" s="181"/>
      <c r="SYO1011" s="181"/>
      <c r="SYP1011" s="181"/>
      <c r="SYQ1011" s="181"/>
      <c r="SYR1011" s="181"/>
      <c r="SYS1011" s="181"/>
      <c r="SYT1011" s="181"/>
      <c r="SYU1011" s="181"/>
      <c r="SYV1011" s="181"/>
      <c r="SYW1011" s="181"/>
      <c r="SYX1011" s="181"/>
      <c r="SYY1011" s="181"/>
      <c r="SYZ1011" s="181"/>
      <c r="SZA1011" s="181"/>
      <c r="SZB1011" s="181"/>
      <c r="SZC1011" s="181"/>
      <c r="SZD1011" s="181"/>
      <c r="SZE1011" s="181"/>
      <c r="SZF1011" s="181"/>
      <c r="SZG1011" s="181"/>
      <c r="SZH1011" s="181"/>
      <c r="SZI1011" s="181"/>
      <c r="SZJ1011" s="181"/>
      <c r="SZK1011" s="181"/>
      <c r="SZL1011" s="181"/>
      <c r="SZM1011" s="181"/>
      <c r="SZN1011" s="181"/>
      <c r="SZO1011" s="181"/>
      <c r="SZP1011" s="181"/>
      <c r="SZQ1011" s="181"/>
      <c r="SZR1011" s="181"/>
      <c r="SZS1011" s="181"/>
      <c r="SZT1011" s="181"/>
      <c r="SZU1011" s="181"/>
      <c r="SZV1011" s="181"/>
      <c r="SZW1011" s="181"/>
      <c r="SZX1011" s="181"/>
      <c r="SZY1011" s="181"/>
      <c r="SZZ1011" s="181"/>
      <c r="TAA1011" s="181"/>
      <c r="TAB1011" s="181"/>
      <c r="TAC1011" s="181"/>
      <c r="TAD1011" s="181"/>
      <c r="TAE1011" s="181"/>
      <c r="TAF1011" s="181"/>
      <c r="TAG1011" s="181"/>
      <c r="TAH1011" s="181"/>
      <c r="TAI1011" s="181"/>
      <c r="TAJ1011" s="181"/>
      <c r="TAK1011" s="181"/>
      <c r="TAL1011" s="181"/>
      <c r="TAM1011" s="181"/>
      <c r="TAN1011" s="181"/>
      <c r="TAO1011" s="181"/>
      <c r="TAP1011" s="181"/>
      <c r="TAQ1011" s="181"/>
      <c r="TAR1011" s="181"/>
      <c r="TAS1011" s="181"/>
      <c r="TAT1011" s="181"/>
      <c r="TAU1011" s="181"/>
      <c r="TAV1011" s="181"/>
      <c r="TAW1011" s="181"/>
      <c r="TAX1011" s="181"/>
      <c r="TAY1011" s="181"/>
      <c r="TAZ1011" s="181"/>
      <c r="TBA1011" s="181"/>
      <c r="TBB1011" s="181"/>
      <c r="TBC1011" s="181"/>
      <c r="TBD1011" s="181"/>
      <c r="TBE1011" s="181"/>
      <c r="TBF1011" s="181"/>
      <c r="TBG1011" s="181"/>
      <c r="TBH1011" s="181"/>
      <c r="TBI1011" s="181"/>
      <c r="TBJ1011" s="181"/>
      <c r="TBK1011" s="181"/>
      <c r="TBL1011" s="181"/>
      <c r="TBM1011" s="181"/>
      <c r="TBN1011" s="181"/>
      <c r="TBO1011" s="181"/>
      <c r="TBP1011" s="181"/>
      <c r="TBQ1011" s="181"/>
      <c r="TBR1011" s="181"/>
      <c r="TBS1011" s="181"/>
      <c r="TBT1011" s="181"/>
      <c r="TBU1011" s="181"/>
      <c r="TBV1011" s="181"/>
      <c r="TBW1011" s="181"/>
      <c r="TBX1011" s="181"/>
      <c r="TBY1011" s="181"/>
      <c r="TBZ1011" s="181"/>
      <c r="TCA1011" s="181"/>
      <c r="TCB1011" s="181"/>
      <c r="TCC1011" s="181"/>
      <c r="TCD1011" s="181"/>
      <c r="TCE1011" s="181"/>
      <c r="TCF1011" s="181"/>
      <c r="TCG1011" s="181"/>
      <c r="TCH1011" s="181"/>
      <c r="TCI1011" s="181"/>
      <c r="TCJ1011" s="181"/>
      <c r="TCK1011" s="181"/>
      <c r="TCL1011" s="181"/>
      <c r="TCM1011" s="181"/>
      <c r="TCN1011" s="181"/>
      <c r="TCO1011" s="181"/>
      <c r="TCP1011" s="181"/>
      <c r="TCQ1011" s="181"/>
      <c r="TCR1011" s="181"/>
      <c r="TCS1011" s="181"/>
      <c r="TCT1011" s="181"/>
      <c r="TCU1011" s="181"/>
      <c r="TCV1011" s="181"/>
      <c r="TCW1011" s="181"/>
      <c r="TCX1011" s="181"/>
      <c r="TCY1011" s="181"/>
      <c r="TCZ1011" s="181"/>
      <c r="TDA1011" s="181"/>
      <c r="TDB1011" s="181"/>
      <c r="TDC1011" s="181"/>
      <c r="TDD1011" s="181"/>
      <c r="TDE1011" s="181"/>
      <c r="TDF1011" s="181"/>
      <c r="TDG1011" s="181"/>
      <c r="TDH1011" s="181"/>
      <c r="TDI1011" s="181"/>
      <c r="TDJ1011" s="181"/>
      <c r="TDK1011" s="181"/>
      <c r="TDL1011" s="181"/>
      <c r="TDM1011" s="181"/>
      <c r="TDN1011" s="181"/>
      <c r="TDO1011" s="181"/>
      <c r="TDP1011" s="181"/>
      <c r="TDQ1011" s="181"/>
      <c r="TDR1011" s="181"/>
      <c r="TDS1011" s="181"/>
      <c r="TDT1011" s="181"/>
      <c r="TDU1011" s="181"/>
      <c r="TDV1011" s="181"/>
      <c r="TDW1011" s="181"/>
      <c r="TDX1011" s="181"/>
      <c r="TDY1011" s="181"/>
      <c r="TDZ1011" s="181"/>
      <c r="TEA1011" s="181"/>
      <c r="TEB1011" s="181"/>
      <c r="TEC1011" s="181"/>
      <c r="TED1011" s="181"/>
      <c r="TEE1011" s="181"/>
      <c r="TEF1011" s="181"/>
      <c r="TEG1011" s="181"/>
      <c r="TEH1011" s="181"/>
      <c r="TEI1011" s="181"/>
      <c r="TEJ1011" s="181"/>
      <c r="TEK1011" s="181"/>
      <c r="TEL1011" s="181"/>
      <c r="TEM1011" s="181"/>
      <c r="TEN1011" s="181"/>
      <c r="TEO1011" s="181"/>
      <c r="TEP1011" s="181"/>
      <c r="TEQ1011" s="181"/>
      <c r="TER1011" s="181"/>
      <c r="TES1011" s="181"/>
      <c r="TET1011" s="181"/>
      <c r="TEU1011" s="181"/>
      <c r="TEV1011" s="181"/>
      <c r="TEW1011" s="181"/>
      <c r="TEX1011" s="181"/>
      <c r="TEY1011" s="181"/>
      <c r="TEZ1011" s="181"/>
      <c r="TFA1011" s="181"/>
      <c r="TFB1011" s="181"/>
      <c r="TFC1011" s="181"/>
      <c r="TFD1011" s="181"/>
      <c r="TFE1011" s="181"/>
      <c r="TFF1011" s="181"/>
      <c r="TFG1011" s="181"/>
      <c r="TFH1011" s="181"/>
      <c r="TFI1011" s="181"/>
      <c r="TFJ1011" s="181"/>
      <c r="TFK1011" s="181"/>
      <c r="TFL1011" s="181"/>
      <c r="TFM1011" s="181"/>
      <c r="TFN1011" s="181"/>
      <c r="TFO1011" s="181"/>
      <c r="TFP1011" s="181"/>
      <c r="TFQ1011" s="181"/>
      <c r="TFR1011" s="181"/>
      <c r="TFS1011" s="181"/>
      <c r="TFT1011" s="181"/>
      <c r="TFU1011" s="181"/>
      <c r="TFV1011" s="181"/>
      <c r="TFW1011" s="181"/>
      <c r="TFX1011" s="181"/>
      <c r="TFY1011" s="181"/>
      <c r="TFZ1011" s="181"/>
      <c r="TGA1011" s="181"/>
      <c r="TGB1011" s="181"/>
      <c r="TGC1011" s="181"/>
      <c r="TGD1011" s="181"/>
      <c r="TGE1011" s="181"/>
      <c r="TGF1011" s="181"/>
      <c r="TGG1011" s="181"/>
      <c r="TGH1011" s="181"/>
      <c r="TGI1011" s="181"/>
      <c r="TGJ1011" s="181"/>
      <c r="TGK1011" s="181"/>
      <c r="TGL1011" s="181"/>
      <c r="TGM1011" s="181"/>
      <c r="TGN1011" s="181"/>
      <c r="TGO1011" s="181"/>
      <c r="TGP1011" s="181"/>
      <c r="TGQ1011" s="181"/>
      <c r="TGR1011" s="181"/>
      <c r="TGS1011" s="181"/>
      <c r="TGT1011" s="181"/>
      <c r="TGU1011" s="181"/>
      <c r="TGV1011" s="181"/>
      <c r="TGW1011" s="181"/>
      <c r="TGX1011" s="181"/>
      <c r="TGY1011" s="181"/>
      <c r="TGZ1011" s="181"/>
      <c r="THA1011" s="181"/>
      <c r="THB1011" s="181"/>
      <c r="THC1011" s="181"/>
      <c r="THD1011" s="181"/>
      <c r="THE1011" s="181"/>
      <c r="THF1011" s="181"/>
      <c r="THG1011" s="181"/>
      <c r="THH1011" s="181"/>
      <c r="THI1011" s="181"/>
      <c r="THJ1011" s="181"/>
      <c r="THK1011" s="181"/>
      <c r="THL1011" s="181"/>
      <c r="THM1011" s="181"/>
      <c r="THN1011" s="181"/>
      <c r="THO1011" s="181"/>
      <c r="THP1011" s="181"/>
      <c r="THQ1011" s="181"/>
      <c r="THR1011" s="181"/>
      <c r="THS1011" s="181"/>
      <c r="THT1011" s="181"/>
      <c r="THU1011" s="181"/>
      <c r="THV1011" s="181"/>
      <c r="THW1011" s="181"/>
      <c r="THX1011" s="181"/>
      <c r="THY1011" s="181"/>
      <c r="THZ1011" s="181"/>
      <c r="TIA1011" s="181"/>
      <c r="TIB1011" s="181"/>
      <c r="TIC1011" s="181"/>
      <c r="TID1011" s="181"/>
      <c r="TIE1011" s="181"/>
      <c r="TIF1011" s="181"/>
      <c r="TIG1011" s="181"/>
      <c r="TIH1011" s="181"/>
      <c r="TII1011" s="181"/>
      <c r="TIJ1011" s="181"/>
      <c r="TIK1011" s="181"/>
      <c r="TIL1011" s="181"/>
      <c r="TIM1011" s="181"/>
      <c r="TIN1011" s="181"/>
      <c r="TIO1011" s="181"/>
      <c r="TIP1011" s="181"/>
      <c r="TIQ1011" s="181"/>
      <c r="TIR1011" s="181"/>
      <c r="TIS1011" s="181"/>
      <c r="TIT1011" s="181"/>
      <c r="TIU1011" s="181"/>
      <c r="TIV1011" s="181"/>
      <c r="TIW1011" s="181"/>
      <c r="TIX1011" s="181"/>
      <c r="TIY1011" s="181"/>
      <c r="TIZ1011" s="181"/>
      <c r="TJA1011" s="181"/>
      <c r="TJB1011" s="181"/>
      <c r="TJC1011" s="181"/>
      <c r="TJD1011" s="181"/>
      <c r="TJE1011" s="181"/>
      <c r="TJF1011" s="181"/>
      <c r="TJG1011" s="181"/>
      <c r="TJH1011" s="181"/>
      <c r="TJI1011" s="181"/>
      <c r="TJJ1011" s="181"/>
      <c r="TJK1011" s="181"/>
      <c r="TJL1011" s="181"/>
      <c r="TJM1011" s="181"/>
      <c r="TJN1011" s="181"/>
      <c r="TJO1011" s="181"/>
      <c r="TJP1011" s="181"/>
      <c r="TJQ1011" s="181"/>
      <c r="TJR1011" s="181"/>
      <c r="TJS1011" s="181"/>
      <c r="TJT1011" s="181"/>
      <c r="TJU1011" s="181"/>
      <c r="TJV1011" s="181"/>
      <c r="TJW1011" s="181"/>
      <c r="TJX1011" s="181"/>
      <c r="TJY1011" s="181"/>
      <c r="TJZ1011" s="181"/>
      <c r="TKA1011" s="181"/>
      <c r="TKB1011" s="181"/>
      <c r="TKC1011" s="181"/>
      <c r="TKD1011" s="181"/>
      <c r="TKE1011" s="181"/>
      <c r="TKF1011" s="181"/>
      <c r="TKG1011" s="181"/>
      <c r="TKH1011" s="181"/>
      <c r="TKI1011" s="181"/>
      <c r="TKJ1011" s="181"/>
      <c r="TKK1011" s="181"/>
      <c r="TKL1011" s="181"/>
      <c r="TKM1011" s="181"/>
      <c r="TKN1011" s="181"/>
      <c r="TKO1011" s="181"/>
      <c r="TKP1011" s="181"/>
      <c r="TKQ1011" s="181"/>
      <c r="TKR1011" s="181"/>
      <c r="TKS1011" s="181"/>
      <c r="TKT1011" s="181"/>
      <c r="TKU1011" s="181"/>
      <c r="TKV1011" s="181"/>
      <c r="TKW1011" s="181"/>
      <c r="TKX1011" s="181"/>
      <c r="TKY1011" s="181"/>
      <c r="TKZ1011" s="181"/>
      <c r="TLA1011" s="181"/>
      <c r="TLB1011" s="181"/>
      <c r="TLC1011" s="181"/>
      <c r="TLD1011" s="181"/>
      <c r="TLE1011" s="181"/>
      <c r="TLF1011" s="181"/>
      <c r="TLG1011" s="181"/>
      <c r="TLH1011" s="181"/>
      <c r="TLI1011" s="181"/>
      <c r="TLJ1011" s="181"/>
      <c r="TLK1011" s="181"/>
      <c r="TLL1011" s="181"/>
      <c r="TLM1011" s="181"/>
      <c r="TLN1011" s="181"/>
      <c r="TLO1011" s="181"/>
      <c r="TLP1011" s="181"/>
      <c r="TLQ1011" s="181"/>
      <c r="TLR1011" s="181"/>
      <c r="TLS1011" s="181"/>
      <c r="TLT1011" s="181"/>
      <c r="TLU1011" s="181"/>
      <c r="TLV1011" s="181"/>
      <c r="TLW1011" s="181"/>
      <c r="TLX1011" s="181"/>
      <c r="TLY1011" s="181"/>
      <c r="TLZ1011" s="181"/>
      <c r="TMA1011" s="181"/>
      <c r="TMB1011" s="181"/>
      <c r="TMC1011" s="181"/>
      <c r="TMD1011" s="181"/>
      <c r="TME1011" s="181"/>
      <c r="TMF1011" s="181"/>
      <c r="TMG1011" s="181"/>
      <c r="TMH1011" s="181"/>
      <c r="TMI1011" s="181"/>
      <c r="TMJ1011" s="181"/>
      <c r="TMK1011" s="181"/>
      <c r="TML1011" s="181"/>
      <c r="TMM1011" s="181"/>
      <c r="TMN1011" s="181"/>
      <c r="TMO1011" s="181"/>
      <c r="TMP1011" s="181"/>
      <c r="TMQ1011" s="181"/>
      <c r="TMR1011" s="181"/>
      <c r="TMS1011" s="181"/>
      <c r="TMT1011" s="181"/>
      <c r="TMU1011" s="181"/>
      <c r="TMV1011" s="181"/>
      <c r="TMW1011" s="181"/>
      <c r="TMX1011" s="181"/>
      <c r="TMY1011" s="181"/>
      <c r="TMZ1011" s="181"/>
      <c r="TNA1011" s="181"/>
      <c r="TNB1011" s="181"/>
      <c r="TNC1011" s="181"/>
      <c r="TND1011" s="181"/>
      <c r="TNE1011" s="181"/>
      <c r="TNF1011" s="181"/>
      <c r="TNG1011" s="181"/>
      <c r="TNH1011" s="181"/>
      <c r="TNI1011" s="181"/>
      <c r="TNJ1011" s="181"/>
      <c r="TNK1011" s="181"/>
      <c r="TNL1011" s="181"/>
      <c r="TNM1011" s="181"/>
      <c r="TNN1011" s="181"/>
      <c r="TNO1011" s="181"/>
      <c r="TNP1011" s="181"/>
      <c r="TNQ1011" s="181"/>
      <c r="TNR1011" s="181"/>
      <c r="TNS1011" s="181"/>
      <c r="TNT1011" s="181"/>
      <c r="TNU1011" s="181"/>
      <c r="TNV1011" s="181"/>
      <c r="TNW1011" s="181"/>
      <c r="TNX1011" s="181"/>
      <c r="TNY1011" s="181"/>
      <c r="TNZ1011" s="181"/>
      <c r="TOA1011" s="181"/>
      <c r="TOB1011" s="181"/>
      <c r="TOC1011" s="181"/>
      <c r="TOD1011" s="181"/>
      <c r="TOE1011" s="181"/>
      <c r="TOF1011" s="181"/>
      <c r="TOG1011" s="181"/>
      <c r="TOH1011" s="181"/>
      <c r="TOI1011" s="181"/>
      <c r="TOJ1011" s="181"/>
      <c r="TOK1011" s="181"/>
      <c r="TOL1011" s="181"/>
      <c r="TOM1011" s="181"/>
      <c r="TON1011" s="181"/>
      <c r="TOO1011" s="181"/>
      <c r="TOP1011" s="181"/>
      <c r="TOQ1011" s="181"/>
      <c r="TOR1011" s="181"/>
      <c r="TOS1011" s="181"/>
      <c r="TOT1011" s="181"/>
      <c r="TOU1011" s="181"/>
      <c r="TOV1011" s="181"/>
      <c r="TOW1011" s="181"/>
      <c r="TOX1011" s="181"/>
      <c r="TOY1011" s="181"/>
      <c r="TOZ1011" s="181"/>
      <c r="TPA1011" s="181"/>
      <c r="TPB1011" s="181"/>
      <c r="TPC1011" s="181"/>
      <c r="TPD1011" s="181"/>
      <c r="TPE1011" s="181"/>
      <c r="TPF1011" s="181"/>
      <c r="TPG1011" s="181"/>
      <c r="TPH1011" s="181"/>
      <c r="TPI1011" s="181"/>
      <c r="TPJ1011" s="181"/>
      <c r="TPK1011" s="181"/>
      <c r="TPL1011" s="181"/>
      <c r="TPM1011" s="181"/>
      <c r="TPN1011" s="181"/>
      <c r="TPO1011" s="181"/>
      <c r="TPP1011" s="181"/>
      <c r="TPQ1011" s="181"/>
      <c r="TPR1011" s="181"/>
      <c r="TPS1011" s="181"/>
      <c r="TPT1011" s="181"/>
      <c r="TPU1011" s="181"/>
      <c r="TPV1011" s="181"/>
      <c r="TPW1011" s="181"/>
      <c r="TPX1011" s="181"/>
      <c r="TPY1011" s="181"/>
      <c r="TPZ1011" s="181"/>
      <c r="TQA1011" s="181"/>
      <c r="TQB1011" s="181"/>
      <c r="TQC1011" s="181"/>
      <c r="TQD1011" s="181"/>
      <c r="TQE1011" s="181"/>
      <c r="TQF1011" s="181"/>
      <c r="TQG1011" s="181"/>
      <c r="TQH1011" s="181"/>
      <c r="TQI1011" s="181"/>
      <c r="TQJ1011" s="181"/>
      <c r="TQK1011" s="181"/>
      <c r="TQL1011" s="181"/>
      <c r="TQM1011" s="181"/>
      <c r="TQN1011" s="181"/>
      <c r="TQO1011" s="181"/>
      <c r="TQP1011" s="181"/>
      <c r="TQQ1011" s="181"/>
      <c r="TQR1011" s="181"/>
      <c r="TQS1011" s="181"/>
      <c r="TQT1011" s="181"/>
      <c r="TQU1011" s="181"/>
      <c r="TQV1011" s="181"/>
      <c r="TQW1011" s="181"/>
      <c r="TQX1011" s="181"/>
      <c r="TQY1011" s="181"/>
      <c r="TQZ1011" s="181"/>
      <c r="TRA1011" s="181"/>
      <c r="TRB1011" s="181"/>
      <c r="TRC1011" s="181"/>
      <c r="TRD1011" s="181"/>
      <c r="TRE1011" s="181"/>
      <c r="TRF1011" s="181"/>
      <c r="TRG1011" s="181"/>
      <c r="TRH1011" s="181"/>
      <c r="TRI1011" s="181"/>
      <c r="TRJ1011" s="181"/>
      <c r="TRK1011" s="181"/>
      <c r="TRL1011" s="181"/>
      <c r="TRM1011" s="181"/>
      <c r="TRN1011" s="181"/>
      <c r="TRO1011" s="181"/>
      <c r="TRP1011" s="181"/>
      <c r="TRQ1011" s="181"/>
      <c r="TRR1011" s="181"/>
      <c r="TRS1011" s="181"/>
      <c r="TRT1011" s="181"/>
      <c r="TRU1011" s="181"/>
      <c r="TRV1011" s="181"/>
      <c r="TRW1011" s="181"/>
      <c r="TRX1011" s="181"/>
      <c r="TRY1011" s="181"/>
      <c r="TRZ1011" s="181"/>
      <c r="TSA1011" s="181"/>
      <c r="TSB1011" s="181"/>
      <c r="TSC1011" s="181"/>
      <c r="TSD1011" s="181"/>
      <c r="TSE1011" s="181"/>
      <c r="TSF1011" s="181"/>
      <c r="TSG1011" s="181"/>
      <c r="TSH1011" s="181"/>
      <c r="TSI1011" s="181"/>
      <c r="TSJ1011" s="181"/>
      <c r="TSK1011" s="181"/>
      <c r="TSL1011" s="181"/>
      <c r="TSM1011" s="181"/>
      <c r="TSN1011" s="181"/>
      <c r="TSO1011" s="181"/>
      <c r="TSP1011" s="181"/>
      <c r="TSQ1011" s="181"/>
      <c r="TSR1011" s="181"/>
      <c r="TSS1011" s="181"/>
      <c r="TST1011" s="181"/>
      <c r="TSU1011" s="181"/>
      <c r="TSV1011" s="181"/>
      <c r="TSW1011" s="181"/>
      <c r="TSX1011" s="181"/>
      <c r="TSY1011" s="181"/>
      <c r="TSZ1011" s="181"/>
      <c r="TTA1011" s="181"/>
      <c r="TTB1011" s="181"/>
      <c r="TTC1011" s="181"/>
      <c r="TTD1011" s="181"/>
      <c r="TTE1011" s="181"/>
      <c r="TTF1011" s="181"/>
      <c r="TTG1011" s="181"/>
      <c r="TTH1011" s="181"/>
      <c r="TTI1011" s="181"/>
      <c r="TTJ1011" s="181"/>
      <c r="TTK1011" s="181"/>
      <c r="TTL1011" s="181"/>
      <c r="TTM1011" s="181"/>
      <c r="TTN1011" s="181"/>
      <c r="TTO1011" s="181"/>
      <c r="TTP1011" s="181"/>
      <c r="TTQ1011" s="181"/>
      <c r="TTR1011" s="181"/>
      <c r="TTS1011" s="181"/>
      <c r="TTT1011" s="181"/>
      <c r="TTU1011" s="181"/>
      <c r="TTV1011" s="181"/>
      <c r="TTW1011" s="181"/>
      <c r="TTX1011" s="181"/>
      <c r="TTY1011" s="181"/>
      <c r="TTZ1011" s="181"/>
      <c r="TUA1011" s="181"/>
      <c r="TUB1011" s="181"/>
      <c r="TUC1011" s="181"/>
      <c r="TUD1011" s="181"/>
      <c r="TUE1011" s="181"/>
      <c r="TUF1011" s="181"/>
      <c r="TUG1011" s="181"/>
      <c r="TUH1011" s="181"/>
      <c r="TUI1011" s="181"/>
      <c r="TUJ1011" s="181"/>
      <c r="TUK1011" s="181"/>
      <c r="TUL1011" s="181"/>
      <c r="TUM1011" s="181"/>
      <c r="TUN1011" s="181"/>
      <c r="TUO1011" s="181"/>
      <c r="TUP1011" s="181"/>
      <c r="TUQ1011" s="181"/>
      <c r="TUR1011" s="181"/>
      <c r="TUS1011" s="181"/>
      <c r="TUT1011" s="181"/>
      <c r="TUU1011" s="181"/>
      <c r="TUV1011" s="181"/>
      <c r="TUW1011" s="181"/>
      <c r="TUX1011" s="181"/>
      <c r="TUY1011" s="181"/>
      <c r="TUZ1011" s="181"/>
      <c r="TVA1011" s="181"/>
      <c r="TVB1011" s="181"/>
      <c r="TVC1011" s="181"/>
      <c r="TVD1011" s="181"/>
      <c r="TVE1011" s="181"/>
      <c r="TVF1011" s="181"/>
      <c r="TVG1011" s="181"/>
      <c r="TVH1011" s="181"/>
      <c r="TVI1011" s="181"/>
      <c r="TVJ1011" s="181"/>
      <c r="TVK1011" s="181"/>
      <c r="TVL1011" s="181"/>
      <c r="TVM1011" s="181"/>
      <c r="TVN1011" s="181"/>
      <c r="TVO1011" s="181"/>
      <c r="TVP1011" s="181"/>
      <c r="TVQ1011" s="181"/>
      <c r="TVR1011" s="181"/>
      <c r="TVS1011" s="181"/>
      <c r="TVT1011" s="181"/>
      <c r="TVU1011" s="181"/>
      <c r="TVV1011" s="181"/>
      <c r="TVW1011" s="181"/>
      <c r="TVX1011" s="181"/>
      <c r="TVY1011" s="181"/>
      <c r="TVZ1011" s="181"/>
      <c r="TWA1011" s="181"/>
      <c r="TWB1011" s="181"/>
      <c r="TWC1011" s="181"/>
      <c r="TWD1011" s="181"/>
      <c r="TWE1011" s="181"/>
      <c r="TWF1011" s="181"/>
      <c r="TWG1011" s="181"/>
      <c r="TWH1011" s="181"/>
      <c r="TWI1011" s="181"/>
      <c r="TWJ1011" s="181"/>
      <c r="TWK1011" s="181"/>
      <c r="TWL1011" s="181"/>
      <c r="TWM1011" s="181"/>
      <c r="TWN1011" s="181"/>
      <c r="TWO1011" s="181"/>
      <c r="TWP1011" s="181"/>
      <c r="TWQ1011" s="181"/>
      <c r="TWR1011" s="181"/>
      <c r="TWS1011" s="181"/>
      <c r="TWT1011" s="181"/>
      <c r="TWU1011" s="181"/>
      <c r="TWV1011" s="181"/>
      <c r="TWW1011" s="181"/>
      <c r="TWX1011" s="181"/>
      <c r="TWY1011" s="181"/>
      <c r="TWZ1011" s="181"/>
      <c r="TXA1011" s="181"/>
      <c r="TXB1011" s="181"/>
      <c r="TXC1011" s="181"/>
      <c r="TXD1011" s="181"/>
      <c r="TXE1011" s="181"/>
      <c r="TXF1011" s="181"/>
      <c r="TXG1011" s="181"/>
      <c r="TXH1011" s="181"/>
      <c r="TXI1011" s="181"/>
      <c r="TXJ1011" s="181"/>
      <c r="TXK1011" s="181"/>
      <c r="TXL1011" s="181"/>
      <c r="TXM1011" s="181"/>
      <c r="TXN1011" s="181"/>
      <c r="TXO1011" s="181"/>
      <c r="TXP1011" s="181"/>
      <c r="TXQ1011" s="181"/>
      <c r="TXR1011" s="181"/>
      <c r="TXS1011" s="181"/>
      <c r="TXT1011" s="181"/>
      <c r="TXU1011" s="181"/>
      <c r="TXV1011" s="181"/>
      <c r="TXW1011" s="181"/>
      <c r="TXX1011" s="181"/>
      <c r="TXY1011" s="181"/>
      <c r="TXZ1011" s="181"/>
      <c r="TYA1011" s="181"/>
      <c r="TYB1011" s="181"/>
      <c r="TYC1011" s="181"/>
      <c r="TYD1011" s="181"/>
      <c r="TYE1011" s="181"/>
      <c r="TYF1011" s="181"/>
      <c r="TYG1011" s="181"/>
      <c r="TYH1011" s="181"/>
      <c r="TYI1011" s="181"/>
      <c r="TYJ1011" s="181"/>
      <c r="TYK1011" s="181"/>
      <c r="TYL1011" s="181"/>
      <c r="TYM1011" s="181"/>
      <c r="TYN1011" s="181"/>
      <c r="TYO1011" s="181"/>
      <c r="TYP1011" s="181"/>
      <c r="TYQ1011" s="181"/>
      <c r="TYR1011" s="181"/>
      <c r="TYS1011" s="181"/>
      <c r="TYT1011" s="181"/>
      <c r="TYU1011" s="181"/>
      <c r="TYV1011" s="181"/>
      <c r="TYW1011" s="181"/>
      <c r="TYX1011" s="181"/>
      <c r="TYY1011" s="181"/>
      <c r="TYZ1011" s="181"/>
      <c r="TZA1011" s="181"/>
      <c r="TZB1011" s="181"/>
      <c r="TZC1011" s="181"/>
      <c r="TZD1011" s="181"/>
      <c r="TZE1011" s="181"/>
      <c r="TZF1011" s="181"/>
      <c r="TZG1011" s="181"/>
      <c r="TZH1011" s="181"/>
      <c r="TZI1011" s="181"/>
      <c r="TZJ1011" s="181"/>
      <c r="TZK1011" s="181"/>
      <c r="TZL1011" s="181"/>
      <c r="TZM1011" s="181"/>
      <c r="TZN1011" s="181"/>
      <c r="TZO1011" s="181"/>
      <c r="TZP1011" s="181"/>
      <c r="TZQ1011" s="181"/>
      <c r="TZR1011" s="181"/>
      <c r="TZS1011" s="181"/>
      <c r="TZT1011" s="181"/>
      <c r="TZU1011" s="181"/>
      <c r="TZV1011" s="181"/>
      <c r="TZW1011" s="181"/>
      <c r="TZX1011" s="181"/>
      <c r="TZY1011" s="181"/>
      <c r="TZZ1011" s="181"/>
      <c r="UAA1011" s="181"/>
      <c r="UAB1011" s="181"/>
      <c r="UAC1011" s="181"/>
      <c r="UAD1011" s="181"/>
      <c r="UAE1011" s="181"/>
      <c r="UAF1011" s="181"/>
      <c r="UAG1011" s="181"/>
      <c r="UAH1011" s="181"/>
      <c r="UAI1011" s="181"/>
      <c r="UAJ1011" s="181"/>
      <c r="UAK1011" s="181"/>
      <c r="UAL1011" s="181"/>
      <c r="UAM1011" s="181"/>
      <c r="UAN1011" s="181"/>
      <c r="UAO1011" s="181"/>
      <c r="UAP1011" s="181"/>
      <c r="UAQ1011" s="181"/>
      <c r="UAR1011" s="181"/>
      <c r="UAS1011" s="181"/>
      <c r="UAT1011" s="181"/>
      <c r="UAU1011" s="181"/>
      <c r="UAV1011" s="181"/>
      <c r="UAW1011" s="181"/>
      <c r="UAX1011" s="181"/>
      <c r="UAY1011" s="181"/>
      <c r="UAZ1011" s="181"/>
      <c r="UBA1011" s="181"/>
      <c r="UBB1011" s="181"/>
      <c r="UBC1011" s="181"/>
      <c r="UBD1011" s="181"/>
      <c r="UBE1011" s="181"/>
      <c r="UBF1011" s="181"/>
      <c r="UBG1011" s="181"/>
      <c r="UBH1011" s="181"/>
      <c r="UBI1011" s="181"/>
      <c r="UBJ1011" s="181"/>
      <c r="UBK1011" s="181"/>
      <c r="UBL1011" s="181"/>
      <c r="UBM1011" s="181"/>
      <c r="UBN1011" s="181"/>
      <c r="UBO1011" s="181"/>
      <c r="UBP1011" s="181"/>
      <c r="UBQ1011" s="181"/>
      <c r="UBR1011" s="181"/>
      <c r="UBS1011" s="181"/>
      <c r="UBT1011" s="181"/>
      <c r="UBU1011" s="181"/>
      <c r="UBV1011" s="181"/>
      <c r="UBW1011" s="181"/>
      <c r="UBX1011" s="181"/>
      <c r="UBY1011" s="181"/>
      <c r="UBZ1011" s="181"/>
      <c r="UCA1011" s="181"/>
      <c r="UCB1011" s="181"/>
      <c r="UCC1011" s="181"/>
      <c r="UCD1011" s="181"/>
      <c r="UCE1011" s="181"/>
      <c r="UCF1011" s="181"/>
      <c r="UCG1011" s="181"/>
      <c r="UCH1011" s="181"/>
      <c r="UCI1011" s="181"/>
      <c r="UCJ1011" s="181"/>
      <c r="UCK1011" s="181"/>
      <c r="UCL1011" s="181"/>
      <c r="UCM1011" s="181"/>
      <c r="UCN1011" s="181"/>
      <c r="UCO1011" s="181"/>
      <c r="UCP1011" s="181"/>
      <c r="UCQ1011" s="181"/>
      <c r="UCR1011" s="181"/>
      <c r="UCS1011" s="181"/>
      <c r="UCT1011" s="181"/>
      <c r="UCU1011" s="181"/>
      <c r="UCV1011" s="181"/>
      <c r="UCW1011" s="181"/>
      <c r="UCX1011" s="181"/>
      <c r="UCY1011" s="181"/>
      <c r="UCZ1011" s="181"/>
      <c r="UDA1011" s="181"/>
      <c r="UDB1011" s="181"/>
      <c r="UDC1011" s="181"/>
      <c r="UDD1011" s="181"/>
      <c r="UDE1011" s="181"/>
      <c r="UDF1011" s="181"/>
      <c r="UDG1011" s="181"/>
      <c r="UDH1011" s="181"/>
      <c r="UDI1011" s="181"/>
      <c r="UDJ1011" s="181"/>
      <c r="UDK1011" s="181"/>
      <c r="UDL1011" s="181"/>
      <c r="UDM1011" s="181"/>
      <c r="UDN1011" s="181"/>
      <c r="UDO1011" s="181"/>
      <c r="UDP1011" s="181"/>
      <c r="UDQ1011" s="181"/>
      <c r="UDR1011" s="181"/>
      <c r="UDS1011" s="181"/>
      <c r="UDT1011" s="181"/>
      <c r="UDU1011" s="181"/>
      <c r="UDV1011" s="181"/>
      <c r="UDW1011" s="181"/>
      <c r="UDX1011" s="181"/>
      <c r="UDY1011" s="181"/>
      <c r="UDZ1011" s="181"/>
      <c r="UEA1011" s="181"/>
      <c r="UEB1011" s="181"/>
      <c r="UEC1011" s="181"/>
      <c r="UED1011" s="181"/>
      <c r="UEE1011" s="181"/>
      <c r="UEF1011" s="181"/>
      <c r="UEG1011" s="181"/>
      <c r="UEH1011" s="181"/>
      <c r="UEI1011" s="181"/>
      <c r="UEJ1011" s="181"/>
      <c r="UEK1011" s="181"/>
      <c r="UEL1011" s="181"/>
      <c r="UEM1011" s="181"/>
      <c r="UEN1011" s="181"/>
      <c r="UEO1011" s="181"/>
      <c r="UEP1011" s="181"/>
      <c r="UEQ1011" s="181"/>
      <c r="UER1011" s="181"/>
      <c r="UES1011" s="181"/>
      <c r="UET1011" s="181"/>
      <c r="UEU1011" s="181"/>
      <c r="UEV1011" s="181"/>
      <c r="UEW1011" s="181"/>
      <c r="UEX1011" s="181"/>
      <c r="UEY1011" s="181"/>
      <c r="UEZ1011" s="181"/>
      <c r="UFA1011" s="181"/>
      <c r="UFB1011" s="181"/>
      <c r="UFC1011" s="181"/>
      <c r="UFD1011" s="181"/>
      <c r="UFE1011" s="181"/>
      <c r="UFF1011" s="181"/>
      <c r="UFG1011" s="181"/>
      <c r="UFH1011" s="181"/>
      <c r="UFI1011" s="181"/>
      <c r="UFJ1011" s="181"/>
      <c r="UFK1011" s="181"/>
      <c r="UFL1011" s="181"/>
      <c r="UFM1011" s="181"/>
      <c r="UFN1011" s="181"/>
      <c r="UFO1011" s="181"/>
      <c r="UFP1011" s="181"/>
      <c r="UFQ1011" s="181"/>
      <c r="UFR1011" s="181"/>
      <c r="UFS1011" s="181"/>
      <c r="UFT1011" s="181"/>
      <c r="UFU1011" s="181"/>
      <c r="UFV1011" s="181"/>
      <c r="UFW1011" s="181"/>
      <c r="UFX1011" s="181"/>
      <c r="UFY1011" s="181"/>
      <c r="UFZ1011" s="181"/>
      <c r="UGA1011" s="181"/>
      <c r="UGB1011" s="181"/>
      <c r="UGC1011" s="181"/>
      <c r="UGD1011" s="181"/>
      <c r="UGE1011" s="181"/>
      <c r="UGF1011" s="181"/>
      <c r="UGG1011" s="181"/>
      <c r="UGH1011" s="181"/>
      <c r="UGI1011" s="181"/>
      <c r="UGJ1011" s="181"/>
      <c r="UGK1011" s="181"/>
      <c r="UGL1011" s="181"/>
      <c r="UGM1011" s="181"/>
      <c r="UGN1011" s="181"/>
      <c r="UGO1011" s="181"/>
      <c r="UGP1011" s="181"/>
      <c r="UGQ1011" s="181"/>
      <c r="UGR1011" s="181"/>
      <c r="UGS1011" s="181"/>
      <c r="UGT1011" s="181"/>
      <c r="UGU1011" s="181"/>
      <c r="UGV1011" s="181"/>
      <c r="UGW1011" s="181"/>
      <c r="UGX1011" s="181"/>
      <c r="UGY1011" s="181"/>
      <c r="UGZ1011" s="181"/>
      <c r="UHA1011" s="181"/>
      <c r="UHB1011" s="181"/>
      <c r="UHC1011" s="181"/>
      <c r="UHD1011" s="181"/>
      <c r="UHE1011" s="181"/>
      <c r="UHF1011" s="181"/>
      <c r="UHG1011" s="181"/>
      <c r="UHH1011" s="181"/>
      <c r="UHI1011" s="181"/>
      <c r="UHJ1011" s="181"/>
      <c r="UHK1011" s="181"/>
      <c r="UHL1011" s="181"/>
      <c r="UHM1011" s="181"/>
      <c r="UHN1011" s="181"/>
      <c r="UHO1011" s="181"/>
      <c r="UHP1011" s="181"/>
      <c r="UHQ1011" s="181"/>
      <c r="UHR1011" s="181"/>
      <c r="UHS1011" s="181"/>
      <c r="UHT1011" s="181"/>
      <c r="UHU1011" s="181"/>
      <c r="UHV1011" s="181"/>
      <c r="UHW1011" s="181"/>
      <c r="UHX1011" s="181"/>
      <c r="UHY1011" s="181"/>
      <c r="UHZ1011" s="181"/>
      <c r="UIA1011" s="181"/>
      <c r="UIB1011" s="181"/>
      <c r="UIC1011" s="181"/>
      <c r="UID1011" s="181"/>
      <c r="UIE1011" s="181"/>
      <c r="UIF1011" s="181"/>
      <c r="UIG1011" s="181"/>
      <c r="UIH1011" s="181"/>
      <c r="UII1011" s="181"/>
      <c r="UIJ1011" s="181"/>
      <c r="UIK1011" s="181"/>
      <c r="UIL1011" s="181"/>
      <c r="UIM1011" s="181"/>
      <c r="UIN1011" s="181"/>
      <c r="UIO1011" s="181"/>
      <c r="UIP1011" s="181"/>
      <c r="UIQ1011" s="181"/>
      <c r="UIR1011" s="181"/>
      <c r="UIS1011" s="181"/>
      <c r="UIT1011" s="181"/>
      <c r="UIU1011" s="181"/>
      <c r="UIV1011" s="181"/>
      <c r="UIW1011" s="181"/>
      <c r="UIX1011" s="181"/>
      <c r="UIY1011" s="181"/>
      <c r="UIZ1011" s="181"/>
      <c r="UJA1011" s="181"/>
      <c r="UJB1011" s="181"/>
      <c r="UJC1011" s="181"/>
      <c r="UJD1011" s="181"/>
      <c r="UJE1011" s="181"/>
      <c r="UJF1011" s="181"/>
      <c r="UJG1011" s="181"/>
      <c r="UJH1011" s="181"/>
      <c r="UJI1011" s="181"/>
      <c r="UJJ1011" s="181"/>
      <c r="UJK1011" s="181"/>
      <c r="UJL1011" s="181"/>
      <c r="UJM1011" s="181"/>
      <c r="UJN1011" s="181"/>
      <c r="UJO1011" s="181"/>
      <c r="UJP1011" s="181"/>
      <c r="UJQ1011" s="181"/>
      <c r="UJR1011" s="181"/>
      <c r="UJS1011" s="181"/>
      <c r="UJT1011" s="181"/>
      <c r="UJU1011" s="181"/>
      <c r="UJV1011" s="181"/>
      <c r="UJW1011" s="181"/>
      <c r="UJX1011" s="181"/>
      <c r="UJY1011" s="181"/>
      <c r="UJZ1011" s="181"/>
      <c r="UKA1011" s="181"/>
      <c r="UKB1011" s="181"/>
      <c r="UKC1011" s="181"/>
      <c r="UKD1011" s="181"/>
      <c r="UKE1011" s="181"/>
      <c r="UKF1011" s="181"/>
      <c r="UKG1011" s="181"/>
      <c r="UKH1011" s="181"/>
      <c r="UKI1011" s="181"/>
      <c r="UKJ1011" s="181"/>
      <c r="UKK1011" s="181"/>
      <c r="UKL1011" s="181"/>
      <c r="UKM1011" s="181"/>
      <c r="UKN1011" s="181"/>
      <c r="UKO1011" s="181"/>
      <c r="UKP1011" s="181"/>
      <c r="UKQ1011" s="181"/>
      <c r="UKR1011" s="181"/>
      <c r="UKS1011" s="181"/>
      <c r="UKT1011" s="181"/>
      <c r="UKU1011" s="181"/>
      <c r="UKV1011" s="181"/>
      <c r="UKW1011" s="181"/>
      <c r="UKX1011" s="181"/>
      <c r="UKY1011" s="181"/>
      <c r="UKZ1011" s="181"/>
      <c r="ULA1011" s="181"/>
      <c r="ULB1011" s="181"/>
      <c r="ULC1011" s="181"/>
      <c r="ULD1011" s="181"/>
      <c r="ULE1011" s="181"/>
      <c r="ULF1011" s="181"/>
      <c r="ULG1011" s="181"/>
      <c r="ULH1011" s="181"/>
      <c r="ULI1011" s="181"/>
      <c r="ULJ1011" s="181"/>
      <c r="ULK1011" s="181"/>
      <c r="ULL1011" s="181"/>
      <c r="ULM1011" s="181"/>
      <c r="ULN1011" s="181"/>
      <c r="ULO1011" s="181"/>
      <c r="ULP1011" s="181"/>
      <c r="ULQ1011" s="181"/>
      <c r="ULR1011" s="181"/>
      <c r="ULS1011" s="181"/>
      <c r="ULT1011" s="181"/>
      <c r="ULU1011" s="181"/>
      <c r="ULV1011" s="181"/>
      <c r="ULW1011" s="181"/>
      <c r="ULX1011" s="181"/>
      <c r="ULY1011" s="181"/>
      <c r="ULZ1011" s="181"/>
      <c r="UMA1011" s="181"/>
      <c r="UMB1011" s="181"/>
      <c r="UMC1011" s="181"/>
      <c r="UMD1011" s="181"/>
      <c r="UME1011" s="181"/>
      <c r="UMF1011" s="181"/>
      <c r="UMG1011" s="181"/>
      <c r="UMH1011" s="181"/>
      <c r="UMI1011" s="181"/>
      <c r="UMJ1011" s="181"/>
      <c r="UMK1011" s="181"/>
      <c r="UML1011" s="181"/>
      <c r="UMM1011" s="181"/>
      <c r="UMN1011" s="181"/>
      <c r="UMO1011" s="181"/>
      <c r="UMP1011" s="181"/>
      <c r="UMQ1011" s="181"/>
      <c r="UMR1011" s="181"/>
      <c r="UMS1011" s="181"/>
      <c r="UMT1011" s="181"/>
      <c r="UMU1011" s="181"/>
      <c r="UMV1011" s="181"/>
      <c r="UMW1011" s="181"/>
      <c r="UMX1011" s="181"/>
      <c r="UMY1011" s="181"/>
      <c r="UMZ1011" s="181"/>
      <c r="UNA1011" s="181"/>
      <c r="UNB1011" s="181"/>
      <c r="UNC1011" s="181"/>
      <c r="UND1011" s="181"/>
      <c r="UNE1011" s="181"/>
      <c r="UNF1011" s="181"/>
      <c r="UNG1011" s="181"/>
      <c r="UNH1011" s="181"/>
      <c r="UNI1011" s="181"/>
      <c r="UNJ1011" s="181"/>
      <c r="UNK1011" s="181"/>
      <c r="UNL1011" s="181"/>
      <c r="UNM1011" s="181"/>
      <c r="UNN1011" s="181"/>
      <c r="UNO1011" s="181"/>
      <c r="UNP1011" s="181"/>
      <c r="UNQ1011" s="181"/>
      <c r="UNR1011" s="181"/>
      <c r="UNS1011" s="181"/>
      <c r="UNT1011" s="181"/>
      <c r="UNU1011" s="181"/>
      <c r="UNV1011" s="181"/>
      <c r="UNW1011" s="181"/>
      <c r="UNX1011" s="181"/>
      <c r="UNY1011" s="181"/>
      <c r="UNZ1011" s="181"/>
      <c r="UOA1011" s="181"/>
      <c r="UOB1011" s="181"/>
      <c r="UOC1011" s="181"/>
      <c r="UOD1011" s="181"/>
      <c r="UOE1011" s="181"/>
      <c r="UOF1011" s="181"/>
      <c r="UOG1011" s="181"/>
      <c r="UOH1011" s="181"/>
      <c r="UOI1011" s="181"/>
      <c r="UOJ1011" s="181"/>
      <c r="UOK1011" s="181"/>
      <c r="UOL1011" s="181"/>
      <c r="UOM1011" s="181"/>
      <c r="UON1011" s="181"/>
      <c r="UOO1011" s="181"/>
      <c r="UOP1011" s="181"/>
      <c r="UOQ1011" s="181"/>
      <c r="UOR1011" s="181"/>
      <c r="UOS1011" s="181"/>
      <c r="UOT1011" s="181"/>
      <c r="UOU1011" s="181"/>
      <c r="UOV1011" s="181"/>
      <c r="UOW1011" s="181"/>
      <c r="UOX1011" s="181"/>
      <c r="UOY1011" s="181"/>
      <c r="UOZ1011" s="181"/>
      <c r="UPA1011" s="181"/>
      <c r="UPB1011" s="181"/>
      <c r="UPC1011" s="181"/>
      <c r="UPD1011" s="181"/>
      <c r="UPE1011" s="181"/>
      <c r="UPF1011" s="181"/>
      <c r="UPG1011" s="181"/>
      <c r="UPH1011" s="181"/>
      <c r="UPI1011" s="181"/>
      <c r="UPJ1011" s="181"/>
      <c r="UPK1011" s="181"/>
      <c r="UPL1011" s="181"/>
      <c r="UPM1011" s="181"/>
      <c r="UPN1011" s="181"/>
      <c r="UPO1011" s="181"/>
      <c r="UPP1011" s="181"/>
      <c r="UPQ1011" s="181"/>
      <c r="UPR1011" s="181"/>
      <c r="UPS1011" s="181"/>
      <c r="UPT1011" s="181"/>
      <c r="UPU1011" s="181"/>
      <c r="UPV1011" s="181"/>
      <c r="UPW1011" s="181"/>
      <c r="UPX1011" s="181"/>
      <c r="UPY1011" s="181"/>
      <c r="UPZ1011" s="181"/>
      <c r="UQA1011" s="181"/>
      <c r="UQB1011" s="181"/>
      <c r="UQC1011" s="181"/>
      <c r="UQD1011" s="181"/>
      <c r="UQE1011" s="181"/>
      <c r="UQF1011" s="181"/>
      <c r="UQG1011" s="181"/>
      <c r="UQH1011" s="181"/>
      <c r="UQI1011" s="181"/>
      <c r="UQJ1011" s="181"/>
      <c r="UQK1011" s="181"/>
      <c r="UQL1011" s="181"/>
      <c r="UQM1011" s="181"/>
      <c r="UQN1011" s="181"/>
      <c r="UQO1011" s="181"/>
      <c r="UQP1011" s="181"/>
      <c r="UQQ1011" s="181"/>
      <c r="UQR1011" s="181"/>
      <c r="UQS1011" s="181"/>
      <c r="UQT1011" s="181"/>
      <c r="UQU1011" s="181"/>
      <c r="UQV1011" s="181"/>
      <c r="UQW1011" s="181"/>
      <c r="UQX1011" s="181"/>
      <c r="UQY1011" s="181"/>
      <c r="UQZ1011" s="181"/>
      <c r="URA1011" s="181"/>
      <c r="URB1011" s="181"/>
      <c r="URC1011" s="181"/>
      <c r="URD1011" s="181"/>
      <c r="URE1011" s="181"/>
      <c r="URF1011" s="181"/>
      <c r="URG1011" s="181"/>
      <c r="URH1011" s="181"/>
      <c r="URI1011" s="181"/>
      <c r="URJ1011" s="181"/>
      <c r="URK1011" s="181"/>
      <c r="URL1011" s="181"/>
      <c r="URM1011" s="181"/>
      <c r="URN1011" s="181"/>
      <c r="URO1011" s="181"/>
      <c r="URP1011" s="181"/>
      <c r="URQ1011" s="181"/>
      <c r="URR1011" s="181"/>
      <c r="URS1011" s="181"/>
      <c r="URT1011" s="181"/>
      <c r="URU1011" s="181"/>
      <c r="URV1011" s="181"/>
      <c r="URW1011" s="181"/>
      <c r="URX1011" s="181"/>
      <c r="URY1011" s="181"/>
      <c r="URZ1011" s="181"/>
      <c r="USA1011" s="181"/>
      <c r="USB1011" s="181"/>
      <c r="USC1011" s="181"/>
      <c r="USD1011" s="181"/>
      <c r="USE1011" s="181"/>
      <c r="USF1011" s="181"/>
      <c r="USG1011" s="181"/>
      <c r="USH1011" s="181"/>
      <c r="USI1011" s="181"/>
      <c r="USJ1011" s="181"/>
      <c r="USK1011" s="181"/>
      <c r="USL1011" s="181"/>
      <c r="USM1011" s="181"/>
      <c r="USN1011" s="181"/>
      <c r="USO1011" s="181"/>
      <c r="USP1011" s="181"/>
      <c r="USQ1011" s="181"/>
      <c r="USR1011" s="181"/>
      <c r="USS1011" s="181"/>
      <c r="UST1011" s="181"/>
      <c r="USU1011" s="181"/>
      <c r="USV1011" s="181"/>
      <c r="USW1011" s="181"/>
      <c r="USX1011" s="181"/>
      <c r="USY1011" s="181"/>
      <c r="USZ1011" s="181"/>
      <c r="UTA1011" s="181"/>
      <c r="UTB1011" s="181"/>
      <c r="UTC1011" s="181"/>
      <c r="UTD1011" s="181"/>
      <c r="UTE1011" s="181"/>
      <c r="UTF1011" s="181"/>
      <c r="UTG1011" s="181"/>
      <c r="UTH1011" s="181"/>
      <c r="UTI1011" s="181"/>
      <c r="UTJ1011" s="181"/>
      <c r="UTK1011" s="181"/>
      <c r="UTL1011" s="181"/>
      <c r="UTM1011" s="181"/>
      <c r="UTN1011" s="181"/>
      <c r="UTO1011" s="181"/>
      <c r="UTP1011" s="181"/>
      <c r="UTQ1011" s="181"/>
      <c r="UTR1011" s="181"/>
      <c r="UTS1011" s="181"/>
      <c r="UTT1011" s="181"/>
      <c r="UTU1011" s="181"/>
      <c r="UTV1011" s="181"/>
      <c r="UTW1011" s="181"/>
      <c r="UTX1011" s="181"/>
      <c r="UTY1011" s="181"/>
      <c r="UTZ1011" s="181"/>
      <c r="UUA1011" s="181"/>
      <c r="UUB1011" s="181"/>
      <c r="UUC1011" s="181"/>
      <c r="UUD1011" s="181"/>
      <c r="UUE1011" s="181"/>
      <c r="UUF1011" s="181"/>
      <c r="UUG1011" s="181"/>
      <c r="UUH1011" s="181"/>
      <c r="UUI1011" s="181"/>
      <c r="UUJ1011" s="181"/>
      <c r="UUK1011" s="181"/>
      <c r="UUL1011" s="181"/>
      <c r="UUM1011" s="181"/>
      <c r="UUN1011" s="181"/>
      <c r="UUO1011" s="181"/>
      <c r="UUP1011" s="181"/>
      <c r="UUQ1011" s="181"/>
      <c r="UUR1011" s="181"/>
      <c r="UUS1011" s="181"/>
      <c r="UUT1011" s="181"/>
      <c r="UUU1011" s="181"/>
      <c r="UUV1011" s="181"/>
      <c r="UUW1011" s="181"/>
      <c r="UUX1011" s="181"/>
      <c r="UUY1011" s="181"/>
      <c r="UUZ1011" s="181"/>
      <c r="UVA1011" s="181"/>
      <c r="UVB1011" s="181"/>
      <c r="UVC1011" s="181"/>
      <c r="UVD1011" s="181"/>
      <c r="UVE1011" s="181"/>
      <c r="UVF1011" s="181"/>
      <c r="UVG1011" s="181"/>
      <c r="UVH1011" s="181"/>
      <c r="UVI1011" s="181"/>
      <c r="UVJ1011" s="181"/>
      <c r="UVK1011" s="181"/>
      <c r="UVL1011" s="181"/>
      <c r="UVM1011" s="181"/>
      <c r="UVN1011" s="181"/>
      <c r="UVO1011" s="181"/>
      <c r="UVP1011" s="181"/>
      <c r="UVQ1011" s="181"/>
      <c r="UVR1011" s="181"/>
      <c r="UVS1011" s="181"/>
      <c r="UVT1011" s="181"/>
      <c r="UVU1011" s="181"/>
      <c r="UVV1011" s="181"/>
      <c r="UVW1011" s="181"/>
      <c r="UVX1011" s="181"/>
      <c r="UVY1011" s="181"/>
      <c r="UVZ1011" s="181"/>
      <c r="UWA1011" s="181"/>
      <c r="UWB1011" s="181"/>
      <c r="UWC1011" s="181"/>
      <c r="UWD1011" s="181"/>
      <c r="UWE1011" s="181"/>
      <c r="UWF1011" s="181"/>
      <c r="UWG1011" s="181"/>
      <c r="UWH1011" s="181"/>
      <c r="UWI1011" s="181"/>
      <c r="UWJ1011" s="181"/>
      <c r="UWK1011" s="181"/>
      <c r="UWL1011" s="181"/>
      <c r="UWM1011" s="181"/>
      <c r="UWN1011" s="181"/>
      <c r="UWO1011" s="181"/>
      <c r="UWP1011" s="181"/>
      <c r="UWQ1011" s="181"/>
      <c r="UWR1011" s="181"/>
      <c r="UWS1011" s="181"/>
      <c r="UWT1011" s="181"/>
      <c r="UWU1011" s="181"/>
      <c r="UWV1011" s="181"/>
      <c r="UWW1011" s="181"/>
      <c r="UWX1011" s="181"/>
      <c r="UWY1011" s="181"/>
      <c r="UWZ1011" s="181"/>
      <c r="UXA1011" s="181"/>
      <c r="UXB1011" s="181"/>
      <c r="UXC1011" s="181"/>
      <c r="UXD1011" s="181"/>
      <c r="UXE1011" s="181"/>
      <c r="UXF1011" s="181"/>
      <c r="UXG1011" s="181"/>
      <c r="UXH1011" s="181"/>
      <c r="UXI1011" s="181"/>
      <c r="UXJ1011" s="181"/>
      <c r="UXK1011" s="181"/>
      <c r="UXL1011" s="181"/>
      <c r="UXM1011" s="181"/>
      <c r="UXN1011" s="181"/>
      <c r="UXO1011" s="181"/>
      <c r="UXP1011" s="181"/>
      <c r="UXQ1011" s="181"/>
      <c r="UXR1011" s="181"/>
      <c r="UXS1011" s="181"/>
      <c r="UXT1011" s="181"/>
      <c r="UXU1011" s="181"/>
      <c r="UXV1011" s="181"/>
      <c r="UXW1011" s="181"/>
      <c r="UXX1011" s="181"/>
      <c r="UXY1011" s="181"/>
      <c r="UXZ1011" s="181"/>
      <c r="UYA1011" s="181"/>
      <c r="UYB1011" s="181"/>
      <c r="UYC1011" s="181"/>
      <c r="UYD1011" s="181"/>
      <c r="UYE1011" s="181"/>
      <c r="UYF1011" s="181"/>
      <c r="UYG1011" s="181"/>
      <c r="UYH1011" s="181"/>
      <c r="UYI1011" s="181"/>
      <c r="UYJ1011" s="181"/>
      <c r="UYK1011" s="181"/>
      <c r="UYL1011" s="181"/>
      <c r="UYM1011" s="181"/>
      <c r="UYN1011" s="181"/>
      <c r="UYO1011" s="181"/>
      <c r="UYP1011" s="181"/>
      <c r="UYQ1011" s="181"/>
      <c r="UYR1011" s="181"/>
      <c r="UYS1011" s="181"/>
      <c r="UYT1011" s="181"/>
      <c r="UYU1011" s="181"/>
      <c r="UYV1011" s="181"/>
      <c r="UYW1011" s="181"/>
      <c r="UYX1011" s="181"/>
      <c r="UYY1011" s="181"/>
      <c r="UYZ1011" s="181"/>
      <c r="UZA1011" s="181"/>
      <c r="UZB1011" s="181"/>
      <c r="UZC1011" s="181"/>
      <c r="UZD1011" s="181"/>
      <c r="UZE1011" s="181"/>
      <c r="UZF1011" s="181"/>
      <c r="UZG1011" s="181"/>
      <c r="UZH1011" s="181"/>
      <c r="UZI1011" s="181"/>
      <c r="UZJ1011" s="181"/>
      <c r="UZK1011" s="181"/>
      <c r="UZL1011" s="181"/>
      <c r="UZM1011" s="181"/>
      <c r="UZN1011" s="181"/>
      <c r="UZO1011" s="181"/>
      <c r="UZP1011" s="181"/>
      <c r="UZQ1011" s="181"/>
      <c r="UZR1011" s="181"/>
      <c r="UZS1011" s="181"/>
      <c r="UZT1011" s="181"/>
      <c r="UZU1011" s="181"/>
      <c r="UZV1011" s="181"/>
      <c r="UZW1011" s="181"/>
      <c r="UZX1011" s="181"/>
      <c r="UZY1011" s="181"/>
      <c r="UZZ1011" s="181"/>
      <c r="VAA1011" s="181"/>
      <c r="VAB1011" s="181"/>
      <c r="VAC1011" s="181"/>
      <c r="VAD1011" s="181"/>
      <c r="VAE1011" s="181"/>
      <c r="VAF1011" s="181"/>
      <c r="VAG1011" s="181"/>
      <c r="VAH1011" s="181"/>
      <c r="VAI1011" s="181"/>
      <c r="VAJ1011" s="181"/>
      <c r="VAK1011" s="181"/>
      <c r="VAL1011" s="181"/>
      <c r="VAM1011" s="181"/>
      <c r="VAN1011" s="181"/>
      <c r="VAO1011" s="181"/>
      <c r="VAP1011" s="181"/>
      <c r="VAQ1011" s="181"/>
      <c r="VAR1011" s="181"/>
      <c r="VAS1011" s="181"/>
      <c r="VAT1011" s="181"/>
      <c r="VAU1011" s="181"/>
      <c r="VAV1011" s="181"/>
      <c r="VAW1011" s="181"/>
      <c r="VAX1011" s="181"/>
      <c r="VAY1011" s="181"/>
      <c r="VAZ1011" s="181"/>
      <c r="VBA1011" s="181"/>
      <c r="VBB1011" s="181"/>
      <c r="VBC1011" s="181"/>
      <c r="VBD1011" s="181"/>
      <c r="VBE1011" s="181"/>
      <c r="VBF1011" s="181"/>
      <c r="VBG1011" s="181"/>
      <c r="VBH1011" s="181"/>
      <c r="VBI1011" s="181"/>
      <c r="VBJ1011" s="181"/>
      <c r="VBK1011" s="181"/>
      <c r="VBL1011" s="181"/>
      <c r="VBM1011" s="181"/>
      <c r="VBN1011" s="181"/>
      <c r="VBO1011" s="181"/>
      <c r="VBP1011" s="181"/>
      <c r="VBQ1011" s="181"/>
      <c r="VBR1011" s="181"/>
      <c r="VBS1011" s="181"/>
      <c r="VBT1011" s="181"/>
      <c r="VBU1011" s="181"/>
      <c r="VBV1011" s="181"/>
      <c r="VBW1011" s="181"/>
      <c r="VBX1011" s="181"/>
      <c r="VBY1011" s="181"/>
      <c r="VBZ1011" s="181"/>
      <c r="VCA1011" s="181"/>
      <c r="VCB1011" s="181"/>
      <c r="VCC1011" s="181"/>
      <c r="VCD1011" s="181"/>
      <c r="VCE1011" s="181"/>
      <c r="VCF1011" s="181"/>
      <c r="VCG1011" s="181"/>
      <c r="VCH1011" s="181"/>
      <c r="VCI1011" s="181"/>
      <c r="VCJ1011" s="181"/>
      <c r="VCK1011" s="181"/>
      <c r="VCL1011" s="181"/>
      <c r="VCM1011" s="181"/>
      <c r="VCN1011" s="181"/>
      <c r="VCO1011" s="181"/>
      <c r="VCP1011" s="181"/>
      <c r="VCQ1011" s="181"/>
      <c r="VCR1011" s="181"/>
      <c r="VCS1011" s="181"/>
      <c r="VCT1011" s="181"/>
      <c r="VCU1011" s="181"/>
      <c r="VCV1011" s="181"/>
      <c r="VCW1011" s="181"/>
      <c r="VCX1011" s="181"/>
      <c r="VCY1011" s="181"/>
      <c r="VCZ1011" s="181"/>
      <c r="VDA1011" s="181"/>
      <c r="VDB1011" s="181"/>
      <c r="VDC1011" s="181"/>
      <c r="VDD1011" s="181"/>
      <c r="VDE1011" s="181"/>
      <c r="VDF1011" s="181"/>
      <c r="VDG1011" s="181"/>
      <c r="VDH1011" s="181"/>
      <c r="VDI1011" s="181"/>
      <c r="VDJ1011" s="181"/>
      <c r="VDK1011" s="181"/>
      <c r="VDL1011" s="181"/>
      <c r="VDM1011" s="181"/>
      <c r="VDN1011" s="181"/>
      <c r="VDO1011" s="181"/>
      <c r="VDP1011" s="181"/>
      <c r="VDQ1011" s="181"/>
      <c r="VDR1011" s="181"/>
      <c r="VDS1011" s="181"/>
      <c r="VDT1011" s="181"/>
      <c r="VDU1011" s="181"/>
      <c r="VDV1011" s="181"/>
      <c r="VDW1011" s="181"/>
      <c r="VDX1011" s="181"/>
      <c r="VDY1011" s="181"/>
      <c r="VDZ1011" s="181"/>
      <c r="VEA1011" s="181"/>
      <c r="VEB1011" s="181"/>
      <c r="VEC1011" s="181"/>
      <c r="VED1011" s="181"/>
      <c r="VEE1011" s="181"/>
      <c r="VEF1011" s="181"/>
      <c r="VEG1011" s="181"/>
      <c r="VEH1011" s="181"/>
      <c r="VEI1011" s="181"/>
      <c r="VEJ1011" s="181"/>
      <c r="VEK1011" s="181"/>
      <c r="VEL1011" s="181"/>
      <c r="VEM1011" s="181"/>
      <c r="VEN1011" s="181"/>
      <c r="VEO1011" s="181"/>
      <c r="VEP1011" s="181"/>
      <c r="VEQ1011" s="181"/>
      <c r="VER1011" s="181"/>
      <c r="VES1011" s="181"/>
      <c r="VET1011" s="181"/>
      <c r="VEU1011" s="181"/>
      <c r="VEV1011" s="181"/>
      <c r="VEW1011" s="181"/>
      <c r="VEX1011" s="181"/>
      <c r="VEY1011" s="181"/>
      <c r="VEZ1011" s="181"/>
      <c r="VFA1011" s="181"/>
      <c r="VFB1011" s="181"/>
      <c r="VFC1011" s="181"/>
      <c r="VFD1011" s="181"/>
      <c r="VFE1011" s="181"/>
      <c r="VFF1011" s="181"/>
      <c r="VFG1011" s="181"/>
      <c r="VFH1011" s="181"/>
      <c r="VFI1011" s="181"/>
      <c r="VFJ1011" s="181"/>
      <c r="VFK1011" s="181"/>
      <c r="VFL1011" s="181"/>
      <c r="VFM1011" s="181"/>
      <c r="VFN1011" s="181"/>
      <c r="VFO1011" s="181"/>
      <c r="VFP1011" s="181"/>
      <c r="VFQ1011" s="181"/>
      <c r="VFR1011" s="181"/>
      <c r="VFS1011" s="181"/>
      <c r="VFT1011" s="181"/>
      <c r="VFU1011" s="181"/>
      <c r="VFV1011" s="181"/>
      <c r="VFW1011" s="181"/>
      <c r="VFX1011" s="181"/>
      <c r="VFY1011" s="181"/>
      <c r="VFZ1011" s="181"/>
      <c r="VGA1011" s="181"/>
      <c r="VGB1011" s="181"/>
      <c r="VGC1011" s="181"/>
      <c r="VGD1011" s="181"/>
      <c r="VGE1011" s="181"/>
      <c r="VGF1011" s="181"/>
      <c r="VGG1011" s="181"/>
      <c r="VGH1011" s="181"/>
      <c r="VGI1011" s="181"/>
      <c r="VGJ1011" s="181"/>
      <c r="VGK1011" s="181"/>
      <c r="VGL1011" s="181"/>
      <c r="VGM1011" s="181"/>
      <c r="VGN1011" s="181"/>
      <c r="VGO1011" s="181"/>
      <c r="VGP1011" s="181"/>
      <c r="VGQ1011" s="181"/>
      <c r="VGR1011" s="181"/>
      <c r="VGS1011" s="181"/>
      <c r="VGT1011" s="181"/>
      <c r="VGU1011" s="181"/>
      <c r="VGV1011" s="181"/>
      <c r="VGW1011" s="181"/>
      <c r="VGX1011" s="181"/>
      <c r="VGY1011" s="181"/>
      <c r="VGZ1011" s="181"/>
      <c r="VHA1011" s="181"/>
      <c r="VHB1011" s="181"/>
      <c r="VHC1011" s="181"/>
      <c r="VHD1011" s="181"/>
      <c r="VHE1011" s="181"/>
      <c r="VHF1011" s="181"/>
      <c r="VHG1011" s="181"/>
      <c r="VHH1011" s="181"/>
      <c r="VHI1011" s="181"/>
      <c r="VHJ1011" s="181"/>
      <c r="VHK1011" s="181"/>
      <c r="VHL1011" s="181"/>
      <c r="VHM1011" s="181"/>
      <c r="VHN1011" s="181"/>
      <c r="VHO1011" s="181"/>
      <c r="VHP1011" s="181"/>
      <c r="VHQ1011" s="181"/>
      <c r="VHR1011" s="181"/>
      <c r="VHS1011" s="181"/>
      <c r="VHT1011" s="181"/>
      <c r="VHU1011" s="181"/>
      <c r="VHV1011" s="181"/>
      <c r="VHW1011" s="181"/>
      <c r="VHX1011" s="181"/>
      <c r="VHY1011" s="181"/>
      <c r="VHZ1011" s="181"/>
      <c r="VIA1011" s="181"/>
      <c r="VIB1011" s="181"/>
      <c r="VIC1011" s="181"/>
      <c r="VID1011" s="181"/>
      <c r="VIE1011" s="181"/>
      <c r="VIF1011" s="181"/>
      <c r="VIG1011" s="181"/>
      <c r="VIH1011" s="181"/>
      <c r="VII1011" s="181"/>
      <c r="VIJ1011" s="181"/>
      <c r="VIK1011" s="181"/>
      <c r="VIL1011" s="181"/>
      <c r="VIM1011" s="181"/>
      <c r="VIN1011" s="181"/>
      <c r="VIO1011" s="181"/>
      <c r="VIP1011" s="181"/>
      <c r="VIQ1011" s="181"/>
      <c r="VIR1011" s="181"/>
      <c r="VIS1011" s="181"/>
      <c r="VIT1011" s="181"/>
      <c r="VIU1011" s="181"/>
      <c r="VIV1011" s="181"/>
      <c r="VIW1011" s="181"/>
      <c r="VIX1011" s="181"/>
      <c r="VIY1011" s="181"/>
      <c r="VIZ1011" s="181"/>
      <c r="VJA1011" s="181"/>
      <c r="VJB1011" s="181"/>
      <c r="VJC1011" s="181"/>
      <c r="VJD1011" s="181"/>
      <c r="VJE1011" s="181"/>
      <c r="VJF1011" s="181"/>
      <c r="VJG1011" s="181"/>
      <c r="VJH1011" s="181"/>
      <c r="VJI1011" s="181"/>
      <c r="VJJ1011" s="181"/>
      <c r="VJK1011" s="181"/>
      <c r="VJL1011" s="181"/>
      <c r="VJM1011" s="181"/>
      <c r="VJN1011" s="181"/>
      <c r="VJO1011" s="181"/>
      <c r="VJP1011" s="181"/>
      <c r="VJQ1011" s="181"/>
      <c r="VJR1011" s="181"/>
      <c r="VJS1011" s="181"/>
      <c r="VJT1011" s="181"/>
      <c r="VJU1011" s="181"/>
      <c r="VJV1011" s="181"/>
      <c r="VJW1011" s="181"/>
      <c r="VJX1011" s="181"/>
      <c r="VJY1011" s="181"/>
      <c r="VJZ1011" s="181"/>
      <c r="VKA1011" s="181"/>
      <c r="VKB1011" s="181"/>
      <c r="VKC1011" s="181"/>
      <c r="VKD1011" s="181"/>
      <c r="VKE1011" s="181"/>
      <c r="VKF1011" s="181"/>
      <c r="VKG1011" s="181"/>
      <c r="VKH1011" s="181"/>
      <c r="VKI1011" s="181"/>
      <c r="VKJ1011" s="181"/>
      <c r="VKK1011" s="181"/>
      <c r="VKL1011" s="181"/>
      <c r="VKM1011" s="181"/>
      <c r="VKN1011" s="181"/>
      <c r="VKO1011" s="181"/>
      <c r="VKP1011" s="181"/>
      <c r="VKQ1011" s="181"/>
      <c r="VKR1011" s="181"/>
      <c r="VKS1011" s="181"/>
      <c r="VKT1011" s="181"/>
      <c r="VKU1011" s="181"/>
      <c r="VKV1011" s="181"/>
      <c r="VKW1011" s="181"/>
      <c r="VKX1011" s="181"/>
      <c r="VKY1011" s="181"/>
      <c r="VKZ1011" s="181"/>
      <c r="VLA1011" s="181"/>
      <c r="VLB1011" s="181"/>
      <c r="VLC1011" s="181"/>
      <c r="VLD1011" s="181"/>
      <c r="VLE1011" s="181"/>
      <c r="VLF1011" s="181"/>
      <c r="VLG1011" s="181"/>
      <c r="VLH1011" s="181"/>
      <c r="VLI1011" s="181"/>
      <c r="VLJ1011" s="181"/>
      <c r="VLK1011" s="181"/>
      <c r="VLL1011" s="181"/>
      <c r="VLM1011" s="181"/>
      <c r="VLN1011" s="181"/>
      <c r="VLO1011" s="181"/>
      <c r="VLP1011" s="181"/>
      <c r="VLQ1011" s="181"/>
      <c r="VLR1011" s="181"/>
      <c r="VLS1011" s="181"/>
      <c r="VLT1011" s="181"/>
      <c r="VLU1011" s="181"/>
      <c r="VLV1011" s="181"/>
      <c r="VLW1011" s="181"/>
      <c r="VLX1011" s="181"/>
      <c r="VLY1011" s="181"/>
      <c r="VLZ1011" s="181"/>
      <c r="VMA1011" s="181"/>
      <c r="VMB1011" s="181"/>
      <c r="VMC1011" s="181"/>
      <c r="VMD1011" s="181"/>
      <c r="VME1011" s="181"/>
      <c r="VMF1011" s="181"/>
      <c r="VMG1011" s="181"/>
      <c r="VMH1011" s="181"/>
      <c r="VMI1011" s="181"/>
      <c r="VMJ1011" s="181"/>
      <c r="VMK1011" s="181"/>
      <c r="VML1011" s="181"/>
      <c r="VMM1011" s="181"/>
      <c r="VMN1011" s="181"/>
      <c r="VMO1011" s="181"/>
      <c r="VMP1011" s="181"/>
      <c r="VMQ1011" s="181"/>
      <c r="VMR1011" s="181"/>
      <c r="VMS1011" s="181"/>
      <c r="VMT1011" s="181"/>
      <c r="VMU1011" s="181"/>
      <c r="VMV1011" s="181"/>
      <c r="VMW1011" s="181"/>
      <c r="VMX1011" s="181"/>
      <c r="VMY1011" s="181"/>
      <c r="VMZ1011" s="181"/>
      <c r="VNA1011" s="181"/>
      <c r="VNB1011" s="181"/>
      <c r="VNC1011" s="181"/>
      <c r="VND1011" s="181"/>
      <c r="VNE1011" s="181"/>
      <c r="VNF1011" s="181"/>
      <c r="VNG1011" s="181"/>
      <c r="VNH1011" s="181"/>
      <c r="VNI1011" s="181"/>
      <c r="VNJ1011" s="181"/>
      <c r="VNK1011" s="181"/>
      <c r="VNL1011" s="181"/>
      <c r="VNM1011" s="181"/>
      <c r="VNN1011" s="181"/>
      <c r="VNO1011" s="181"/>
      <c r="VNP1011" s="181"/>
      <c r="VNQ1011" s="181"/>
      <c r="VNR1011" s="181"/>
      <c r="VNS1011" s="181"/>
      <c r="VNT1011" s="181"/>
      <c r="VNU1011" s="181"/>
      <c r="VNV1011" s="181"/>
      <c r="VNW1011" s="181"/>
      <c r="VNX1011" s="181"/>
      <c r="VNY1011" s="181"/>
      <c r="VNZ1011" s="181"/>
      <c r="VOA1011" s="181"/>
      <c r="VOB1011" s="181"/>
      <c r="VOC1011" s="181"/>
      <c r="VOD1011" s="181"/>
      <c r="VOE1011" s="181"/>
      <c r="VOF1011" s="181"/>
      <c r="VOG1011" s="181"/>
      <c r="VOH1011" s="181"/>
      <c r="VOI1011" s="181"/>
      <c r="VOJ1011" s="181"/>
      <c r="VOK1011" s="181"/>
      <c r="VOL1011" s="181"/>
      <c r="VOM1011" s="181"/>
      <c r="VON1011" s="181"/>
      <c r="VOO1011" s="181"/>
      <c r="VOP1011" s="181"/>
      <c r="VOQ1011" s="181"/>
      <c r="VOR1011" s="181"/>
      <c r="VOS1011" s="181"/>
      <c r="VOT1011" s="181"/>
      <c r="VOU1011" s="181"/>
      <c r="VOV1011" s="181"/>
      <c r="VOW1011" s="181"/>
      <c r="VOX1011" s="181"/>
      <c r="VOY1011" s="181"/>
      <c r="VOZ1011" s="181"/>
      <c r="VPA1011" s="181"/>
      <c r="VPB1011" s="181"/>
      <c r="VPC1011" s="181"/>
      <c r="VPD1011" s="181"/>
      <c r="VPE1011" s="181"/>
      <c r="VPF1011" s="181"/>
      <c r="VPG1011" s="181"/>
      <c r="VPH1011" s="181"/>
      <c r="VPI1011" s="181"/>
      <c r="VPJ1011" s="181"/>
      <c r="VPK1011" s="181"/>
      <c r="VPL1011" s="181"/>
      <c r="VPM1011" s="181"/>
      <c r="VPN1011" s="181"/>
      <c r="VPO1011" s="181"/>
      <c r="VPP1011" s="181"/>
      <c r="VPQ1011" s="181"/>
      <c r="VPR1011" s="181"/>
      <c r="VPS1011" s="181"/>
      <c r="VPT1011" s="181"/>
      <c r="VPU1011" s="181"/>
      <c r="VPV1011" s="181"/>
      <c r="VPW1011" s="181"/>
      <c r="VPX1011" s="181"/>
      <c r="VPY1011" s="181"/>
      <c r="VPZ1011" s="181"/>
      <c r="VQA1011" s="181"/>
      <c r="VQB1011" s="181"/>
      <c r="VQC1011" s="181"/>
      <c r="VQD1011" s="181"/>
      <c r="VQE1011" s="181"/>
      <c r="VQF1011" s="181"/>
      <c r="VQG1011" s="181"/>
      <c r="VQH1011" s="181"/>
      <c r="VQI1011" s="181"/>
      <c r="VQJ1011" s="181"/>
      <c r="VQK1011" s="181"/>
      <c r="VQL1011" s="181"/>
      <c r="VQM1011" s="181"/>
      <c r="VQN1011" s="181"/>
      <c r="VQO1011" s="181"/>
      <c r="VQP1011" s="181"/>
      <c r="VQQ1011" s="181"/>
      <c r="VQR1011" s="181"/>
      <c r="VQS1011" s="181"/>
      <c r="VQT1011" s="181"/>
      <c r="VQU1011" s="181"/>
      <c r="VQV1011" s="181"/>
      <c r="VQW1011" s="181"/>
      <c r="VQX1011" s="181"/>
      <c r="VQY1011" s="181"/>
      <c r="VQZ1011" s="181"/>
      <c r="VRA1011" s="181"/>
      <c r="VRB1011" s="181"/>
      <c r="VRC1011" s="181"/>
      <c r="VRD1011" s="181"/>
      <c r="VRE1011" s="181"/>
      <c r="VRF1011" s="181"/>
      <c r="VRG1011" s="181"/>
      <c r="VRH1011" s="181"/>
      <c r="VRI1011" s="181"/>
      <c r="VRJ1011" s="181"/>
      <c r="VRK1011" s="181"/>
      <c r="VRL1011" s="181"/>
      <c r="VRM1011" s="181"/>
      <c r="VRN1011" s="181"/>
      <c r="VRO1011" s="181"/>
      <c r="VRP1011" s="181"/>
      <c r="VRQ1011" s="181"/>
      <c r="VRR1011" s="181"/>
      <c r="VRS1011" s="181"/>
      <c r="VRT1011" s="181"/>
      <c r="VRU1011" s="181"/>
      <c r="VRV1011" s="181"/>
      <c r="VRW1011" s="181"/>
      <c r="VRX1011" s="181"/>
      <c r="VRY1011" s="181"/>
      <c r="VRZ1011" s="181"/>
      <c r="VSA1011" s="181"/>
      <c r="VSB1011" s="181"/>
      <c r="VSC1011" s="181"/>
      <c r="VSD1011" s="181"/>
      <c r="VSE1011" s="181"/>
      <c r="VSF1011" s="181"/>
      <c r="VSG1011" s="181"/>
      <c r="VSH1011" s="181"/>
      <c r="VSI1011" s="181"/>
      <c r="VSJ1011" s="181"/>
      <c r="VSK1011" s="181"/>
      <c r="VSL1011" s="181"/>
      <c r="VSM1011" s="181"/>
      <c r="VSN1011" s="181"/>
      <c r="VSO1011" s="181"/>
      <c r="VSP1011" s="181"/>
      <c r="VSQ1011" s="181"/>
      <c r="VSR1011" s="181"/>
      <c r="VSS1011" s="181"/>
      <c r="VST1011" s="181"/>
      <c r="VSU1011" s="181"/>
      <c r="VSV1011" s="181"/>
      <c r="VSW1011" s="181"/>
      <c r="VSX1011" s="181"/>
      <c r="VSY1011" s="181"/>
      <c r="VSZ1011" s="181"/>
      <c r="VTA1011" s="181"/>
      <c r="VTB1011" s="181"/>
      <c r="VTC1011" s="181"/>
      <c r="VTD1011" s="181"/>
      <c r="VTE1011" s="181"/>
      <c r="VTF1011" s="181"/>
      <c r="VTG1011" s="181"/>
      <c r="VTH1011" s="181"/>
      <c r="VTI1011" s="181"/>
      <c r="VTJ1011" s="181"/>
      <c r="VTK1011" s="181"/>
      <c r="VTL1011" s="181"/>
      <c r="VTM1011" s="181"/>
      <c r="VTN1011" s="181"/>
      <c r="VTO1011" s="181"/>
      <c r="VTP1011" s="181"/>
      <c r="VTQ1011" s="181"/>
      <c r="VTR1011" s="181"/>
      <c r="VTS1011" s="181"/>
      <c r="VTT1011" s="181"/>
      <c r="VTU1011" s="181"/>
      <c r="VTV1011" s="181"/>
      <c r="VTW1011" s="181"/>
      <c r="VTX1011" s="181"/>
      <c r="VTY1011" s="181"/>
      <c r="VTZ1011" s="181"/>
      <c r="VUA1011" s="181"/>
      <c r="VUB1011" s="181"/>
      <c r="VUC1011" s="181"/>
      <c r="VUD1011" s="181"/>
      <c r="VUE1011" s="181"/>
      <c r="VUF1011" s="181"/>
      <c r="VUG1011" s="181"/>
      <c r="VUH1011" s="181"/>
      <c r="VUI1011" s="181"/>
      <c r="VUJ1011" s="181"/>
      <c r="VUK1011" s="181"/>
      <c r="VUL1011" s="181"/>
      <c r="VUM1011" s="181"/>
      <c r="VUN1011" s="181"/>
      <c r="VUO1011" s="181"/>
      <c r="VUP1011" s="181"/>
      <c r="VUQ1011" s="181"/>
      <c r="VUR1011" s="181"/>
      <c r="VUS1011" s="181"/>
      <c r="VUT1011" s="181"/>
      <c r="VUU1011" s="181"/>
      <c r="VUV1011" s="181"/>
      <c r="VUW1011" s="181"/>
      <c r="VUX1011" s="181"/>
      <c r="VUY1011" s="181"/>
      <c r="VUZ1011" s="181"/>
      <c r="VVA1011" s="181"/>
      <c r="VVB1011" s="181"/>
      <c r="VVC1011" s="181"/>
      <c r="VVD1011" s="181"/>
      <c r="VVE1011" s="181"/>
      <c r="VVF1011" s="181"/>
      <c r="VVG1011" s="181"/>
      <c r="VVH1011" s="181"/>
      <c r="VVI1011" s="181"/>
      <c r="VVJ1011" s="181"/>
      <c r="VVK1011" s="181"/>
      <c r="VVL1011" s="181"/>
      <c r="VVM1011" s="181"/>
      <c r="VVN1011" s="181"/>
      <c r="VVO1011" s="181"/>
      <c r="VVP1011" s="181"/>
      <c r="VVQ1011" s="181"/>
      <c r="VVR1011" s="181"/>
      <c r="VVS1011" s="181"/>
      <c r="VVT1011" s="181"/>
      <c r="VVU1011" s="181"/>
      <c r="VVV1011" s="181"/>
      <c r="VVW1011" s="181"/>
      <c r="VVX1011" s="181"/>
      <c r="VVY1011" s="181"/>
      <c r="VVZ1011" s="181"/>
      <c r="VWA1011" s="181"/>
      <c r="VWB1011" s="181"/>
      <c r="VWC1011" s="181"/>
      <c r="VWD1011" s="181"/>
      <c r="VWE1011" s="181"/>
      <c r="VWF1011" s="181"/>
      <c r="VWG1011" s="181"/>
      <c r="VWH1011" s="181"/>
      <c r="VWI1011" s="181"/>
      <c r="VWJ1011" s="181"/>
      <c r="VWK1011" s="181"/>
      <c r="VWL1011" s="181"/>
      <c r="VWM1011" s="181"/>
      <c r="VWN1011" s="181"/>
      <c r="VWO1011" s="181"/>
      <c r="VWP1011" s="181"/>
      <c r="VWQ1011" s="181"/>
      <c r="VWR1011" s="181"/>
      <c r="VWS1011" s="181"/>
      <c r="VWT1011" s="181"/>
      <c r="VWU1011" s="181"/>
      <c r="VWV1011" s="181"/>
      <c r="VWW1011" s="181"/>
      <c r="VWX1011" s="181"/>
      <c r="VWY1011" s="181"/>
      <c r="VWZ1011" s="181"/>
      <c r="VXA1011" s="181"/>
      <c r="VXB1011" s="181"/>
      <c r="VXC1011" s="181"/>
      <c r="VXD1011" s="181"/>
      <c r="VXE1011" s="181"/>
      <c r="VXF1011" s="181"/>
      <c r="VXG1011" s="181"/>
      <c r="VXH1011" s="181"/>
      <c r="VXI1011" s="181"/>
      <c r="VXJ1011" s="181"/>
      <c r="VXK1011" s="181"/>
      <c r="VXL1011" s="181"/>
      <c r="VXM1011" s="181"/>
      <c r="VXN1011" s="181"/>
      <c r="VXO1011" s="181"/>
      <c r="VXP1011" s="181"/>
      <c r="VXQ1011" s="181"/>
      <c r="VXR1011" s="181"/>
      <c r="VXS1011" s="181"/>
      <c r="VXT1011" s="181"/>
      <c r="VXU1011" s="181"/>
      <c r="VXV1011" s="181"/>
      <c r="VXW1011" s="181"/>
      <c r="VXX1011" s="181"/>
      <c r="VXY1011" s="181"/>
      <c r="VXZ1011" s="181"/>
      <c r="VYA1011" s="181"/>
      <c r="VYB1011" s="181"/>
      <c r="VYC1011" s="181"/>
      <c r="VYD1011" s="181"/>
      <c r="VYE1011" s="181"/>
      <c r="VYF1011" s="181"/>
      <c r="VYG1011" s="181"/>
      <c r="VYH1011" s="181"/>
      <c r="VYI1011" s="181"/>
      <c r="VYJ1011" s="181"/>
      <c r="VYK1011" s="181"/>
      <c r="VYL1011" s="181"/>
      <c r="VYM1011" s="181"/>
      <c r="VYN1011" s="181"/>
      <c r="VYO1011" s="181"/>
      <c r="VYP1011" s="181"/>
      <c r="VYQ1011" s="181"/>
      <c r="VYR1011" s="181"/>
      <c r="VYS1011" s="181"/>
      <c r="VYT1011" s="181"/>
      <c r="VYU1011" s="181"/>
      <c r="VYV1011" s="181"/>
      <c r="VYW1011" s="181"/>
      <c r="VYX1011" s="181"/>
      <c r="VYY1011" s="181"/>
      <c r="VYZ1011" s="181"/>
      <c r="VZA1011" s="181"/>
      <c r="VZB1011" s="181"/>
      <c r="VZC1011" s="181"/>
      <c r="VZD1011" s="181"/>
      <c r="VZE1011" s="181"/>
      <c r="VZF1011" s="181"/>
      <c r="VZG1011" s="181"/>
      <c r="VZH1011" s="181"/>
      <c r="VZI1011" s="181"/>
      <c r="VZJ1011" s="181"/>
      <c r="VZK1011" s="181"/>
      <c r="VZL1011" s="181"/>
      <c r="VZM1011" s="181"/>
      <c r="VZN1011" s="181"/>
      <c r="VZO1011" s="181"/>
      <c r="VZP1011" s="181"/>
      <c r="VZQ1011" s="181"/>
      <c r="VZR1011" s="181"/>
      <c r="VZS1011" s="181"/>
      <c r="VZT1011" s="181"/>
      <c r="VZU1011" s="181"/>
      <c r="VZV1011" s="181"/>
      <c r="VZW1011" s="181"/>
      <c r="VZX1011" s="181"/>
      <c r="VZY1011" s="181"/>
      <c r="VZZ1011" s="181"/>
      <c r="WAA1011" s="181"/>
      <c r="WAB1011" s="181"/>
      <c r="WAC1011" s="181"/>
      <c r="WAD1011" s="181"/>
      <c r="WAE1011" s="181"/>
      <c r="WAF1011" s="181"/>
      <c r="WAG1011" s="181"/>
      <c r="WAH1011" s="181"/>
      <c r="WAI1011" s="181"/>
      <c r="WAJ1011" s="181"/>
      <c r="WAK1011" s="181"/>
      <c r="WAL1011" s="181"/>
      <c r="WAM1011" s="181"/>
      <c r="WAN1011" s="181"/>
      <c r="WAO1011" s="181"/>
      <c r="WAP1011" s="181"/>
      <c r="WAQ1011" s="181"/>
      <c r="WAR1011" s="181"/>
      <c r="WAS1011" s="181"/>
      <c r="WAT1011" s="181"/>
      <c r="WAU1011" s="181"/>
      <c r="WAV1011" s="181"/>
      <c r="WAW1011" s="181"/>
      <c r="WAX1011" s="181"/>
      <c r="WAY1011" s="181"/>
      <c r="WAZ1011" s="181"/>
      <c r="WBA1011" s="181"/>
      <c r="WBB1011" s="181"/>
      <c r="WBC1011" s="181"/>
      <c r="WBD1011" s="181"/>
      <c r="WBE1011" s="181"/>
      <c r="WBF1011" s="181"/>
      <c r="WBG1011" s="181"/>
      <c r="WBH1011" s="181"/>
      <c r="WBI1011" s="181"/>
      <c r="WBJ1011" s="181"/>
      <c r="WBK1011" s="181"/>
      <c r="WBL1011" s="181"/>
      <c r="WBM1011" s="181"/>
      <c r="WBN1011" s="181"/>
      <c r="WBO1011" s="181"/>
      <c r="WBP1011" s="181"/>
      <c r="WBQ1011" s="181"/>
      <c r="WBR1011" s="181"/>
      <c r="WBS1011" s="181"/>
      <c r="WBT1011" s="181"/>
      <c r="WBU1011" s="181"/>
      <c r="WBV1011" s="181"/>
      <c r="WBW1011" s="181"/>
      <c r="WBX1011" s="181"/>
      <c r="WBY1011" s="181"/>
      <c r="WBZ1011" s="181"/>
      <c r="WCA1011" s="181"/>
      <c r="WCB1011" s="181"/>
      <c r="WCC1011" s="181"/>
      <c r="WCD1011" s="181"/>
      <c r="WCE1011" s="181"/>
      <c r="WCF1011" s="181"/>
      <c r="WCG1011" s="181"/>
      <c r="WCH1011" s="181"/>
      <c r="WCI1011" s="181"/>
      <c r="WCJ1011" s="181"/>
      <c r="WCK1011" s="181"/>
      <c r="WCL1011" s="181"/>
      <c r="WCM1011" s="181"/>
      <c r="WCN1011" s="181"/>
      <c r="WCO1011" s="181"/>
      <c r="WCP1011" s="181"/>
      <c r="WCQ1011" s="181"/>
      <c r="WCR1011" s="181"/>
      <c r="WCS1011" s="181"/>
      <c r="WCT1011" s="181"/>
      <c r="WCU1011" s="181"/>
      <c r="WCV1011" s="181"/>
      <c r="WCW1011" s="181"/>
      <c r="WCX1011" s="181"/>
      <c r="WCY1011" s="181"/>
      <c r="WCZ1011" s="181"/>
      <c r="WDA1011" s="181"/>
      <c r="WDB1011" s="181"/>
      <c r="WDC1011" s="181"/>
      <c r="WDD1011" s="181"/>
      <c r="WDE1011" s="181"/>
      <c r="WDF1011" s="181"/>
      <c r="WDG1011" s="181"/>
      <c r="WDH1011" s="181"/>
      <c r="WDI1011" s="181"/>
      <c r="WDJ1011" s="181"/>
      <c r="WDK1011" s="181"/>
      <c r="WDL1011" s="181"/>
      <c r="WDM1011" s="181"/>
      <c r="WDN1011" s="181"/>
      <c r="WDO1011" s="181"/>
      <c r="WDP1011" s="181"/>
      <c r="WDQ1011" s="181"/>
      <c r="WDR1011" s="181"/>
      <c r="WDS1011" s="181"/>
      <c r="WDT1011" s="181"/>
      <c r="WDU1011" s="181"/>
      <c r="WDV1011" s="181"/>
      <c r="WDW1011" s="181"/>
      <c r="WDX1011" s="181"/>
      <c r="WDY1011" s="181"/>
      <c r="WDZ1011" s="181"/>
      <c r="WEA1011" s="181"/>
      <c r="WEB1011" s="181"/>
      <c r="WEC1011" s="181"/>
      <c r="WED1011" s="181"/>
      <c r="WEE1011" s="181"/>
      <c r="WEF1011" s="181"/>
      <c r="WEG1011" s="181"/>
      <c r="WEH1011" s="181"/>
      <c r="WEI1011" s="181"/>
      <c r="WEJ1011" s="181"/>
      <c r="WEK1011" s="181"/>
      <c r="WEL1011" s="181"/>
      <c r="WEM1011" s="181"/>
      <c r="WEN1011" s="181"/>
      <c r="WEO1011" s="181"/>
      <c r="WEP1011" s="181"/>
      <c r="WEQ1011" s="181"/>
      <c r="WER1011" s="181"/>
      <c r="WES1011" s="181"/>
      <c r="WET1011" s="181"/>
      <c r="WEU1011" s="181"/>
      <c r="WEV1011" s="181"/>
      <c r="WEW1011" s="181"/>
      <c r="WEX1011" s="181"/>
      <c r="WEY1011" s="181"/>
      <c r="WEZ1011" s="181"/>
      <c r="WFA1011" s="181"/>
      <c r="WFB1011" s="181"/>
      <c r="WFC1011" s="181"/>
      <c r="WFD1011" s="181"/>
      <c r="WFE1011" s="181"/>
      <c r="WFF1011" s="181"/>
      <c r="WFG1011" s="181"/>
      <c r="WFH1011" s="181"/>
      <c r="WFI1011" s="181"/>
      <c r="WFJ1011" s="181"/>
      <c r="WFK1011" s="181"/>
      <c r="WFL1011" s="181"/>
      <c r="WFM1011" s="181"/>
      <c r="WFN1011" s="181"/>
      <c r="WFO1011" s="181"/>
      <c r="WFP1011" s="181"/>
      <c r="WFQ1011" s="181"/>
      <c r="WFR1011" s="181"/>
      <c r="WFS1011" s="181"/>
      <c r="WFT1011" s="181"/>
      <c r="WFU1011" s="181"/>
      <c r="WFV1011" s="181"/>
      <c r="WFW1011" s="181"/>
      <c r="WFX1011" s="181"/>
      <c r="WFY1011" s="181"/>
      <c r="WFZ1011" s="181"/>
      <c r="WGA1011" s="181"/>
      <c r="WGB1011" s="181"/>
      <c r="WGC1011" s="181"/>
      <c r="WGD1011" s="181"/>
      <c r="WGE1011" s="181"/>
      <c r="WGF1011" s="181"/>
      <c r="WGG1011" s="181"/>
      <c r="WGH1011" s="181"/>
      <c r="WGI1011" s="181"/>
      <c r="WGJ1011" s="181"/>
      <c r="WGK1011" s="181"/>
      <c r="WGL1011" s="181"/>
      <c r="WGM1011" s="181"/>
      <c r="WGN1011" s="181"/>
      <c r="WGO1011" s="181"/>
      <c r="WGP1011" s="181"/>
      <c r="WGQ1011" s="181"/>
      <c r="WGR1011" s="181"/>
      <c r="WGS1011" s="181"/>
      <c r="WGT1011" s="181"/>
      <c r="WGU1011" s="181"/>
      <c r="WGV1011" s="181"/>
      <c r="WGW1011" s="181"/>
      <c r="WGX1011" s="181"/>
      <c r="WGY1011" s="181"/>
      <c r="WGZ1011" s="181"/>
      <c r="WHA1011" s="181"/>
      <c r="WHB1011" s="181"/>
      <c r="WHC1011" s="181"/>
      <c r="WHD1011" s="181"/>
      <c r="WHE1011" s="181"/>
      <c r="WHF1011" s="181"/>
      <c r="WHG1011" s="181"/>
      <c r="WHH1011" s="181"/>
      <c r="WHI1011" s="181"/>
      <c r="WHJ1011" s="181"/>
      <c r="WHK1011" s="181"/>
      <c r="WHL1011" s="181"/>
      <c r="WHM1011" s="181"/>
      <c r="WHN1011" s="181"/>
      <c r="WHO1011" s="181"/>
      <c r="WHP1011" s="181"/>
      <c r="WHQ1011" s="181"/>
      <c r="WHR1011" s="181"/>
      <c r="WHS1011" s="181"/>
      <c r="WHT1011" s="181"/>
      <c r="WHU1011" s="181"/>
      <c r="WHV1011" s="181"/>
      <c r="WHW1011" s="181"/>
      <c r="WHX1011" s="181"/>
      <c r="WHY1011" s="181"/>
      <c r="WHZ1011" s="181"/>
      <c r="WIA1011" s="181"/>
      <c r="WIB1011" s="181"/>
      <c r="WIC1011" s="181"/>
      <c r="WID1011" s="181"/>
      <c r="WIE1011" s="181"/>
      <c r="WIF1011" s="181"/>
      <c r="WIG1011" s="181"/>
      <c r="WIH1011" s="181"/>
      <c r="WII1011" s="181"/>
      <c r="WIJ1011" s="181"/>
      <c r="WIK1011" s="181"/>
      <c r="WIL1011" s="181"/>
      <c r="WIM1011" s="181"/>
      <c r="WIN1011" s="181"/>
      <c r="WIO1011" s="181"/>
      <c r="WIP1011" s="181"/>
      <c r="WIQ1011" s="181"/>
      <c r="WIR1011" s="181"/>
      <c r="WIS1011" s="181"/>
      <c r="WIT1011" s="181"/>
      <c r="WIU1011" s="181"/>
      <c r="WIV1011" s="181"/>
      <c r="WIW1011" s="181"/>
      <c r="WIX1011" s="181"/>
      <c r="WIY1011" s="181"/>
      <c r="WIZ1011" s="181"/>
      <c r="WJA1011" s="181"/>
      <c r="WJB1011" s="181"/>
      <c r="WJC1011" s="181"/>
      <c r="WJD1011" s="181"/>
      <c r="WJE1011" s="181"/>
      <c r="WJF1011" s="181"/>
      <c r="WJG1011" s="181"/>
      <c r="WJH1011" s="181"/>
      <c r="WJI1011" s="181"/>
      <c r="WJJ1011" s="181"/>
      <c r="WJK1011" s="181"/>
      <c r="WJL1011" s="181"/>
      <c r="WJM1011" s="181"/>
      <c r="WJN1011" s="181"/>
      <c r="WJO1011" s="181"/>
      <c r="WJP1011" s="181"/>
      <c r="WJQ1011" s="181"/>
      <c r="WJR1011" s="181"/>
      <c r="WJS1011" s="181"/>
      <c r="WJT1011" s="181"/>
      <c r="WJU1011" s="181"/>
      <c r="WJV1011" s="181"/>
      <c r="WJW1011" s="181"/>
      <c r="WJX1011" s="181"/>
      <c r="WJY1011" s="181"/>
      <c r="WJZ1011" s="181"/>
      <c r="WKA1011" s="181"/>
      <c r="WKB1011" s="181"/>
      <c r="WKC1011" s="181"/>
      <c r="WKD1011" s="181"/>
      <c r="WKE1011" s="181"/>
      <c r="WKF1011" s="181"/>
      <c r="WKG1011" s="181"/>
      <c r="WKH1011" s="181"/>
      <c r="WKI1011" s="181"/>
      <c r="WKJ1011" s="181"/>
      <c r="WKK1011" s="181"/>
      <c r="WKL1011" s="181"/>
      <c r="WKM1011" s="181"/>
      <c r="WKN1011" s="181"/>
      <c r="WKO1011" s="181"/>
      <c r="WKP1011" s="181"/>
      <c r="WKQ1011" s="181"/>
      <c r="WKR1011" s="181"/>
      <c r="WKS1011" s="181"/>
      <c r="WKT1011" s="181"/>
      <c r="WKU1011" s="181"/>
      <c r="WKV1011" s="181"/>
      <c r="WKW1011" s="181"/>
      <c r="WKX1011" s="181"/>
      <c r="WKY1011" s="181"/>
      <c r="WKZ1011" s="181"/>
      <c r="WLA1011" s="181"/>
      <c r="WLB1011" s="181"/>
      <c r="WLC1011" s="181"/>
      <c r="WLD1011" s="181"/>
      <c r="WLE1011" s="181"/>
      <c r="WLF1011" s="181"/>
      <c r="WLG1011" s="181"/>
      <c r="WLH1011" s="181"/>
      <c r="WLI1011" s="181"/>
      <c r="WLJ1011" s="181"/>
      <c r="WLK1011" s="181"/>
      <c r="WLL1011" s="181"/>
      <c r="WLM1011" s="181"/>
      <c r="WLN1011" s="181"/>
      <c r="WLO1011" s="181"/>
      <c r="WLP1011" s="181"/>
      <c r="WLQ1011" s="181"/>
      <c r="WLR1011" s="181"/>
      <c r="WLS1011" s="181"/>
      <c r="WLT1011" s="181"/>
      <c r="WLU1011" s="181"/>
      <c r="WLV1011" s="181"/>
      <c r="WLW1011" s="181"/>
      <c r="WLX1011" s="181"/>
      <c r="WLY1011" s="181"/>
      <c r="WLZ1011" s="181"/>
      <c r="WMA1011" s="181"/>
      <c r="WMB1011" s="181"/>
      <c r="WMC1011" s="181"/>
      <c r="WMD1011" s="181"/>
      <c r="WME1011" s="181"/>
      <c r="WMF1011" s="181"/>
      <c r="WMG1011" s="181"/>
      <c r="WMH1011" s="181"/>
      <c r="WMI1011" s="181"/>
      <c r="WMJ1011" s="181"/>
      <c r="WMK1011" s="181"/>
      <c r="WML1011" s="181"/>
      <c r="WMM1011" s="181"/>
      <c r="WMN1011" s="181"/>
      <c r="WMO1011" s="181"/>
      <c r="WMP1011" s="181"/>
      <c r="WMQ1011" s="181"/>
      <c r="WMR1011" s="181"/>
      <c r="WMS1011" s="181"/>
      <c r="WMT1011" s="181"/>
      <c r="WMU1011" s="181"/>
      <c r="WMV1011" s="181"/>
      <c r="WMW1011" s="181"/>
      <c r="WMX1011" s="181"/>
      <c r="WMY1011" s="181"/>
      <c r="WMZ1011" s="181"/>
      <c r="WNA1011" s="181"/>
      <c r="WNB1011" s="181"/>
      <c r="WNC1011" s="181"/>
      <c r="WND1011" s="181"/>
      <c r="WNE1011" s="181"/>
      <c r="WNF1011" s="181"/>
      <c r="WNG1011" s="181"/>
      <c r="WNH1011" s="181"/>
      <c r="WNI1011" s="181"/>
      <c r="WNJ1011" s="181"/>
      <c r="WNK1011" s="181"/>
      <c r="WNL1011" s="181"/>
      <c r="WNM1011" s="181"/>
      <c r="WNN1011" s="181"/>
      <c r="WNO1011" s="181"/>
      <c r="WNP1011" s="181"/>
      <c r="WNQ1011" s="181"/>
      <c r="WNR1011" s="181"/>
      <c r="WNS1011" s="181"/>
      <c r="WNT1011" s="181"/>
      <c r="WNU1011" s="181"/>
      <c r="WNV1011" s="181"/>
      <c r="WNW1011" s="181"/>
      <c r="WNX1011" s="181"/>
      <c r="WNY1011" s="181"/>
      <c r="WNZ1011" s="181"/>
      <c r="WOA1011" s="181"/>
      <c r="WOB1011" s="181"/>
      <c r="WOC1011" s="181"/>
      <c r="WOD1011" s="181"/>
      <c r="WOE1011" s="181"/>
      <c r="WOF1011" s="181"/>
      <c r="WOG1011" s="181"/>
      <c r="WOH1011" s="181"/>
      <c r="WOI1011" s="181"/>
      <c r="WOJ1011" s="181"/>
      <c r="WOK1011" s="181"/>
      <c r="WOL1011" s="181"/>
      <c r="WOM1011" s="181"/>
      <c r="WON1011" s="181"/>
      <c r="WOO1011" s="181"/>
      <c r="WOP1011" s="181"/>
      <c r="WOQ1011" s="181"/>
      <c r="WOR1011" s="181"/>
      <c r="WOS1011" s="181"/>
      <c r="WOT1011" s="181"/>
      <c r="WOU1011" s="181"/>
      <c r="WOV1011" s="181"/>
      <c r="WOW1011" s="181"/>
      <c r="WOX1011" s="181"/>
      <c r="WOY1011" s="181"/>
      <c r="WOZ1011" s="181"/>
      <c r="WPA1011" s="181"/>
      <c r="WPB1011" s="181"/>
      <c r="WPC1011" s="181"/>
      <c r="WPD1011" s="181"/>
      <c r="WPE1011" s="181"/>
      <c r="WPF1011" s="181"/>
      <c r="WPG1011" s="181"/>
      <c r="WPH1011" s="181"/>
      <c r="WPI1011" s="181"/>
      <c r="WPJ1011" s="181"/>
      <c r="WPK1011" s="181"/>
      <c r="WPL1011" s="181"/>
      <c r="WPM1011" s="181"/>
      <c r="WPN1011" s="181"/>
      <c r="WPO1011" s="181"/>
      <c r="WPP1011" s="181"/>
      <c r="WPQ1011" s="181"/>
      <c r="WPR1011" s="181"/>
      <c r="WPS1011" s="181"/>
      <c r="WPT1011" s="181"/>
      <c r="WPU1011" s="181"/>
      <c r="WPV1011" s="181"/>
      <c r="WPW1011" s="181"/>
      <c r="WPX1011" s="181"/>
      <c r="WPY1011" s="181"/>
      <c r="WPZ1011" s="181"/>
      <c r="WQA1011" s="181"/>
      <c r="WQB1011" s="181"/>
      <c r="WQC1011" s="181"/>
      <c r="WQD1011" s="181"/>
      <c r="WQE1011" s="181"/>
      <c r="WQF1011" s="181"/>
      <c r="WQG1011" s="181"/>
      <c r="WQH1011" s="181"/>
      <c r="WQI1011" s="181"/>
      <c r="WQJ1011" s="181"/>
      <c r="WQK1011" s="181"/>
      <c r="WQL1011" s="181"/>
      <c r="WQM1011" s="181"/>
      <c r="WQN1011" s="181"/>
      <c r="WQO1011" s="181"/>
      <c r="WQP1011" s="181"/>
      <c r="WQQ1011" s="181"/>
      <c r="WQR1011" s="181"/>
      <c r="WQS1011" s="181"/>
      <c r="WQT1011" s="181"/>
      <c r="WQU1011" s="181"/>
      <c r="WQV1011" s="181"/>
      <c r="WQW1011" s="181"/>
      <c r="WQX1011" s="181"/>
      <c r="WQY1011" s="181"/>
      <c r="WQZ1011" s="181"/>
      <c r="WRA1011" s="181"/>
      <c r="WRB1011" s="181"/>
      <c r="WRC1011" s="181"/>
      <c r="WRD1011" s="181"/>
      <c r="WRE1011" s="181"/>
      <c r="WRF1011" s="181"/>
      <c r="WRG1011" s="181"/>
      <c r="WRH1011" s="181"/>
      <c r="WRI1011" s="181"/>
      <c r="WRJ1011" s="181"/>
      <c r="WRK1011" s="181"/>
      <c r="WRL1011" s="181"/>
      <c r="WRM1011" s="181"/>
      <c r="WRN1011" s="181"/>
      <c r="WRO1011" s="181"/>
      <c r="WRP1011" s="181"/>
      <c r="WRQ1011" s="181"/>
      <c r="WRR1011" s="181"/>
      <c r="WRS1011" s="181"/>
      <c r="WRT1011" s="181"/>
      <c r="WRU1011" s="181"/>
      <c r="WRV1011" s="181"/>
      <c r="WRW1011" s="181"/>
      <c r="WRX1011" s="181"/>
      <c r="WRY1011" s="181"/>
      <c r="WRZ1011" s="181"/>
      <c r="WSA1011" s="181"/>
      <c r="WSB1011" s="181"/>
      <c r="WSC1011" s="181"/>
      <c r="WSD1011" s="181"/>
      <c r="WSE1011" s="181"/>
      <c r="WSF1011" s="181"/>
      <c r="WSG1011" s="181"/>
      <c r="WSH1011" s="181"/>
      <c r="WSI1011" s="181"/>
      <c r="WSJ1011" s="181"/>
      <c r="WSK1011" s="181"/>
      <c r="WSL1011" s="181"/>
      <c r="WSM1011" s="181"/>
      <c r="WSN1011" s="181"/>
      <c r="WSO1011" s="181"/>
      <c r="WSP1011" s="181"/>
      <c r="WSQ1011" s="181"/>
      <c r="WSR1011" s="181"/>
      <c r="WSS1011" s="181"/>
      <c r="WST1011" s="181"/>
      <c r="WSU1011" s="181"/>
      <c r="WSV1011" s="181"/>
      <c r="WSW1011" s="181"/>
      <c r="WSX1011" s="181"/>
      <c r="WSY1011" s="181"/>
      <c r="WSZ1011" s="181"/>
      <c r="WTA1011" s="181"/>
      <c r="WTB1011" s="181"/>
      <c r="WTC1011" s="181"/>
      <c r="WTD1011" s="181"/>
      <c r="WTE1011" s="181"/>
      <c r="WTF1011" s="181"/>
      <c r="WTG1011" s="181"/>
      <c r="WTH1011" s="181"/>
      <c r="WTI1011" s="181"/>
      <c r="WTJ1011" s="181"/>
      <c r="WTK1011" s="181"/>
      <c r="WTL1011" s="181"/>
      <c r="WTM1011" s="181"/>
      <c r="WTN1011" s="181"/>
      <c r="WTO1011" s="181"/>
      <c r="WTP1011" s="181"/>
      <c r="WTQ1011" s="181"/>
      <c r="WTR1011" s="181"/>
      <c r="WTS1011" s="181"/>
      <c r="WTT1011" s="181"/>
      <c r="WTU1011" s="181"/>
      <c r="WTV1011" s="181"/>
      <c r="WTW1011" s="181"/>
      <c r="WTX1011" s="181"/>
      <c r="WTY1011" s="181"/>
      <c r="WTZ1011" s="181"/>
      <c r="WUA1011" s="181"/>
      <c r="WUB1011" s="181"/>
      <c r="WUC1011" s="181"/>
      <c r="WUD1011" s="181"/>
      <c r="WUE1011" s="181"/>
      <c r="WUF1011" s="181"/>
      <c r="WUG1011" s="181"/>
      <c r="WUH1011" s="181"/>
      <c r="WUI1011" s="181"/>
      <c r="WUJ1011" s="181"/>
      <c r="WUK1011" s="181"/>
      <c r="WUL1011" s="181"/>
      <c r="WUM1011" s="181"/>
      <c r="WUN1011" s="181"/>
      <c r="WUO1011" s="181"/>
      <c r="WUP1011" s="181"/>
      <c r="WUQ1011" s="181"/>
      <c r="WUR1011" s="181"/>
      <c r="WUS1011" s="181"/>
      <c r="WUT1011" s="181"/>
      <c r="WUU1011" s="181"/>
      <c r="WUV1011" s="181"/>
      <c r="WUW1011" s="181"/>
      <c r="WUX1011" s="181"/>
      <c r="WUY1011" s="181"/>
      <c r="WUZ1011" s="181"/>
      <c r="WVA1011" s="181"/>
      <c r="WVB1011" s="181"/>
      <c r="WVC1011" s="181"/>
      <c r="WVD1011" s="181"/>
      <c r="WVE1011" s="181"/>
      <c r="WVF1011" s="181"/>
      <c r="WVG1011" s="181"/>
      <c r="WVH1011" s="181"/>
      <c r="WVI1011" s="181"/>
      <c r="WVJ1011" s="181"/>
      <c r="WVK1011" s="181"/>
      <c r="WVL1011" s="181"/>
      <c r="WVM1011" s="181"/>
      <c r="WVN1011" s="181"/>
      <c r="WVO1011" s="181"/>
      <c r="WVP1011" s="181"/>
      <c r="WVQ1011" s="181"/>
      <c r="WVR1011" s="181"/>
      <c r="WVS1011" s="181"/>
      <c r="WVT1011" s="181"/>
      <c r="WVU1011" s="181"/>
      <c r="WVV1011" s="181"/>
      <c r="WVW1011" s="181"/>
      <c r="WVX1011" s="181"/>
      <c r="WVY1011" s="181"/>
      <c r="WVZ1011" s="181"/>
      <c r="WWA1011" s="181"/>
      <c r="WWB1011" s="181"/>
      <c r="WWC1011" s="181"/>
      <c r="WWD1011" s="181"/>
      <c r="WWE1011" s="181"/>
      <c r="WWF1011" s="181"/>
      <c r="WWG1011" s="181"/>
      <c r="WWH1011" s="181"/>
      <c r="WWI1011" s="181"/>
      <c r="WWJ1011" s="181"/>
      <c r="WWK1011" s="181"/>
      <c r="WWL1011" s="181"/>
      <c r="WWM1011" s="181"/>
      <c r="WWN1011" s="181"/>
      <c r="WWO1011" s="181"/>
      <c r="WWP1011" s="181"/>
      <c r="WWQ1011" s="181"/>
      <c r="WWR1011" s="181"/>
      <c r="WWS1011" s="181"/>
      <c r="WWT1011" s="181"/>
      <c r="WWU1011" s="181"/>
      <c r="WWV1011" s="181"/>
      <c r="WWW1011" s="181"/>
      <c r="WWX1011" s="181"/>
      <c r="WWY1011" s="181"/>
      <c r="WWZ1011" s="181"/>
      <c r="WXA1011" s="181"/>
      <c r="WXB1011" s="181"/>
      <c r="WXC1011" s="181"/>
      <c r="WXD1011" s="181"/>
      <c r="WXE1011" s="181"/>
      <c r="WXF1011" s="181"/>
      <c r="WXG1011" s="181"/>
      <c r="WXH1011" s="181"/>
      <c r="WXI1011" s="181"/>
      <c r="WXJ1011" s="181"/>
      <c r="WXK1011" s="181"/>
      <c r="WXL1011" s="181"/>
      <c r="WXM1011" s="181"/>
      <c r="WXN1011" s="181"/>
      <c r="WXO1011" s="181"/>
      <c r="WXP1011" s="181"/>
      <c r="WXQ1011" s="181"/>
      <c r="WXR1011" s="181"/>
      <c r="WXS1011" s="181"/>
      <c r="WXT1011" s="181"/>
      <c r="WXU1011" s="181"/>
      <c r="WXV1011" s="181"/>
      <c r="WXW1011" s="181"/>
      <c r="WXX1011" s="181"/>
      <c r="WXY1011" s="181"/>
      <c r="WXZ1011" s="181"/>
      <c r="WYA1011" s="181"/>
      <c r="WYB1011" s="181"/>
      <c r="WYC1011" s="181"/>
      <c r="WYD1011" s="181"/>
      <c r="WYE1011" s="181"/>
      <c r="WYF1011" s="181"/>
      <c r="WYG1011" s="181"/>
      <c r="WYH1011" s="181"/>
      <c r="WYI1011" s="181"/>
      <c r="WYJ1011" s="181"/>
      <c r="WYK1011" s="181"/>
      <c r="WYL1011" s="181"/>
      <c r="WYM1011" s="181"/>
      <c r="WYN1011" s="181"/>
      <c r="WYO1011" s="181"/>
      <c r="WYP1011" s="181"/>
      <c r="WYQ1011" s="181"/>
      <c r="WYR1011" s="181"/>
      <c r="WYS1011" s="181"/>
      <c r="WYT1011" s="181"/>
      <c r="WYU1011" s="181"/>
      <c r="WYV1011" s="181"/>
      <c r="WYW1011" s="181"/>
      <c r="WYX1011" s="181"/>
      <c r="WYY1011" s="181"/>
      <c r="WYZ1011" s="181"/>
      <c r="WZA1011" s="181"/>
      <c r="WZB1011" s="181"/>
      <c r="WZC1011" s="181"/>
      <c r="WZD1011" s="181"/>
      <c r="WZE1011" s="181"/>
      <c r="WZF1011" s="181"/>
      <c r="WZG1011" s="181"/>
      <c r="WZH1011" s="181"/>
      <c r="WZI1011" s="181"/>
      <c r="WZJ1011" s="181"/>
      <c r="WZK1011" s="181"/>
      <c r="WZL1011" s="181"/>
      <c r="WZM1011" s="181"/>
      <c r="WZN1011" s="181"/>
      <c r="WZO1011" s="181"/>
      <c r="WZP1011" s="181"/>
      <c r="WZQ1011" s="181"/>
      <c r="WZR1011" s="181"/>
      <c r="WZS1011" s="181"/>
      <c r="WZT1011" s="181"/>
      <c r="WZU1011" s="181"/>
      <c r="WZV1011" s="181"/>
      <c r="WZW1011" s="181"/>
      <c r="WZX1011" s="181"/>
      <c r="WZY1011" s="181"/>
      <c r="WZZ1011" s="181"/>
      <c r="XAA1011" s="181"/>
      <c r="XAB1011" s="181"/>
      <c r="XAC1011" s="181"/>
      <c r="XAD1011" s="181"/>
      <c r="XAE1011" s="181"/>
      <c r="XAF1011" s="181"/>
      <c r="XAG1011" s="181"/>
      <c r="XAH1011" s="181"/>
      <c r="XAI1011" s="181"/>
      <c r="XAJ1011" s="181"/>
      <c r="XAK1011" s="181"/>
      <c r="XAL1011" s="181"/>
      <c r="XAM1011" s="181"/>
      <c r="XAN1011" s="181"/>
      <c r="XAO1011" s="181"/>
      <c r="XAP1011" s="181"/>
      <c r="XAQ1011" s="181"/>
      <c r="XAR1011" s="181"/>
      <c r="XAS1011" s="181"/>
      <c r="XAT1011" s="181"/>
      <c r="XAU1011" s="181"/>
      <c r="XAV1011" s="181"/>
      <c r="XAW1011" s="181"/>
      <c r="XAX1011" s="181"/>
      <c r="XAY1011" s="181"/>
      <c r="XAZ1011" s="181"/>
      <c r="XBA1011" s="181"/>
      <c r="XBB1011" s="181"/>
      <c r="XBC1011" s="181"/>
      <c r="XBD1011" s="181"/>
      <c r="XBE1011" s="181"/>
      <c r="XBF1011" s="181"/>
      <c r="XBG1011" s="181"/>
      <c r="XBH1011" s="181"/>
      <c r="XBI1011" s="181"/>
      <c r="XBJ1011" s="181"/>
      <c r="XBK1011" s="181"/>
      <c r="XBL1011" s="181"/>
      <c r="XBM1011" s="181"/>
      <c r="XBN1011" s="181"/>
      <c r="XBO1011" s="181"/>
      <c r="XBP1011" s="181"/>
      <c r="XBQ1011" s="181"/>
      <c r="XBR1011" s="181"/>
      <c r="XBS1011" s="181"/>
      <c r="XBT1011" s="181"/>
      <c r="XBU1011" s="181"/>
      <c r="XBV1011" s="181"/>
      <c r="XBW1011" s="181"/>
      <c r="XBX1011" s="181"/>
      <c r="XBY1011" s="181"/>
      <c r="XBZ1011" s="181"/>
      <c r="XCA1011" s="181"/>
      <c r="XCB1011" s="181"/>
      <c r="XCC1011" s="181"/>
      <c r="XCD1011" s="181"/>
      <c r="XCE1011" s="181"/>
      <c r="XCF1011" s="181"/>
      <c r="XCG1011" s="181"/>
      <c r="XCH1011" s="181"/>
      <c r="XCI1011" s="181"/>
      <c r="XCJ1011" s="181"/>
      <c r="XCK1011" s="181"/>
      <c r="XCL1011" s="181"/>
      <c r="XCM1011" s="181"/>
      <c r="XCN1011" s="181"/>
      <c r="XCO1011" s="181"/>
      <c r="XCP1011" s="181"/>
      <c r="XCQ1011" s="181"/>
      <c r="XCR1011" s="181"/>
      <c r="XCS1011" s="181"/>
      <c r="XCT1011" s="181"/>
      <c r="XCU1011" s="181"/>
      <c r="XCV1011" s="181"/>
      <c r="XCW1011" s="181"/>
      <c r="XCX1011" s="181"/>
      <c r="XCY1011" s="181"/>
      <c r="XCZ1011" s="181"/>
      <c r="XDA1011" s="181"/>
      <c r="XDB1011" s="181"/>
      <c r="XDC1011" s="181"/>
      <c r="XDD1011" s="181"/>
      <c r="XDE1011" s="181"/>
      <c r="XDF1011" s="181"/>
      <c r="XDG1011" s="181"/>
      <c r="XDH1011" s="181"/>
      <c r="XDI1011" s="181"/>
      <c r="XDJ1011" s="181"/>
      <c r="XDK1011" s="181"/>
      <c r="XDL1011" s="181"/>
      <c r="XDM1011" s="181"/>
      <c r="XDN1011" s="181"/>
      <c r="XDO1011" s="181"/>
      <c r="XDP1011" s="181"/>
      <c r="XDQ1011" s="181"/>
      <c r="XDR1011" s="181"/>
      <c r="XDS1011" s="181"/>
      <c r="XDT1011" s="181"/>
      <c r="XDU1011" s="181"/>
      <c r="XDV1011" s="181"/>
      <c r="XDW1011" s="181"/>
      <c r="XDX1011" s="181"/>
      <c r="XDY1011" s="181"/>
      <c r="XDZ1011" s="181"/>
      <c r="XEA1011" s="181"/>
      <c r="XEB1011" s="181"/>
      <c r="XEC1011" s="181"/>
      <c r="XED1011" s="181"/>
      <c r="XEE1011" s="181"/>
      <c r="XEF1011" s="181"/>
      <c r="XEG1011" s="181"/>
      <c r="XEH1011" s="181"/>
      <c r="XEI1011" s="181"/>
      <c r="XEJ1011" s="181"/>
      <c r="XEK1011" s="181"/>
      <c r="XEL1011" s="181"/>
      <c r="XEM1011" s="181"/>
      <c r="XEN1011" s="181"/>
      <c r="XEO1011" s="181"/>
      <c r="XEP1011" s="181"/>
      <c r="XEQ1011" s="181"/>
      <c r="XER1011" s="181"/>
      <c r="XES1011" s="181"/>
      <c r="XET1011" s="181"/>
      <c r="XEU1011" s="181"/>
      <c r="XEV1011" s="181"/>
      <c r="XEW1011" s="181"/>
      <c r="XEX1011" s="181"/>
      <c r="XEY1011" s="181"/>
      <c r="XEZ1011" s="181"/>
      <c r="XFA1011" s="181"/>
      <c r="XFB1011" s="259"/>
    </row>
    <row r="1012" spans="1:16382" ht="24" x14ac:dyDescent="0.25">
      <c r="B1012" s="136">
        <v>1407043</v>
      </c>
      <c r="C1012" s="128" t="s">
        <v>934</v>
      </c>
      <c r="D1012" s="128" t="s">
        <v>2493</v>
      </c>
      <c r="E1012" s="147" t="s">
        <v>38</v>
      </c>
      <c r="F1012" s="129" t="s">
        <v>2494</v>
      </c>
      <c r="G1012" s="147" t="s">
        <v>1731</v>
      </c>
      <c r="H1012" s="189">
        <f t="shared" si="16"/>
        <v>5.4799999999999995</v>
      </c>
      <c r="I1012" s="210" t="s">
        <v>2495</v>
      </c>
      <c r="J1012" s="146">
        <v>30</v>
      </c>
      <c r="K1012" s="147">
        <v>9</v>
      </c>
      <c r="L1012" s="147">
        <v>1</v>
      </c>
      <c r="M1012" s="147">
        <v>10</v>
      </c>
      <c r="N1012" s="275">
        <v>1250</v>
      </c>
      <c r="O1012" s="173">
        <v>7.03</v>
      </c>
      <c r="P1012" s="179">
        <v>46038</v>
      </c>
      <c r="Q1012" s="173">
        <v>5.43</v>
      </c>
      <c r="R1012" s="260">
        <v>0.05</v>
      </c>
      <c r="S1012" s="147"/>
      <c r="T1012" s="129" t="s">
        <v>2089</v>
      </c>
      <c r="U1012" s="147" t="s">
        <v>37</v>
      </c>
      <c r="V1012" s="129"/>
      <c r="W1012" s="147" t="s">
        <v>2208</v>
      </c>
      <c r="X1012" s="205"/>
      <c r="Y1012" s="251"/>
      <c r="Z1012" s="290"/>
      <c r="AA1012" s="230"/>
    </row>
    <row r="1013" spans="1:16382" ht="24" x14ac:dyDescent="0.25">
      <c r="B1013" s="136">
        <v>1407044</v>
      </c>
      <c r="C1013" s="128" t="s">
        <v>934</v>
      </c>
      <c r="D1013" s="128" t="s">
        <v>2509</v>
      </c>
      <c r="E1013" s="147" t="s">
        <v>38</v>
      </c>
      <c r="F1013" s="129" t="s">
        <v>2534</v>
      </c>
      <c r="G1013" s="147" t="s">
        <v>1731</v>
      </c>
      <c r="H1013" s="189">
        <f t="shared" si="16"/>
        <v>4.08</v>
      </c>
      <c r="I1013" s="136" t="s">
        <v>2649</v>
      </c>
      <c r="J1013" s="146">
        <v>30</v>
      </c>
      <c r="K1013" s="147">
        <v>11</v>
      </c>
      <c r="L1013" s="147">
        <v>1</v>
      </c>
      <c r="M1013" s="147">
        <v>12</v>
      </c>
      <c r="N1013" s="275">
        <v>15000</v>
      </c>
      <c r="O1013" s="173">
        <v>4.4000000000000004</v>
      </c>
      <c r="P1013" s="179">
        <v>46062</v>
      </c>
      <c r="Q1013" s="173">
        <v>4.03</v>
      </c>
      <c r="R1013" s="260">
        <v>0.05</v>
      </c>
      <c r="S1013" s="147"/>
      <c r="T1013" s="129" t="s">
        <v>2089</v>
      </c>
      <c r="U1013" s="147" t="s">
        <v>37</v>
      </c>
      <c r="V1013" s="129"/>
      <c r="W1013" s="147" t="s">
        <v>2208</v>
      </c>
      <c r="X1013" s="205"/>
      <c r="Y1013" s="251"/>
      <c r="Z1013" s="290"/>
      <c r="AA1013" s="230"/>
    </row>
    <row r="1014" spans="1:16382" x14ac:dyDescent="0.25">
      <c r="B1014" s="136">
        <v>1407045</v>
      </c>
      <c r="C1014" s="128" t="s">
        <v>934</v>
      </c>
      <c r="D1014" s="128" t="s">
        <v>2516</v>
      </c>
      <c r="E1014" s="147" t="s">
        <v>38</v>
      </c>
      <c r="F1014" s="129" t="s">
        <v>2510</v>
      </c>
      <c r="G1014" s="147" t="s">
        <v>1731</v>
      </c>
      <c r="H1014" s="189">
        <f t="shared" si="16"/>
        <v>2.5</v>
      </c>
      <c r="I1014" s="136"/>
      <c r="J1014" s="146">
        <v>0</v>
      </c>
      <c r="K1014" s="147">
        <v>4</v>
      </c>
      <c r="L1014" s="147">
        <v>1</v>
      </c>
      <c r="M1014" s="147">
        <v>5</v>
      </c>
      <c r="N1014" s="275">
        <v>11000</v>
      </c>
      <c r="O1014" s="173"/>
      <c r="P1014" s="179">
        <v>46051</v>
      </c>
      <c r="Q1014" s="173">
        <v>2.5</v>
      </c>
      <c r="R1014" s="260">
        <v>0</v>
      </c>
      <c r="S1014" s="147"/>
      <c r="T1014" s="129" t="s">
        <v>102</v>
      </c>
      <c r="U1014" s="147" t="s">
        <v>35</v>
      </c>
      <c r="V1014" s="129"/>
      <c r="W1014" s="147" t="s">
        <v>2210</v>
      </c>
      <c r="X1014" s="205"/>
      <c r="Y1014" s="253" t="s">
        <v>2524</v>
      </c>
      <c r="Z1014" s="290"/>
      <c r="AA1014" s="230"/>
    </row>
    <row r="1015" spans="1:16382" ht="24" x14ac:dyDescent="0.25">
      <c r="B1015" s="136">
        <v>1407046</v>
      </c>
      <c r="C1015" s="128" t="s">
        <v>934</v>
      </c>
      <c r="D1015" s="128" t="s">
        <v>2578</v>
      </c>
      <c r="E1015" s="147" t="s">
        <v>38</v>
      </c>
      <c r="F1015" s="129" t="s">
        <v>2579</v>
      </c>
      <c r="G1015" s="147" t="s">
        <v>1731</v>
      </c>
      <c r="H1015" s="189">
        <f t="shared" si="16"/>
        <v>0.4</v>
      </c>
      <c r="I1015" s="136" t="s">
        <v>2582</v>
      </c>
      <c r="J1015" s="146"/>
      <c r="K1015" s="147">
        <v>22</v>
      </c>
      <c r="L1015" s="147">
        <v>8</v>
      </c>
      <c r="M1015" s="147">
        <f>150/5</f>
        <v>30</v>
      </c>
      <c r="N1015" s="275">
        <v>10000</v>
      </c>
      <c r="O1015" s="173">
        <v>0.27</v>
      </c>
      <c r="P1015" s="179">
        <v>46092</v>
      </c>
      <c r="Q1015" s="173">
        <f>0.27+0.08</f>
        <v>0.35000000000000003</v>
      </c>
      <c r="R1015" s="260">
        <v>0.05</v>
      </c>
      <c r="S1015" s="147"/>
      <c r="T1015" s="129" t="s">
        <v>2089</v>
      </c>
      <c r="U1015" s="147" t="s">
        <v>37</v>
      </c>
      <c r="V1015" s="129"/>
      <c r="W1015" s="147" t="s">
        <v>2208</v>
      </c>
      <c r="X1015" s="205" t="s">
        <v>1988</v>
      </c>
      <c r="Y1015" s="251"/>
      <c r="Z1015" s="290"/>
      <c r="AA1015" s="230"/>
    </row>
    <row r="1016" spans="1:16382" ht="24" x14ac:dyDescent="0.25">
      <c r="B1016" s="136">
        <v>1407047</v>
      </c>
      <c r="C1016" s="128" t="s">
        <v>934</v>
      </c>
      <c r="D1016" s="128" t="s">
        <v>2583</v>
      </c>
      <c r="E1016" s="147" t="s">
        <v>38</v>
      </c>
      <c r="F1016" s="129" t="s">
        <v>2584</v>
      </c>
      <c r="G1016" s="147" t="s">
        <v>1731</v>
      </c>
      <c r="H1016" s="189">
        <f t="shared" si="16"/>
        <v>3.65</v>
      </c>
      <c r="I1016" s="136" t="s">
        <v>2585</v>
      </c>
      <c r="J1016" s="146">
        <v>30</v>
      </c>
      <c r="K1016" s="147">
        <v>5</v>
      </c>
      <c r="L1016" s="147">
        <v>1</v>
      </c>
      <c r="M1016" s="147">
        <v>6</v>
      </c>
      <c r="N1016" s="275">
        <v>1000</v>
      </c>
      <c r="O1016" s="173">
        <v>3.62</v>
      </c>
      <c r="P1016" s="179">
        <v>46126</v>
      </c>
      <c r="Q1016" s="173">
        <v>3.65</v>
      </c>
      <c r="R1016" s="271">
        <v>0</v>
      </c>
      <c r="S1016" s="147"/>
      <c r="T1016" s="129" t="s">
        <v>2089</v>
      </c>
      <c r="U1016" s="147" t="s">
        <v>37</v>
      </c>
      <c r="V1016" s="129"/>
      <c r="W1016" s="147" t="s">
        <v>2208</v>
      </c>
      <c r="X1016" s="207" t="s">
        <v>1904</v>
      </c>
      <c r="Y1016" s="251"/>
      <c r="Z1016" s="290"/>
      <c r="AA1016" s="230"/>
    </row>
    <row r="1017" spans="1:16382" ht="60" x14ac:dyDescent="0.25">
      <c r="B1017" s="158">
        <v>1407048</v>
      </c>
      <c r="C1017" s="128" t="s">
        <v>934</v>
      </c>
      <c r="D1017" s="128" t="s">
        <v>2604</v>
      </c>
      <c r="E1017" s="147" t="s">
        <v>38</v>
      </c>
      <c r="F1017" s="129" t="s">
        <v>2603</v>
      </c>
      <c r="G1017" s="147" t="s">
        <v>1731</v>
      </c>
      <c r="H1017" s="189"/>
      <c r="I1017" s="136"/>
      <c r="J1017" s="146"/>
      <c r="K1017" s="147">
        <v>13</v>
      </c>
      <c r="L1017" s="147">
        <v>1</v>
      </c>
      <c r="M1017" s="147">
        <v>15</v>
      </c>
      <c r="N1017" s="275">
        <v>1000</v>
      </c>
      <c r="O1017" s="173"/>
      <c r="P1017" s="179">
        <v>46111</v>
      </c>
      <c r="Q1017" s="173">
        <f>250/1000</f>
        <v>0.25</v>
      </c>
      <c r="R1017" s="271">
        <v>0</v>
      </c>
      <c r="S1017" s="147" t="s">
        <v>37</v>
      </c>
      <c r="T1017" s="129" t="s">
        <v>2605</v>
      </c>
      <c r="U1017" s="147"/>
      <c r="V1017" s="129"/>
      <c r="W1017" s="147" t="s">
        <v>2210</v>
      </c>
      <c r="X1017" s="205"/>
      <c r="Y1017" s="251"/>
      <c r="Z1017" s="290"/>
      <c r="AA1017" s="230"/>
    </row>
    <row r="1018" spans="1:16382" s="181" customFormat="1" hidden="1" x14ac:dyDescent="0.25">
      <c r="A1018" s="131">
        <v>1</v>
      </c>
      <c r="B1018" s="136">
        <v>1408001</v>
      </c>
      <c r="C1018" s="128" t="s">
        <v>934</v>
      </c>
      <c r="D1018" s="128" t="s">
        <v>1204</v>
      </c>
      <c r="E1018" s="147" t="s">
        <v>38</v>
      </c>
      <c r="F1018" s="129" t="s">
        <v>292</v>
      </c>
      <c r="G1018" s="147" t="s">
        <v>1731</v>
      </c>
      <c r="H1018" s="189">
        <f t="shared" ref="H1018:H1081" si="17">Q1018+R1018</f>
        <v>0</v>
      </c>
      <c r="I1018" s="213"/>
      <c r="J1018" s="149"/>
      <c r="K1018" s="147">
        <v>11</v>
      </c>
      <c r="L1018" s="147">
        <v>1</v>
      </c>
      <c r="M1018" s="147">
        <v>12</v>
      </c>
      <c r="N1018" s="275"/>
      <c r="O1018" s="194"/>
      <c r="P1018" s="179"/>
      <c r="Q1018" s="173"/>
      <c r="R1018" s="260">
        <v>0</v>
      </c>
      <c r="S1018" s="167"/>
      <c r="T1018" s="129" t="s">
        <v>292</v>
      </c>
      <c r="U1018" s="147" t="s">
        <v>37</v>
      </c>
      <c r="V1018" s="129"/>
      <c r="W1018" s="162" t="s">
        <v>54</v>
      </c>
      <c r="X1018" s="205"/>
      <c r="Y1018" s="251"/>
      <c r="Z1018" s="155"/>
      <c r="AA1018" s="230"/>
    </row>
    <row r="1019" spans="1:16382" s="181" customFormat="1" ht="24" hidden="1" x14ac:dyDescent="0.25">
      <c r="A1019" s="131">
        <v>1</v>
      </c>
      <c r="B1019" s="136">
        <v>1408002</v>
      </c>
      <c r="C1019" s="128" t="s">
        <v>934</v>
      </c>
      <c r="D1019" s="128" t="s">
        <v>1205</v>
      </c>
      <c r="E1019" s="147" t="s">
        <v>38</v>
      </c>
      <c r="F1019" s="129" t="s">
        <v>966</v>
      </c>
      <c r="G1019" s="147" t="s">
        <v>1731</v>
      </c>
      <c r="H1019" s="189">
        <f t="shared" si="17"/>
        <v>0</v>
      </c>
      <c r="I1019" s="213"/>
      <c r="J1019" s="149"/>
      <c r="K1019" s="147">
        <v>11</v>
      </c>
      <c r="L1019" s="147">
        <v>1</v>
      </c>
      <c r="M1019" s="147">
        <v>12</v>
      </c>
      <c r="N1019" s="275"/>
      <c r="O1019" s="194"/>
      <c r="P1019" s="179"/>
      <c r="Q1019" s="173"/>
      <c r="R1019" s="260">
        <v>0</v>
      </c>
      <c r="S1019" s="167"/>
      <c r="T1019" s="129" t="s">
        <v>2205</v>
      </c>
      <c r="U1019" s="147" t="s">
        <v>37</v>
      </c>
      <c r="V1019" s="129"/>
      <c r="W1019" s="162" t="s">
        <v>2519</v>
      </c>
      <c r="X1019" s="205"/>
      <c r="Y1019" s="251"/>
      <c r="Z1019" s="155"/>
      <c r="AA1019" s="230"/>
    </row>
    <row r="1020" spans="1:16382" s="181" customFormat="1" hidden="1" x14ac:dyDescent="0.25">
      <c r="A1020" s="131">
        <v>1</v>
      </c>
      <c r="B1020" s="136">
        <v>1409001</v>
      </c>
      <c r="C1020" s="128" t="s">
        <v>934</v>
      </c>
      <c r="D1020" s="128" t="s">
        <v>1206</v>
      </c>
      <c r="E1020" s="147" t="s">
        <v>38</v>
      </c>
      <c r="F1020" s="129" t="s">
        <v>1043</v>
      </c>
      <c r="G1020" s="147" t="s">
        <v>1731</v>
      </c>
      <c r="H1020" s="189">
        <f t="shared" si="17"/>
        <v>0</v>
      </c>
      <c r="I1020" s="213"/>
      <c r="J1020" s="149"/>
      <c r="K1020" s="147">
        <v>11</v>
      </c>
      <c r="L1020" s="147">
        <v>1</v>
      </c>
      <c r="M1020" s="147">
        <v>12</v>
      </c>
      <c r="N1020" s="275"/>
      <c r="O1020" s="194"/>
      <c r="P1020" s="179"/>
      <c r="Q1020" s="173"/>
      <c r="R1020" s="260">
        <v>0</v>
      </c>
      <c r="S1020" s="167"/>
      <c r="T1020" s="129" t="s">
        <v>64</v>
      </c>
      <c r="U1020" s="147" t="s">
        <v>37</v>
      </c>
      <c r="V1020" s="129"/>
      <c r="W1020" s="162" t="s">
        <v>54</v>
      </c>
      <c r="X1020" s="205"/>
      <c r="Y1020" s="251"/>
      <c r="Z1020" s="155"/>
      <c r="AA1020" s="230"/>
    </row>
    <row r="1021" spans="1:16382" hidden="1" x14ac:dyDescent="0.25">
      <c r="A1021" s="131">
        <v>1</v>
      </c>
      <c r="B1021" s="136">
        <v>1409002</v>
      </c>
      <c r="C1021" s="128" t="s">
        <v>934</v>
      </c>
      <c r="D1021" s="128" t="s">
        <v>1207</v>
      </c>
      <c r="E1021" s="147" t="s">
        <v>38</v>
      </c>
      <c r="F1021" s="129" t="s">
        <v>1043</v>
      </c>
      <c r="G1021" s="147" t="s">
        <v>1731</v>
      </c>
      <c r="H1021" s="189">
        <f t="shared" si="17"/>
        <v>0</v>
      </c>
      <c r="I1021" s="213"/>
      <c r="J1021" s="149"/>
      <c r="K1021" s="147">
        <v>11</v>
      </c>
      <c r="L1021" s="147">
        <v>1</v>
      </c>
      <c r="M1021" s="147">
        <v>12</v>
      </c>
      <c r="N1021" s="275"/>
      <c r="O1021" s="194"/>
      <c r="P1021" s="179"/>
      <c r="Q1021" s="173"/>
      <c r="R1021" s="260">
        <v>0</v>
      </c>
      <c r="S1021" s="167"/>
      <c r="T1021" s="129" t="s">
        <v>64</v>
      </c>
      <c r="U1021" s="147" t="s">
        <v>37</v>
      </c>
      <c r="V1021" s="129"/>
      <c r="W1021" s="162" t="s">
        <v>54</v>
      </c>
      <c r="X1021" s="205"/>
      <c r="Y1021" s="251"/>
      <c r="Z1021" s="155"/>
      <c r="AA1021" s="230"/>
    </row>
    <row r="1022" spans="1:16382" s="181" customFormat="1" ht="24" hidden="1" x14ac:dyDescent="0.25">
      <c r="A1022" s="131">
        <v>1</v>
      </c>
      <c r="B1022" s="136">
        <v>1409003</v>
      </c>
      <c r="C1022" s="128" t="s">
        <v>934</v>
      </c>
      <c r="D1022" s="136" t="s">
        <v>1208</v>
      </c>
      <c r="E1022" s="147" t="s">
        <v>38</v>
      </c>
      <c r="F1022" s="129" t="s">
        <v>1043</v>
      </c>
      <c r="G1022" s="147" t="s">
        <v>1731</v>
      </c>
      <c r="H1022" s="189">
        <f t="shared" si="17"/>
        <v>0</v>
      </c>
      <c r="I1022" s="213"/>
      <c r="J1022" s="149"/>
      <c r="K1022" s="147">
        <v>11</v>
      </c>
      <c r="L1022" s="147">
        <v>1</v>
      </c>
      <c r="M1022" s="147">
        <v>12</v>
      </c>
      <c r="N1022" s="275"/>
      <c r="O1022" s="194"/>
      <c r="P1022" s="179"/>
      <c r="Q1022" s="173"/>
      <c r="R1022" s="260">
        <v>0</v>
      </c>
      <c r="S1022" s="167"/>
      <c r="T1022" s="129" t="s">
        <v>64</v>
      </c>
      <c r="U1022" s="147" t="s">
        <v>37</v>
      </c>
      <c r="V1022" s="129"/>
      <c r="W1022" s="162" t="s">
        <v>54</v>
      </c>
      <c r="X1022" s="205"/>
      <c r="Y1022" s="251"/>
      <c r="Z1022" s="155"/>
      <c r="AA1022" s="230"/>
    </row>
    <row r="1023" spans="1:16382" hidden="1" x14ac:dyDescent="0.25">
      <c r="A1023" s="131">
        <v>1</v>
      </c>
      <c r="B1023" s="136">
        <v>1409004</v>
      </c>
      <c r="C1023" s="128" t="s">
        <v>934</v>
      </c>
      <c r="D1023" s="136" t="s">
        <v>1209</v>
      </c>
      <c r="E1023" s="147" t="s">
        <v>38</v>
      </c>
      <c r="F1023" s="138" t="s">
        <v>57</v>
      </c>
      <c r="G1023" s="147" t="s">
        <v>1731</v>
      </c>
      <c r="H1023" s="189">
        <f t="shared" si="17"/>
        <v>0</v>
      </c>
      <c r="I1023" s="213"/>
      <c r="J1023" s="149"/>
      <c r="K1023" s="147">
        <v>12</v>
      </c>
      <c r="L1023" s="147">
        <v>1</v>
      </c>
      <c r="M1023" s="147">
        <v>13</v>
      </c>
      <c r="N1023" s="275"/>
      <c r="O1023" s="194"/>
      <c r="P1023" s="179"/>
      <c r="Q1023" s="173"/>
      <c r="R1023" s="260">
        <v>0</v>
      </c>
      <c r="S1023" s="167"/>
      <c r="T1023" s="138" t="s">
        <v>57</v>
      </c>
      <c r="U1023" s="147" t="s">
        <v>37</v>
      </c>
      <c r="V1023" s="129"/>
      <c r="W1023" s="162" t="s">
        <v>54</v>
      </c>
      <c r="X1023" s="205"/>
      <c r="Y1023" s="251"/>
      <c r="Z1023" s="155"/>
      <c r="AA1023" s="230"/>
    </row>
    <row r="1024" spans="1:16382" hidden="1" x14ac:dyDescent="0.25">
      <c r="A1024" s="131">
        <v>1</v>
      </c>
      <c r="B1024" s="136">
        <v>1409005</v>
      </c>
      <c r="C1024" s="128" t="s">
        <v>934</v>
      </c>
      <c r="D1024" s="136" t="s">
        <v>1210</v>
      </c>
      <c r="E1024" s="147" t="s">
        <v>38</v>
      </c>
      <c r="F1024" s="138" t="s">
        <v>57</v>
      </c>
      <c r="G1024" s="147" t="s">
        <v>1731</v>
      </c>
      <c r="H1024" s="189">
        <f t="shared" si="17"/>
        <v>0</v>
      </c>
      <c r="I1024" s="213"/>
      <c r="J1024" s="149"/>
      <c r="K1024" s="147">
        <v>12</v>
      </c>
      <c r="L1024" s="147">
        <v>1</v>
      </c>
      <c r="M1024" s="147">
        <v>13</v>
      </c>
      <c r="N1024" s="275"/>
      <c r="O1024" s="194"/>
      <c r="P1024" s="179"/>
      <c r="Q1024" s="173"/>
      <c r="R1024" s="260">
        <v>0</v>
      </c>
      <c r="S1024" s="167"/>
      <c r="T1024" s="138" t="s">
        <v>57</v>
      </c>
      <c r="U1024" s="147" t="s">
        <v>37</v>
      </c>
      <c r="V1024" s="129"/>
      <c r="W1024" s="162" t="s">
        <v>54</v>
      </c>
      <c r="X1024" s="205"/>
      <c r="Y1024" s="251"/>
      <c r="Z1024" s="155"/>
      <c r="AA1024" s="230"/>
    </row>
    <row r="1025" spans="1:27" ht="24" x14ac:dyDescent="0.25">
      <c r="A1025" s="131">
        <v>1</v>
      </c>
      <c r="B1025" s="129">
        <v>1501001</v>
      </c>
      <c r="C1025" s="127" t="s">
        <v>2020</v>
      </c>
      <c r="D1025" s="128" t="s">
        <v>1212</v>
      </c>
      <c r="E1025" s="147" t="s">
        <v>38</v>
      </c>
      <c r="F1025" s="129" t="s">
        <v>2018</v>
      </c>
      <c r="G1025" s="147" t="s">
        <v>1731</v>
      </c>
      <c r="H1025" s="189">
        <f t="shared" si="17"/>
        <v>1.0386</v>
      </c>
      <c r="I1025" s="210" t="s">
        <v>2223</v>
      </c>
      <c r="J1025" s="146">
        <v>30</v>
      </c>
      <c r="K1025" s="147">
        <v>2</v>
      </c>
      <c r="L1025" s="147">
        <v>1</v>
      </c>
      <c r="M1025" s="147">
        <v>3</v>
      </c>
      <c r="N1025" s="275">
        <v>1500</v>
      </c>
      <c r="O1025" s="193">
        <v>1.1299999999999999</v>
      </c>
      <c r="P1025" s="179">
        <v>45639</v>
      </c>
      <c r="Q1025" s="173">
        <v>1.0386</v>
      </c>
      <c r="R1025" s="271">
        <v>0</v>
      </c>
      <c r="S1025" s="164"/>
      <c r="T1025" s="129" t="s">
        <v>1448</v>
      </c>
      <c r="U1025" s="147" t="s">
        <v>37</v>
      </c>
      <c r="V1025" s="129"/>
      <c r="W1025" s="147" t="s">
        <v>2208</v>
      </c>
      <c r="X1025" s="205" t="s">
        <v>1936</v>
      </c>
      <c r="Y1025" s="251"/>
      <c r="Z1025" s="290"/>
      <c r="AA1025" s="286"/>
    </row>
    <row r="1026" spans="1:27" ht="24" x14ac:dyDescent="0.25">
      <c r="A1026" s="131">
        <v>1</v>
      </c>
      <c r="B1026" s="129">
        <v>1501002</v>
      </c>
      <c r="C1026" s="127" t="s">
        <v>2020</v>
      </c>
      <c r="D1026" s="128" t="s">
        <v>1218</v>
      </c>
      <c r="E1026" s="147" t="s">
        <v>38</v>
      </c>
      <c r="F1026" s="129" t="s">
        <v>2018</v>
      </c>
      <c r="G1026" s="147" t="s">
        <v>1731</v>
      </c>
      <c r="H1026" s="189">
        <f t="shared" si="17"/>
        <v>0.12</v>
      </c>
      <c r="I1026" s="210" t="s">
        <v>2223</v>
      </c>
      <c r="J1026" s="146">
        <v>30</v>
      </c>
      <c r="K1026" s="147">
        <v>2</v>
      </c>
      <c r="L1026" s="147">
        <v>1</v>
      </c>
      <c r="M1026" s="147">
        <v>3</v>
      </c>
      <c r="N1026" s="275">
        <v>2500</v>
      </c>
      <c r="O1026" s="193">
        <v>0.14000000000000001</v>
      </c>
      <c r="P1026" s="179">
        <v>45639</v>
      </c>
      <c r="Q1026" s="173">
        <v>0.12</v>
      </c>
      <c r="R1026" s="271">
        <v>0</v>
      </c>
      <c r="S1026" s="164"/>
      <c r="T1026" s="129" t="s">
        <v>1448</v>
      </c>
      <c r="U1026" s="147" t="s">
        <v>37</v>
      </c>
      <c r="V1026" s="129"/>
      <c r="W1026" s="147" t="s">
        <v>2208</v>
      </c>
      <c r="X1026" s="205" t="s">
        <v>1936</v>
      </c>
      <c r="Y1026" s="251"/>
      <c r="Z1026" s="290"/>
      <c r="AA1026" s="286"/>
    </row>
    <row r="1027" spans="1:27" hidden="1" x14ac:dyDescent="0.25">
      <c r="A1027" s="131">
        <v>1</v>
      </c>
      <c r="B1027" s="129">
        <v>1501003</v>
      </c>
      <c r="C1027" s="127" t="s">
        <v>2020</v>
      </c>
      <c r="D1027" s="128" t="s">
        <v>1219</v>
      </c>
      <c r="E1027" s="147" t="s">
        <v>38</v>
      </c>
      <c r="F1027" s="138" t="s">
        <v>57</v>
      </c>
      <c r="G1027" s="147" t="s">
        <v>1731</v>
      </c>
      <c r="H1027" s="189">
        <f t="shared" si="17"/>
        <v>0</v>
      </c>
      <c r="I1027" s="213"/>
      <c r="J1027" s="149"/>
      <c r="K1027" s="147">
        <v>12</v>
      </c>
      <c r="L1027" s="147">
        <v>1</v>
      </c>
      <c r="M1027" s="147">
        <v>13</v>
      </c>
      <c r="N1027" s="275"/>
      <c r="O1027" s="194"/>
      <c r="P1027" s="179"/>
      <c r="Q1027" s="173"/>
      <c r="R1027" s="260">
        <v>0</v>
      </c>
      <c r="S1027" s="167"/>
      <c r="T1027" s="138" t="s">
        <v>57</v>
      </c>
      <c r="U1027" s="147" t="s">
        <v>37</v>
      </c>
      <c r="V1027" s="129"/>
      <c r="W1027" s="162" t="s">
        <v>54</v>
      </c>
      <c r="X1027" s="205"/>
      <c r="Y1027" s="251"/>
      <c r="Z1027" s="155"/>
      <c r="AA1027" s="230"/>
    </row>
    <row r="1028" spans="1:27" ht="24" hidden="1" x14ac:dyDescent="0.25">
      <c r="A1028" s="131">
        <v>1</v>
      </c>
      <c r="B1028" s="129">
        <v>1501004</v>
      </c>
      <c r="C1028" s="127" t="s">
        <v>2020</v>
      </c>
      <c r="D1028" s="128" t="s">
        <v>1220</v>
      </c>
      <c r="E1028" s="147" t="s">
        <v>38</v>
      </c>
      <c r="F1028" s="129" t="s">
        <v>1221</v>
      </c>
      <c r="G1028" s="147" t="s">
        <v>1731</v>
      </c>
      <c r="H1028" s="189">
        <f t="shared" si="17"/>
        <v>0</v>
      </c>
      <c r="I1028" s="213"/>
      <c r="J1028" s="149"/>
      <c r="K1028" s="147"/>
      <c r="L1028" s="147"/>
      <c r="M1028" s="147">
        <v>1</v>
      </c>
      <c r="N1028" s="275"/>
      <c r="O1028" s="194"/>
      <c r="P1028" s="179"/>
      <c r="Q1028" s="173"/>
      <c r="R1028" s="260">
        <v>0</v>
      </c>
      <c r="S1028" s="167"/>
      <c r="T1028" s="129" t="s">
        <v>55</v>
      </c>
      <c r="U1028" s="147" t="s">
        <v>37</v>
      </c>
      <c r="V1028" s="129"/>
      <c r="W1028" s="162" t="s">
        <v>54</v>
      </c>
      <c r="X1028" s="205"/>
      <c r="Y1028" s="251"/>
      <c r="Z1028" s="155"/>
      <c r="AA1028" s="230"/>
    </row>
    <row r="1029" spans="1:27" s="181" customFormat="1" ht="24" hidden="1" x14ac:dyDescent="0.25">
      <c r="A1029" s="131">
        <v>1</v>
      </c>
      <c r="B1029" s="129">
        <v>1501005</v>
      </c>
      <c r="C1029" s="127" t="s">
        <v>2020</v>
      </c>
      <c r="D1029" s="128" t="s">
        <v>1222</v>
      </c>
      <c r="E1029" s="147" t="s">
        <v>38</v>
      </c>
      <c r="F1029" s="129" t="s">
        <v>1221</v>
      </c>
      <c r="G1029" s="147" t="s">
        <v>1731</v>
      </c>
      <c r="H1029" s="189">
        <f t="shared" si="17"/>
        <v>0</v>
      </c>
      <c r="I1029" s="213"/>
      <c r="J1029" s="149"/>
      <c r="K1029" s="147"/>
      <c r="L1029" s="147"/>
      <c r="M1029" s="147">
        <v>1</v>
      </c>
      <c r="N1029" s="275"/>
      <c r="O1029" s="194"/>
      <c r="P1029" s="179"/>
      <c r="Q1029" s="173"/>
      <c r="R1029" s="260">
        <v>0</v>
      </c>
      <c r="S1029" s="167"/>
      <c r="T1029" s="129" t="s">
        <v>55</v>
      </c>
      <c r="U1029" s="147" t="s">
        <v>37</v>
      </c>
      <c r="V1029" s="129"/>
      <c r="W1029" s="162" t="s">
        <v>54</v>
      </c>
      <c r="X1029" s="205"/>
      <c r="Y1029" s="251"/>
      <c r="Z1029" s="155"/>
      <c r="AA1029" s="230"/>
    </row>
    <row r="1030" spans="1:27" s="181" customFormat="1" ht="24" hidden="1" x14ac:dyDescent="0.25">
      <c r="A1030" s="131">
        <v>1</v>
      </c>
      <c r="B1030" s="129">
        <v>1501006</v>
      </c>
      <c r="C1030" s="127" t="s">
        <v>2020</v>
      </c>
      <c r="D1030" s="128" t="s">
        <v>1223</v>
      </c>
      <c r="E1030" s="147" t="s">
        <v>38</v>
      </c>
      <c r="F1030" s="129" t="s">
        <v>1224</v>
      </c>
      <c r="G1030" s="147" t="s">
        <v>1731</v>
      </c>
      <c r="H1030" s="189">
        <f t="shared" si="17"/>
        <v>0</v>
      </c>
      <c r="I1030" s="213"/>
      <c r="J1030" s="149"/>
      <c r="K1030" s="147"/>
      <c r="L1030" s="147"/>
      <c r="M1030" s="147">
        <v>1</v>
      </c>
      <c r="N1030" s="275"/>
      <c r="O1030" s="194"/>
      <c r="P1030" s="179"/>
      <c r="Q1030" s="173"/>
      <c r="R1030" s="260">
        <v>0</v>
      </c>
      <c r="S1030" s="167"/>
      <c r="T1030" s="129" t="s">
        <v>382</v>
      </c>
      <c r="U1030" s="147" t="s">
        <v>37</v>
      </c>
      <c r="V1030" s="129"/>
      <c r="W1030" s="162" t="s">
        <v>54</v>
      </c>
      <c r="X1030" s="205"/>
      <c r="Y1030" s="251"/>
      <c r="Z1030" s="155"/>
      <c r="AA1030" s="230"/>
    </row>
    <row r="1031" spans="1:27" s="181" customFormat="1" hidden="1" x14ac:dyDescent="0.25">
      <c r="A1031" s="131">
        <v>1</v>
      </c>
      <c r="B1031" s="136">
        <v>1501007</v>
      </c>
      <c r="C1031" s="127" t="s">
        <v>2020</v>
      </c>
      <c r="D1031" s="128" t="s">
        <v>1228</v>
      </c>
      <c r="E1031" s="147" t="s">
        <v>38</v>
      </c>
      <c r="F1031" s="129" t="s">
        <v>1221</v>
      </c>
      <c r="G1031" s="147" t="s">
        <v>1731</v>
      </c>
      <c r="H1031" s="189">
        <f t="shared" si="17"/>
        <v>0</v>
      </c>
      <c r="I1031" s="213"/>
      <c r="J1031" s="149"/>
      <c r="K1031" s="147"/>
      <c r="L1031" s="147"/>
      <c r="M1031" s="147">
        <v>1</v>
      </c>
      <c r="N1031" s="275">
        <v>1500</v>
      </c>
      <c r="O1031" s="194"/>
      <c r="P1031" s="179"/>
      <c r="Q1031" s="173"/>
      <c r="R1031" s="260">
        <v>0</v>
      </c>
      <c r="S1031" s="167"/>
      <c r="T1031" s="129" t="s">
        <v>292</v>
      </c>
      <c r="U1031" s="147" t="s">
        <v>37</v>
      </c>
      <c r="V1031" s="129"/>
      <c r="W1031" s="162" t="s">
        <v>54</v>
      </c>
      <c r="X1031" s="205"/>
      <c r="Y1031" s="251"/>
      <c r="Z1031" s="155"/>
      <c r="AA1031" s="230"/>
    </row>
    <row r="1032" spans="1:27" s="181" customFormat="1" hidden="1" x14ac:dyDescent="0.25">
      <c r="A1032" s="131">
        <v>1</v>
      </c>
      <c r="B1032" s="136">
        <v>1501008</v>
      </c>
      <c r="C1032" s="127" t="s">
        <v>2020</v>
      </c>
      <c r="D1032" s="128" t="s">
        <v>1230</v>
      </c>
      <c r="E1032" s="147" t="s">
        <v>38</v>
      </c>
      <c r="F1032" s="129" t="s">
        <v>1231</v>
      </c>
      <c r="G1032" s="147" t="s">
        <v>1731</v>
      </c>
      <c r="H1032" s="189">
        <f t="shared" si="17"/>
        <v>1.3100000000000001E-2</v>
      </c>
      <c r="I1032" s="134" t="s">
        <v>2086</v>
      </c>
      <c r="J1032" s="146">
        <v>30</v>
      </c>
      <c r="K1032" s="147">
        <v>1</v>
      </c>
      <c r="L1032" s="147">
        <v>1</v>
      </c>
      <c r="M1032" s="147">
        <v>2</v>
      </c>
      <c r="N1032" s="275">
        <v>1000</v>
      </c>
      <c r="O1032" s="194"/>
      <c r="P1032" s="179"/>
      <c r="Q1032" s="173">
        <v>1.3100000000000001E-2</v>
      </c>
      <c r="R1032" s="271">
        <v>0</v>
      </c>
      <c r="S1032" s="167"/>
      <c r="T1032" s="129" t="s">
        <v>234</v>
      </c>
      <c r="U1032" s="147" t="s">
        <v>37</v>
      </c>
      <c r="V1032" s="129"/>
      <c r="W1032" s="162" t="s">
        <v>54</v>
      </c>
      <c r="X1032" s="205"/>
      <c r="Y1032" s="251"/>
      <c r="Z1032" s="155"/>
      <c r="AA1032" s="230"/>
    </row>
    <row r="1033" spans="1:27" s="181" customFormat="1" ht="24" hidden="1" x14ac:dyDescent="0.25">
      <c r="A1033" s="131">
        <v>1</v>
      </c>
      <c r="B1033" s="136">
        <v>1501009</v>
      </c>
      <c r="C1033" s="127" t="s">
        <v>2020</v>
      </c>
      <c r="D1033" s="128" t="s">
        <v>1235</v>
      </c>
      <c r="E1033" s="147" t="s">
        <v>38</v>
      </c>
      <c r="F1033" s="129" t="s">
        <v>1221</v>
      </c>
      <c r="G1033" s="147" t="s">
        <v>1731</v>
      </c>
      <c r="H1033" s="189">
        <f t="shared" si="17"/>
        <v>0</v>
      </c>
      <c r="I1033" s="213"/>
      <c r="J1033" s="149"/>
      <c r="K1033" s="147">
        <v>12</v>
      </c>
      <c r="L1033" s="147">
        <v>1</v>
      </c>
      <c r="M1033" s="147">
        <v>13</v>
      </c>
      <c r="N1033" s="275"/>
      <c r="O1033" s="194"/>
      <c r="P1033" s="179"/>
      <c r="Q1033" s="173"/>
      <c r="R1033" s="260">
        <v>0</v>
      </c>
      <c r="S1033" s="167"/>
      <c r="T1033" s="129"/>
      <c r="U1033" s="147" t="s">
        <v>37</v>
      </c>
      <c r="V1033" s="129"/>
      <c r="W1033" s="162" t="s">
        <v>54</v>
      </c>
      <c r="X1033" s="205"/>
      <c r="Y1033" s="251"/>
      <c r="Z1033" s="155"/>
      <c r="AA1033" s="230"/>
    </row>
    <row r="1034" spans="1:27" s="181" customFormat="1" ht="24" hidden="1" x14ac:dyDescent="0.25">
      <c r="A1034" s="131">
        <v>1</v>
      </c>
      <c r="B1034" s="129">
        <v>1501010</v>
      </c>
      <c r="C1034" s="127" t="s">
        <v>940</v>
      </c>
      <c r="D1034" s="128" t="s">
        <v>1237</v>
      </c>
      <c r="E1034" s="147" t="s">
        <v>38</v>
      </c>
      <c r="F1034" s="129" t="s">
        <v>946</v>
      </c>
      <c r="G1034" s="147" t="s">
        <v>1731</v>
      </c>
      <c r="H1034" s="189">
        <f t="shared" si="17"/>
        <v>6.9600000000000009E-2</v>
      </c>
      <c r="I1034" s="134"/>
      <c r="J1034" s="150"/>
      <c r="K1034" s="147"/>
      <c r="L1034" s="147"/>
      <c r="M1034" s="147">
        <v>4</v>
      </c>
      <c r="N1034" s="275">
        <v>25000</v>
      </c>
      <c r="O1034" s="194"/>
      <c r="P1034" s="179"/>
      <c r="Q1034" s="173">
        <v>6.6500000000000004E-2</v>
      </c>
      <c r="R1034" s="271">
        <v>3.0999999999999999E-3</v>
      </c>
      <c r="S1034" s="169"/>
      <c r="T1034" s="129" t="s">
        <v>36</v>
      </c>
      <c r="U1034" s="147" t="s">
        <v>37</v>
      </c>
      <c r="V1034" s="129"/>
      <c r="W1034" s="162" t="s">
        <v>54</v>
      </c>
      <c r="X1034" s="205"/>
      <c r="Y1034" s="251"/>
      <c r="Z1034" s="155"/>
      <c r="AA1034" s="230"/>
    </row>
    <row r="1035" spans="1:27" s="181" customFormat="1" ht="24" hidden="1" x14ac:dyDescent="0.25">
      <c r="A1035" s="131">
        <v>1</v>
      </c>
      <c r="B1035" s="129">
        <v>1501012</v>
      </c>
      <c r="C1035" s="127" t="s">
        <v>940</v>
      </c>
      <c r="D1035" s="128" t="s">
        <v>1238</v>
      </c>
      <c r="E1035" s="147" t="s">
        <v>38</v>
      </c>
      <c r="F1035" s="129" t="s">
        <v>951</v>
      </c>
      <c r="G1035" s="147" t="s">
        <v>1731</v>
      </c>
      <c r="H1035" s="189">
        <f t="shared" si="17"/>
        <v>7.2059639999999994E-2</v>
      </c>
      <c r="I1035" s="134"/>
      <c r="J1035" s="150"/>
      <c r="K1035" s="147"/>
      <c r="L1035" s="147"/>
      <c r="M1035" s="147">
        <v>3</v>
      </c>
      <c r="N1035" s="275">
        <v>14000</v>
      </c>
      <c r="O1035" s="194"/>
      <c r="P1035" s="179"/>
      <c r="Q1035" s="173">
        <v>7.1499999999999994E-2</v>
      </c>
      <c r="R1035" s="271">
        <v>5.5964000000000003E-4</v>
      </c>
      <c r="S1035" s="169"/>
      <c r="T1035" s="129" t="s">
        <v>36</v>
      </c>
      <c r="U1035" s="147" t="s">
        <v>37</v>
      </c>
      <c r="V1035" s="129"/>
      <c r="W1035" s="162" t="s">
        <v>54</v>
      </c>
      <c r="X1035" s="205"/>
      <c r="Y1035" s="251"/>
      <c r="Z1035" s="155"/>
      <c r="AA1035" s="230"/>
    </row>
    <row r="1036" spans="1:27" s="181" customFormat="1" ht="24" hidden="1" x14ac:dyDescent="0.25">
      <c r="A1036" s="131">
        <v>1</v>
      </c>
      <c r="B1036" s="129">
        <v>1501015</v>
      </c>
      <c r="C1036" s="127" t="s">
        <v>940</v>
      </c>
      <c r="D1036" s="128" t="s">
        <v>1242</v>
      </c>
      <c r="E1036" s="147" t="s">
        <v>38</v>
      </c>
      <c r="F1036" s="129" t="s">
        <v>946</v>
      </c>
      <c r="G1036" s="147" t="s">
        <v>1731</v>
      </c>
      <c r="H1036" s="189">
        <f t="shared" si="17"/>
        <v>0</v>
      </c>
      <c r="I1036" s="213"/>
      <c r="J1036" s="149"/>
      <c r="K1036" s="147"/>
      <c r="L1036" s="147"/>
      <c r="M1036" s="147">
        <v>5</v>
      </c>
      <c r="N1036" s="275">
        <v>100000</v>
      </c>
      <c r="O1036" s="194"/>
      <c r="P1036" s="179"/>
      <c r="Q1036" s="173"/>
      <c r="R1036" s="260">
        <v>0</v>
      </c>
      <c r="S1036" s="169"/>
      <c r="T1036" s="129" t="s">
        <v>36</v>
      </c>
      <c r="U1036" s="147" t="s">
        <v>37</v>
      </c>
      <c r="V1036" s="129"/>
      <c r="W1036" s="162" t="s">
        <v>54</v>
      </c>
      <c r="X1036" s="205"/>
      <c r="Y1036" s="251"/>
      <c r="Z1036" s="155"/>
      <c r="AA1036" s="230"/>
    </row>
    <row r="1037" spans="1:27" s="181" customFormat="1" ht="24" hidden="1" x14ac:dyDescent="0.25">
      <c r="A1037" s="131">
        <v>1</v>
      </c>
      <c r="B1037" s="129">
        <v>1501018</v>
      </c>
      <c r="C1037" s="127" t="s">
        <v>940</v>
      </c>
      <c r="D1037" s="128" t="s">
        <v>1243</v>
      </c>
      <c r="E1037" s="147" t="s">
        <v>38</v>
      </c>
      <c r="F1037" s="129" t="s">
        <v>1244</v>
      </c>
      <c r="G1037" s="147" t="s">
        <v>1731</v>
      </c>
      <c r="H1037" s="189">
        <f t="shared" si="17"/>
        <v>22.85055964</v>
      </c>
      <c r="I1037" s="134"/>
      <c r="J1037" s="146">
        <v>0</v>
      </c>
      <c r="K1037" s="147"/>
      <c r="L1037" s="147"/>
      <c r="M1037" s="147">
        <v>2</v>
      </c>
      <c r="N1037" s="275" t="s">
        <v>1674</v>
      </c>
      <c r="O1037" s="194">
        <v>5.5999999999999999E-3</v>
      </c>
      <c r="P1037" s="179">
        <v>44616</v>
      </c>
      <c r="Q1037" s="173">
        <v>22.85</v>
      </c>
      <c r="R1037" s="271">
        <v>5.5964000000000003E-4</v>
      </c>
      <c r="S1037" s="164"/>
      <c r="T1037" s="129" t="s">
        <v>36</v>
      </c>
      <c r="U1037" s="147" t="s">
        <v>37</v>
      </c>
      <c r="V1037" s="129"/>
      <c r="W1037" s="162" t="s">
        <v>54</v>
      </c>
      <c r="X1037" s="205"/>
      <c r="Y1037" s="251"/>
      <c r="Z1037" s="155"/>
      <c r="AA1037" s="230"/>
    </row>
    <row r="1038" spans="1:27" s="181" customFormat="1" ht="36" hidden="1" x14ac:dyDescent="0.25">
      <c r="A1038" s="131">
        <v>1</v>
      </c>
      <c r="B1038" s="129">
        <v>1501019</v>
      </c>
      <c r="C1038" s="127" t="s">
        <v>940</v>
      </c>
      <c r="D1038" s="128" t="s">
        <v>1248</v>
      </c>
      <c r="E1038" s="147" t="s">
        <v>38</v>
      </c>
      <c r="F1038" s="129" t="s">
        <v>946</v>
      </c>
      <c r="G1038" s="147" t="s">
        <v>1731</v>
      </c>
      <c r="H1038" s="189">
        <f t="shared" si="17"/>
        <v>0</v>
      </c>
      <c r="I1038" s="213"/>
      <c r="J1038" s="149"/>
      <c r="K1038" s="147"/>
      <c r="L1038" s="147"/>
      <c r="M1038" s="147">
        <v>4</v>
      </c>
      <c r="N1038" s="275">
        <v>100000</v>
      </c>
      <c r="O1038" s="194"/>
      <c r="P1038" s="179"/>
      <c r="Q1038" s="173"/>
      <c r="R1038" s="260">
        <v>0</v>
      </c>
      <c r="S1038" s="169"/>
      <c r="T1038" s="129" t="s">
        <v>36</v>
      </c>
      <c r="U1038" s="147" t="s">
        <v>37</v>
      </c>
      <c r="V1038" s="129"/>
      <c r="W1038" s="162" t="s">
        <v>54</v>
      </c>
      <c r="X1038" s="205"/>
      <c r="Y1038" s="251"/>
      <c r="Z1038" s="155"/>
      <c r="AA1038" s="230"/>
    </row>
    <row r="1039" spans="1:27" s="181" customFormat="1" ht="24" hidden="1" x14ac:dyDescent="0.25">
      <c r="A1039" s="131">
        <v>1</v>
      </c>
      <c r="B1039" s="129">
        <v>1501020</v>
      </c>
      <c r="C1039" s="127" t="s">
        <v>940</v>
      </c>
      <c r="D1039" s="128" t="s">
        <v>1249</v>
      </c>
      <c r="E1039" s="147" t="s">
        <v>38</v>
      </c>
      <c r="F1039" s="129" t="s">
        <v>946</v>
      </c>
      <c r="G1039" s="147" t="s">
        <v>1731</v>
      </c>
      <c r="H1039" s="189">
        <f t="shared" si="17"/>
        <v>6.9600000000000009E-2</v>
      </c>
      <c r="I1039" s="134"/>
      <c r="J1039" s="150"/>
      <c r="K1039" s="147"/>
      <c r="L1039" s="147"/>
      <c r="M1039" s="147">
        <v>4</v>
      </c>
      <c r="N1039" s="275">
        <v>25000</v>
      </c>
      <c r="O1039" s="194"/>
      <c r="P1039" s="179"/>
      <c r="Q1039" s="173">
        <v>6.6500000000000004E-2</v>
      </c>
      <c r="R1039" s="271">
        <v>3.0999999999999999E-3</v>
      </c>
      <c r="S1039" s="169"/>
      <c r="T1039" s="129" t="s">
        <v>36</v>
      </c>
      <c r="U1039" s="147" t="s">
        <v>37</v>
      </c>
      <c r="V1039" s="129"/>
      <c r="W1039" s="162" t="s">
        <v>54</v>
      </c>
      <c r="X1039" s="205"/>
      <c r="Y1039" s="251"/>
      <c r="Z1039" s="155"/>
      <c r="AA1039" s="230"/>
    </row>
    <row r="1040" spans="1:27" s="181" customFormat="1" ht="24" hidden="1" x14ac:dyDescent="0.25">
      <c r="A1040" s="131">
        <v>1</v>
      </c>
      <c r="B1040" s="129">
        <v>1501021</v>
      </c>
      <c r="C1040" s="127" t="s">
        <v>2020</v>
      </c>
      <c r="D1040" s="128" t="s">
        <v>1250</v>
      </c>
      <c r="E1040" s="147" t="s">
        <v>38</v>
      </c>
      <c r="F1040" s="129" t="s">
        <v>1224</v>
      </c>
      <c r="G1040" s="147" t="s">
        <v>1731</v>
      </c>
      <c r="H1040" s="189">
        <f t="shared" si="17"/>
        <v>0</v>
      </c>
      <c r="I1040" s="213"/>
      <c r="J1040" s="149"/>
      <c r="K1040" s="147">
        <v>2</v>
      </c>
      <c r="L1040" s="147">
        <v>1</v>
      </c>
      <c r="M1040" s="147">
        <v>3</v>
      </c>
      <c r="N1040" s="275"/>
      <c r="O1040" s="194"/>
      <c r="P1040" s="179"/>
      <c r="Q1040" s="173"/>
      <c r="R1040" s="260">
        <v>0</v>
      </c>
      <c r="S1040" s="167"/>
      <c r="T1040" s="129" t="s">
        <v>1251</v>
      </c>
      <c r="U1040" s="147" t="s">
        <v>37</v>
      </c>
      <c r="V1040" s="129"/>
      <c r="W1040" s="162" t="s">
        <v>54</v>
      </c>
      <c r="X1040" s="205"/>
      <c r="Y1040" s="251"/>
      <c r="Z1040" s="155"/>
      <c r="AA1040" s="230"/>
    </row>
    <row r="1041" spans="1:27" s="181" customFormat="1" ht="24" hidden="1" x14ac:dyDescent="0.25">
      <c r="A1041" s="131">
        <v>1</v>
      </c>
      <c r="B1041" s="129">
        <v>1501022</v>
      </c>
      <c r="C1041" s="127" t="s">
        <v>2020</v>
      </c>
      <c r="D1041" s="128" t="s">
        <v>1252</v>
      </c>
      <c r="E1041" s="147" t="s">
        <v>38</v>
      </c>
      <c r="F1041" s="129" t="s">
        <v>1224</v>
      </c>
      <c r="G1041" s="147" t="s">
        <v>1731</v>
      </c>
      <c r="H1041" s="189">
        <f t="shared" si="17"/>
        <v>0</v>
      </c>
      <c r="I1041" s="213"/>
      <c r="J1041" s="149"/>
      <c r="K1041" s="147">
        <v>2</v>
      </c>
      <c r="L1041" s="147">
        <v>1</v>
      </c>
      <c r="M1041" s="147">
        <v>3</v>
      </c>
      <c r="N1041" s="275"/>
      <c r="O1041" s="194"/>
      <c r="P1041" s="179"/>
      <c r="Q1041" s="173"/>
      <c r="R1041" s="260">
        <v>0</v>
      </c>
      <c r="S1041" s="167"/>
      <c r="T1041" s="129" t="s">
        <v>1251</v>
      </c>
      <c r="U1041" s="147" t="s">
        <v>37</v>
      </c>
      <c r="V1041" s="129"/>
      <c r="W1041" s="162" t="s">
        <v>54</v>
      </c>
      <c r="X1041" s="205"/>
      <c r="Y1041" s="251"/>
      <c r="Z1041" s="155"/>
      <c r="AA1041" s="230"/>
    </row>
    <row r="1042" spans="1:27" s="181" customFormat="1" hidden="1" x14ac:dyDescent="0.25">
      <c r="A1042" s="131">
        <v>1</v>
      </c>
      <c r="B1042" s="129">
        <v>1501023</v>
      </c>
      <c r="C1042" s="127" t="s">
        <v>2020</v>
      </c>
      <c r="D1042" s="128" t="s">
        <v>1253</v>
      </c>
      <c r="E1042" s="147" t="s">
        <v>38</v>
      </c>
      <c r="F1042" s="129" t="s">
        <v>1224</v>
      </c>
      <c r="G1042" s="147" t="s">
        <v>1731</v>
      </c>
      <c r="H1042" s="189">
        <f t="shared" si="17"/>
        <v>0</v>
      </c>
      <c r="I1042" s="213"/>
      <c r="J1042" s="149"/>
      <c r="K1042" s="147">
        <v>2</v>
      </c>
      <c r="L1042" s="147">
        <v>1</v>
      </c>
      <c r="M1042" s="147">
        <v>3</v>
      </c>
      <c r="N1042" s="275"/>
      <c r="O1042" s="194"/>
      <c r="P1042" s="179"/>
      <c r="Q1042" s="173"/>
      <c r="R1042" s="260">
        <v>0</v>
      </c>
      <c r="S1042" s="167"/>
      <c r="T1042" s="129" t="s">
        <v>64</v>
      </c>
      <c r="U1042" s="147" t="s">
        <v>37</v>
      </c>
      <c r="V1042" s="129"/>
      <c r="W1042" s="162" t="s">
        <v>54</v>
      </c>
      <c r="X1042" s="205"/>
      <c r="Y1042" s="251"/>
      <c r="Z1042" s="155"/>
      <c r="AA1042" s="230"/>
    </row>
    <row r="1043" spans="1:27" s="181" customFormat="1" ht="24" hidden="1" x14ac:dyDescent="0.25">
      <c r="A1043" s="131">
        <v>1</v>
      </c>
      <c r="B1043" s="129">
        <v>1501024</v>
      </c>
      <c r="C1043" s="127" t="s">
        <v>2020</v>
      </c>
      <c r="D1043" s="128" t="s">
        <v>1254</v>
      </c>
      <c r="E1043" s="147" t="s">
        <v>38</v>
      </c>
      <c r="F1043" s="129" t="s">
        <v>1224</v>
      </c>
      <c r="G1043" s="147" t="s">
        <v>1731</v>
      </c>
      <c r="H1043" s="189">
        <f t="shared" si="17"/>
        <v>0</v>
      </c>
      <c r="I1043" s="213"/>
      <c r="J1043" s="149"/>
      <c r="K1043" s="147">
        <v>2</v>
      </c>
      <c r="L1043" s="147">
        <v>1</v>
      </c>
      <c r="M1043" s="147">
        <v>3</v>
      </c>
      <c r="N1043" s="275"/>
      <c r="O1043" s="194"/>
      <c r="P1043" s="179"/>
      <c r="Q1043" s="173"/>
      <c r="R1043" s="260">
        <v>0</v>
      </c>
      <c r="S1043" s="167"/>
      <c r="T1043" s="129" t="s">
        <v>1251</v>
      </c>
      <c r="U1043" s="147" t="s">
        <v>37</v>
      </c>
      <c r="V1043" s="129"/>
      <c r="W1043" s="162" t="s">
        <v>54</v>
      </c>
      <c r="X1043" s="205"/>
      <c r="Y1043" s="251"/>
      <c r="Z1043" s="155"/>
      <c r="AA1043" s="230"/>
    </row>
    <row r="1044" spans="1:27" s="181" customFormat="1" ht="24" x14ac:dyDescent="0.25">
      <c r="A1044" s="131">
        <v>1</v>
      </c>
      <c r="B1044" s="129">
        <v>1501025</v>
      </c>
      <c r="C1044" s="127" t="s">
        <v>2020</v>
      </c>
      <c r="D1044" s="128" t="s">
        <v>1255</v>
      </c>
      <c r="E1044" s="147" t="s">
        <v>38</v>
      </c>
      <c r="F1044" s="129" t="s">
        <v>2018</v>
      </c>
      <c r="G1044" s="147" t="s">
        <v>1731</v>
      </c>
      <c r="H1044" s="189">
        <f t="shared" si="17"/>
        <v>1.5307999999999999</v>
      </c>
      <c r="I1044" s="210" t="s">
        <v>2223</v>
      </c>
      <c r="J1044" s="146">
        <v>30</v>
      </c>
      <c r="K1044" s="147">
        <v>2</v>
      </c>
      <c r="L1044" s="147">
        <v>1</v>
      </c>
      <c r="M1044" s="147">
        <v>3</v>
      </c>
      <c r="N1044" s="275">
        <v>200</v>
      </c>
      <c r="O1044" s="193">
        <v>2.5299999999999998</v>
      </c>
      <c r="P1044" s="179">
        <v>45639</v>
      </c>
      <c r="Q1044" s="173">
        <v>1.5307999999999999</v>
      </c>
      <c r="R1044" s="271">
        <v>0</v>
      </c>
      <c r="S1044" s="164"/>
      <c r="T1044" s="129" t="s">
        <v>1448</v>
      </c>
      <c r="U1044" s="147" t="s">
        <v>37</v>
      </c>
      <c r="V1044" s="129"/>
      <c r="W1044" s="147" t="s">
        <v>2208</v>
      </c>
      <c r="X1044" s="205" t="s">
        <v>1936</v>
      </c>
      <c r="Y1044" s="251"/>
      <c r="Z1044" s="290"/>
      <c r="AA1044" s="286"/>
    </row>
    <row r="1045" spans="1:27" s="181" customFormat="1" ht="24" hidden="1" x14ac:dyDescent="0.25">
      <c r="A1045" s="131">
        <v>1</v>
      </c>
      <c r="B1045" s="129">
        <v>1501026</v>
      </c>
      <c r="C1045" s="127" t="s">
        <v>2020</v>
      </c>
      <c r="D1045" s="128" t="s">
        <v>1256</v>
      </c>
      <c r="E1045" s="147" t="s">
        <v>38</v>
      </c>
      <c r="F1045" s="129" t="s">
        <v>1221</v>
      </c>
      <c r="G1045" s="147" t="s">
        <v>1731</v>
      </c>
      <c r="H1045" s="189">
        <f t="shared" si="17"/>
        <v>0</v>
      </c>
      <c r="I1045" s="213"/>
      <c r="J1045" s="149"/>
      <c r="K1045" s="147">
        <v>12</v>
      </c>
      <c r="L1045" s="147">
        <v>1</v>
      </c>
      <c r="M1045" s="147">
        <v>13</v>
      </c>
      <c r="N1045" s="275"/>
      <c r="O1045" s="194"/>
      <c r="P1045" s="179"/>
      <c r="Q1045" s="173"/>
      <c r="R1045" s="260">
        <v>0</v>
      </c>
      <c r="S1045" s="167"/>
      <c r="T1045" s="129" t="s">
        <v>1257</v>
      </c>
      <c r="U1045" s="147" t="s">
        <v>37</v>
      </c>
      <c r="V1045" s="129"/>
      <c r="W1045" s="162" t="s">
        <v>54</v>
      </c>
      <c r="X1045" s="205"/>
      <c r="Y1045" s="251"/>
      <c r="Z1045" s="155"/>
      <c r="AA1045" s="230"/>
    </row>
    <row r="1046" spans="1:27" s="181" customFormat="1" ht="24" hidden="1" x14ac:dyDescent="0.25">
      <c r="A1046" s="181">
        <v>1</v>
      </c>
      <c r="B1046" s="129">
        <v>1501027</v>
      </c>
      <c r="C1046" s="127" t="s">
        <v>2020</v>
      </c>
      <c r="D1046" s="128" t="s">
        <v>1256</v>
      </c>
      <c r="E1046" s="147" t="s">
        <v>38</v>
      </c>
      <c r="F1046" s="129" t="s">
        <v>1258</v>
      </c>
      <c r="G1046" s="147" t="s">
        <v>1731</v>
      </c>
      <c r="H1046" s="189">
        <f t="shared" si="17"/>
        <v>0</v>
      </c>
      <c r="I1046" s="180" t="s">
        <v>2086</v>
      </c>
      <c r="J1046" s="148">
        <v>30</v>
      </c>
      <c r="K1046" s="147">
        <v>1</v>
      </c>
      <c r="L1046" s="147">
        <v>1</v>
      </c>
      <c r="M1046" s="147">
        <v>2</v>
      </c>
      <c r="N1046" s="275"/>
      <c r="O1046" s="194"/>
      <c r="P1046" s="179"/>
      <c r="Q1046" s="173"/>
      <c r="R1046" s="260">
        <v>0</v>
      </c>
      <c r="S1046" s="167"/>
      <c r="T1046" s="129" t="s">
        <v>1448</v>
      </c>
      <c r="U1046" s="147" t="s">
        <v>37</v>
      </c>
      <c r="V1046" s="129"/>
      <c r="W1046" s="162" t="s">
        <v>54</v>
      </c>
      <c r="X1046" s="205"/>
      <c r="Y1046" s="251"/>
      <c r="Z1046" s="155"/>
      <c r="AA1046" s="230"/>
    </row>
    <row r="1047" spans="1:27" s="181" customFormat="1" ht="24" x14ac:dyDescent="0.25">
      <c r="A1047" s="155">
        <v>1</v>
      </c>
      <c r="B1047" s="129">
        <v>1501028</v>
      </c>
      <c r="C1047" s="127" t="s">
        <v>2020</v>
      </c>
      <c r="D1047" s="128" t="s">
        <v>1259</v>
      </c>
      <c r="E1047" s="147" t="s">
        <v>38</v>
      </c>
      <c r="F1047" s="129" t="s">
        <v>2018</v>
      </c>
      <c r="G1047" s="147" t="s">
        <v>1731</v>
      </c>
      <c r="H1047" s="189">
        <f t="shared" si="17"/>
        <v>0.19</v>
      </c>
      <c r="I1047" s="210" t="s">
        <v>2223</v>
      </c>
      <c r="J1047" s="146">
        <v>30</v>
      </c>
      <c r="K1047" s="147">
        <v>2</v>
      </c>
      <c r="L1047" s="147">
        <v>1</v>
      </c>
      <c r="M1047" s="147">
        <v>3</v>
      </c>
      <c r="N1047" s="275">
        <v>1500</v>
      </c>
      <c r="O1047" s="193">
        <v>0.15</v>
      </c>
      <c r="P1047" s="179">
        <v>45639</v>
      </c>
      <c r="Q1047" s="173">
        <v>0.19</v>
      </c>
      <c r="R1047" s="271">
        <v>0</v>
      </c>
      <c r="S1047" s="164"/>
      <c r="T1047" s="129" t="s">
        <v>1448</v>
      </c>
      <c r="U1047" s="147" t="s">
        <v>37</v>
      </c>
      <c r="V1047" s="129"/>
      <c r="W1047" s="147" t="s">
        <v>2208</v>
      </c>
      <c r="X1047" s="205" t="s">
        <v>1936</v>
      </c>
      <c r="Y1047" s="251"/>
      <c r="Z1047" s="290"/>
      <c r="AA1047" s="286"/>
    </row>
    <row r="1048" spans="1:27" s="181" customFormat="1" ht="24" hidden="1" x14ac:dyDescent="0.25">
      <c r="A1048" s="155">
        <v>1</v>
      </c>
      <c r="B1048" s="129">
        <v>1501029</v>
      </c>
      <c r="C1048" s="127" t="s">
        <v>2020</v>
      </c>
      <c r="D1048" s="128" t="s">
        <v>1260</v>
      </c>
      <c r="E1048" s="147" t="s">
        <v>38</v>
      </c>
      <c r="F1048" s="129" t="s">
        <v>1261</v>
      </c>
      <c r="G1048" s="147" t="s">
        <v>1731</v>
      </c>
      <c r="H1048" s="189">
        <f t="shared" si="17"/>
        <v>0</v>
      </c>
      <c r="I1048" s="213"/>
      <c r="J1048" s="149"/>
      <c r="K1048" s="147">
        <v>11</v>
      </c>
      <c r="L1048" s="147">
        <v>1</v>
      </c>
      <c r="M1048" s="147">
        <v>12</v>
      </c>
      <c r="N1048" s="275"/>
      <c r="O1048" s="194"/>
      <c r="P1048" s="179"/>
      <c r="Q1048" s="173"/>
      <c r="R1048" s="260">
        <v>0</v>
      </c>
      <c r="S1048" s="167"/>
      <c r="T1048" s="129" t="s">
        <v>1262</v>
      </c>
      <c r="U1048" s="147" t="s">
        <v>37</v>
      </c>
      <c r="V1048" s="129"/>
      <c r="W1048" s="162" t="s">
        <v>54</v>
      </c>
      <c r="X1048" s="205"/>
      <c r="Y1048" s="251"/>
      <c r="Z1048" s="155"/>
      <c r="AA1048" s="230"/>
    </row>
    <row r="1049" spans="1:27" s="181" customFormat="1" ht="24" hidden="1" x14ac:dyDescent="0.25">
      <c r="A1049" s="155">
        <v>1</v>
      </c>
      <c r="B1049" s="129">
        <v>1501030</v>
      </c>
      <c r="C1049" s="127" t="s">
        <v>2020</v>
      </c>
      <c r="D1049" s="128" t="s">
        <v>1263</v>
      </c>
      <c r="E1049" s="147" t="s">
        <v>38</v>
      </c>
      <c r="F1049" s="129" t="s">
        <v>116</v>
      </c>
      <c r="G1049" s="147" t="s">
        <v>1731</v>
      </c>
      <c r="H1049" s="189">
        <f t="shared" si="17"/>
        <v>0</v>
      </c>
      <c r="I1049" s="213"/>
      <c r="J1049" s="149"/>
      <c r="K1049" s="147">
        <v>11</v>
      </c>
      <c r="L1049" s="147">
        <v>1</v>
      </c>
      <c r="M1049" s="147">
        <v>12</v>
      </c>
      <c r="N1049" s="275"/>
      <c r="O1049" s="194"/>
      <c r="P1049" s="179"/>
      <c r="Q1049" s="173"/>
      <c r="R1049" s="260">
        <v>0</v>
      </c>
      <c r="S1049" s="164"/>
      <c r="T1049" s="129" t="s">
        <v>162</v>
      </c>
      <c r="U1049" s="147" t="s">
        <v>35</v>
      </c>
      <c r="V1049" s="129"/>
      <c r="W1049" s="176" t="s">
        <v>2519</v>
      </c>
      <c r="X1049" s="205"/>
      <c r="Y1049" s="251"/>
      <c r="Z1049" s="155"/>
      <c r="AA1049" s="230"/>
    </row>
    <row r="1050" spans="1:27" s="181" customFormat="1" ht="24" hidden="1" x14ac:dyDescent="0.25">
      <c r="A1050" s="155">
        <v>1</v>
      </c>
      <c r="B1050" s="129">
        <v>1501031</v>
      </c>
      <c r="C1050" s="127" t="s">
        <v>2020</v>
      </c>
      <c r="D1050" s="128" t="s">
        <v>1266</v>
      </c>
      <c r="E1050" s="147" t="s">
        <v>38</v>
      </c>
      <c r="F1050" s="129" t="s">
        <v>1275</v>
      </c>
      <c r="G1050" s="147" t="s">
        <v>1731</v>
      </c>
      <c r="H1050" s="189">
        <f t="shared" si="17"/>
        <v>2.08</v>
      </c>
      <c r="I1050" s="134"/>
      <c r="J1050" s="146">
        <v>60</v>
      </c>
      <c r="K1050" s="147"/>
      <c r="L1050" s="147"/>
      <c r="M1050" s="147">
        <v>2</v>
      </c>
      <c r="N1050" s="275"/>
      <c r="O1050" s="194"/>
      <c r="P1050" s="179"/>
      <c r="Q1050" s="173">
        <v>2.08</v>
      </c>
      <c r="R1050" s="271">
        <v>0</v>
      </c>
      <c r="S1050" s="164"/>
      <c r="T1050" s="129" t="s">
        <v>365</v>
      </c>
      <c r="U1050" s="147" t="s">
        <v>35</v>
      </c>
      <c r="V1050" s="129"/>
      <c r="W1050" s="162" t="s">
        <v>54</v>
      </c>
      <c r="X1050" s="205"/>
      <c r="Y1050" s="251"/>
      <c r="Z1050" s="155"/>
      <c r="AA1050" s="230"/>
    </row>
    <row r="1051" spans="1:27" s="181" customFormat="1" ht="24" hidden="1" x14ac:dyDescent="0.25">
      <c r="A1051" s="155">
        <v>1</v>
      </c>
      <c r="B1051" s="129">
        <v>1501032</v>
      </c>
      <c r="C1051" s="127" t="s">
        <v>2020</v>
      </c>
      <c r="D1051" s="128" t="s">
        <v>1271</v>
      </c>
      <c r="E1051" s="147" t="s">
        <v>38</v>
      </c>
      <c r="F1051" s="129" t="s">
        <v>1275</v>
      </c>
      <c r="G1051" s="147" t="s">
        <v>1731</v>
      </c>
      <c r="H1051" s="189">
        <f t="shared" si="17"/>
        <v>0.24</v>
      </c>
      <c r="I1051" s="134"/>
      <c r="J1051" s="146">
        <v>60</v>
      </c>
      <c r="K1051" s="147"/>
      <c r="L1051" s="147"/>
      <c r="M1051" s="147">
        <v>2</v>
      </c>
      <c r="N1051" s="275"/>
      <c r="O1051" s="194"/>
      <c r="P1051" s="179"/>
      <c r="Q1051" s="173">
        <v>0.24</v>
      </c>
      <c r="R1051" s="271">
        <v>0</v>
      </c>
      <c r="S1051" s="164"/>
      <c r="T1051" s="129" t="s">
        <v>365</v>
      </c>
      <c r="U1051" s="147" t="s">
        <v>35</v>
      </c>
      <c r="V1051" s="129"/>
      <c r="W1051" s="162" t="s">
        <v>54</v>
      </c>
      <c r="X1051" s="205"/>
      <c r="Y1051" s="251"/>
      <c r="Z1051" s="155"/>
      <c r="AA1051" s="230"/>
    </row>
    <row r="1052" spans="1:27" s="181" customFormat="1" ht="24" hidden="1" x14ac:dyDescent="0.25">
      <c r="A1052" s="155">
        <v>1</v>
      </c>
      <c r="B1052" s="129">
        <v>1501033</v>
      </c>
      <c r="C1052" s="127" t="s">
        <v>2020</v>
      </c>
      <c r="D1052" s="128" t="s">
        <v>1272</v>
      </c>
      <c r="E1052" s="147" t="s">
        <v>38</v>
      </c>
      <c r="F1052" s="129" t="s">
        <v>1267</v>
      </c>
      <c r="G1052" s="147" t="s">
        <v>1731</v>
      </c>
      <c r="H1052" s="189">
        <f t="shared" si="17"/>
        <v>3.26</v>
      </c>
      <c r="I1052" s="134"/>
      <c r="J1052" s="150"/>
      <c r="K1052" s="147"/>
      <c r="L1052" s="147"/>
      <c r="M1052" s="147">
        <v>2</v>
      </c>
      <c r="N1052" s="275"/>
      <c r="O1052" s="194"/>
      <c r="P1052" s="179"/>
      <c r="Q1052" s="173">
        <v>3.26</v>
      </c>
      <c r="R1052" s="271">
        <v>0</v>
      </c>
      <c r="S1052" s="164"/>
      <c r="T1052" s="129" t="s">
        <v>365</v>
      </c>
      <c r="U1052" s="147" t="s">
        <v>35</v>
      </c>
      <c r="V1052" s="129"/>
      <c r="W1052" s="162" t="s">
        <v>54</v>
      </c>
      <c r="X1052" s="205"/>
      <c r="Y1052" s="251"/>
      <c r="Z1052" s="155"/>
      <c r="AA1052" s="230"/>
    </row>
    <row r="1053" spans="1:27" s="181" customFormat="1" ht="24" hidden="1" x14ac:dyDescent="0.25">
      <c r="A1053" s="155">
        <v>1</v>
      </c>
      <c r="B1053" s="129">
        <v>1501034</v>
      </c>
      <c r="C1053" s="127" t="s">
        <v>2020</v>
      </c>
      <c r="D1053" s="128" t="s">
        <v>1273</v>
      </c>
      <c r="E1053" s="147" t="s">
        <v>38</v>
      </c>
      <c r="F1053" s="129" t="s">
        <v>1231</v>
      </c>
      <c r="G1053" s="147" t="s">
        <v>1731</v>
      </c>
      <c r="H1053" s="189">
        <f t="shared" si="17"/>
        <v>5.8</v>
      </c>
      <c r="I1053" s="134" t="s">
        <v>2086</v>
      </c>
      <c r="J1053" s="146">
        <v>30</v>
      </c>
      <c r="K1053" s="147">
        <v>1</v>
      </c>
      <c r="L1053" s="147">
        <v>1</v>
      </c>
      <c r="M1053" s="147">
        <v>2</v>
      </c>
      <c r="N1053" s="275"/>
      <c r="O1053" s="194"/>
      <c r="P1053" s="179"/>
      <c r="Q1053" s="173">
        <v>5.8</v>
      </c>
      <c r="R1053" s="271">
        <v>0</v>
      </c>
      <c r="S1053" s="167"/>
      <c r="T1053" s="129" t="s">
        <v>263</v>
      </c>
      <c r="U1053" s="147" t="s">
        <v>37</v>
      </c>
      <c r="V1053" s="129"/>
      <c r="W1053" s="162" t="s">
        <v>54</v>
      </c>
      <c r="X1053" s="205"/>
      <c r="Y1053" s="251"/>
      <c r="Z1053" s="155"/>
      <c r="AA1053" s="230"/>
    </row>
    <row r="1054" spans="1:27" s="181" customFormat="1" ht="24" hidden="1" x14ac:dyDescent="0.25">
      <c r="A1054" s="155">
        <v>1</v>
      </c>
      <c r="B1054" s="129">
        <v>1501035</v>
      </c>
      <c r="C1054" s="127" t="s">
        <v>2020</v>
      </c>
      <c r="D1054" s="128" t="s">
        <v>1274</v>
      </c>
      <c r="E1054" s="147" t="s">
        <v>38</v>
      </c>
      <c r="F1054" s="129" t="s">
        <v>1275</v>
      </c>
      <c r="G1054" s="147" t="s">
        <v>1731</v>
      </c>
      <c r="H1054" s="189">
        <f t="shared" si="17"/>
        <v>1.76</v>
      </c>
      <c r="I1054" s="134"/>
      <c r="J1054" s="146">
        <v>60</v>
      </c>
      <c r="K1054" s="147"/>
      <c r="L1054" s="147"/>
      <c r="M1054" s="147">
        <v>2</v>
      </c>
      <c r="N1054" s="275"/>
      <c r="O1054" s="194"/>
      <c r="P1054" s="179"/>
      <c r="Q1054" s="173">
        <v>1.76</v>
      </c>
      <c r="R1054" s="271">
        <v>0</v>
      </c>
      <c r="S1054" s="164"/>
      <c r="T1054" s="129" t="s">
        <v>263</v>
      </c>
      <c r="U1054" s="147" t="s">
        <v>37</v>
      </c>
      <c r="V1054" s="129"/>
      <c r="W1054" s="162" t="s">
        <v>54</v>
      </c>
      <c r="X1054" s="205"/>
      <c r="Y1054" s="251"/>
      <c r="Z1054" s="155"/>
      <c r="AA1054" s="230"/>
    </row>
    <row r="1055" spans="1:27" s="181" customFormat="1" ht="24" hidden="1" x14ac:dyDescent="0.25">
      <c r="A1055" s="155">
        <v>1</v>
      </c>
      <c r="B1055" s="129">
        <v>1501036</v>
      </c>
      <c r="C1055" s="127" t="s">
        <v>2020</v>
      </c>
      <c r="D1055" s="128" t="s">
        <v>1279</v>
      </c>
      <c r="E1055" s="147" t="s">
        <v>38</v>
      </c>
      <c r="F1055" s="129" t="s">
        <v>1275</v>
      </c>
      <c r="G1055" s="147" t="s">
        <v>1731</v>
      </c>
      <c r="H1055" s="189">
        <f t="shared" si="17"/>
        <v>0.56000000000000005</v>
      </c>
      <c r="I1055" s="134"/>
      <c r="J1055" s="146">
        <v>60</v>
      </c>
      <c r="K1055" s="147"/>
      <c r="L1055" s="147"/>
      <c r="M1055" s="147">
        <v>2</v>
      </c>
      <c r="N1055" s="275"/>
      <c r="O1055" s="194"/>
      <c r="P1055" s="179"/>
      <c r="Q1055" s="173">
        <v>0.56000000000000005</v>
      </c>
      <c r="R1055" s="271">
        <v>0</v>
      </c>
      <c r="S1055" s="164"/>
      <c r="T1055" s="129" t="s">
        <v>263</v>
      </c>
      <c r="U1055" s="147" t="s">
        <v>37</v>
      </c>
      <c r="V1055" s="129"/>
      <c r="W1055" s="162" t="s">
        <v>54</v>
      </c>
      <c r="X1055" s="205"/>
      <c r="Y1055" s="251"/>
      <c r="Z1055" s="155"/>
      <c r="AA1055" s="230"/>
    </row>
    <row r="1056" spans="1:27" s="181" customFormat="1" ht="24" hidden="1" x14ac:dyDescent="0.25">
      <c r="A1056" s="155">
        <v>1</v>
      </c>
      <c r="B1056" s="129">
        <v>1501037</v>
      </c>
      <c r="C1056" s="127" t="s">
        <v>2020</v>
      </c>
      <c r="D1056" s="128" t="s">
        <v>1280</v>
      </c>
      <c r="E1056" s="147" t="s">
        <v>38</v>
      </c>
      <c r="F1056" s="129" t="s">
        <v>1275</v>
      </c>
      <c r="G1056" s="147" t="s">
        <v>1731</v>
      </c>
      <c r="H1056" s="189">
        <f t="shared" si="17"/>
        <v>0.36</v>
      </c>
      <c r="I1056" s="134"/>
      <c r="J1056" s="146">
        <v>60</v>
      </c>
      <c r="K1056" s="147"/>
      <c r="L1056" s="147"/>
      <c r="M1056" s="147">
        <v>2</v>
      </c>
      <c r="N1056" s="275"/>
      <c r="O1056" s="194"/>
      <c r="P1056" s="179"/>
      <c r="Q1056" s="173">
        <v>0.36</v>
      </c>
      <c r="R1056" s="271">
        <v>0</v>
      </c>
      <c r="S1056" s="164"/>
      <c r="T1056" s="129" t="s">
        <v>263</v>
      </c>
      <c r="U1056" s="147" t="s">
        <v>37</v>
      </c>
      <c r="V1056" s="129"/>
      <c r="W1056" s="162" t="s">
        <v>54</v>
      </c>
      <c r="X1056" s="205"/>
      <c r="Y1056" s="251"/>
      <c r="Z1056" s="155"/>
      <c r="AA1056" s="230"/>
    </row>
    <row r="1057" spans="1:27" s="181" customFormat="1" ht="36" hidden="1" x14ac:dyDescent="0.25">
      <c r="A1057" s="155">
        <v>1</v>
      </c>
      <c r="B1057" s="129">
        <v>1501038</v>
      </c>
      <c r="C1057" s="127" t="s">
        <v>2020</v>
      </c>
      <c r="D1057" s="128" t="s">
        <v>1281</v>
      </c>
      <c r="E1057" s="147" t="s">
        <v>38</v>
      </c>
      <c r="F1057" s="129" t="s">
        <v>1275</v>
      </c>
      <c r="G1057" s="147" t="s">
        <v>1731</v>
      </c>
      <c r="H1057" s="189">
        <f t="shared" si="17"/>
        <v>2.99</v>
      </c>
      <c r="I1057" s="134"/>
      <c r="J1057" s="146">
        <v>60</v>
      </c>
      <c r="K1057" s="147"/>
      <c r="L1057" s="147"/>
      <c r="M1057" s="147">
        <v>2</v>
      </c>
      <c r="N1057" s="275"/>
      <c r="O1057" s="194"/>
      <c r="P1057" s="179"/>
      <c r="Q1057" s="173">
        <v>2.99</v>
      </c>
      <c r="R1057" s="271">
        <v>0</v>
      </c>
      <c r="S1057" s="164"/>
      <c r="T1057" s="129" t="s">
        <v>263</v>
      </c>
      <c r="U1057" s="147" t="s">
        <v>37</v>
      </c>
      <c r="V1057" s="129"/>
      <c r="W1057" s="162" t="s">
        <v>54</v>
      </c>
      <c r="X1057" s="205"/>
      <c r="Y1057" s="251"/>
      <c r="Z1057" s="155"/>
      <c r="AA1057" s="230"/>
    </row>
    <row r="1058" spans="1:27" s="181" customFormat="1" ht="36" hidden="1" x14ac:dyDescent="0.25">
      <c r="A1058" s="155">
        <v>1</v>
      </c>
      <c r="B1058" s="129">
        <v>1501039</v>
      </c>
      <c r="C1058" s="127" t="s">
        <v>2020</v>
      </c>
      <c r="D1058" s="128" t="s">
        <v>1282</v>
      </c>
      <c r="E1058" s="147" t="s">
        <v>38</v>
      </c>
      <c r="F1058" s="129" t="s">
        <v>1275</v>
      </c>
      <c r="G1058" s="147" t="s">
        <v>1731</v>
      </c>
      <c r="H1058" s="189">
        <f t="shared" si="17"/>
        <v>0.26</v>
      </c>
      <c r="I1058" s="134"/>
      <c r="J1058" s="146">
        <v>60</v>
      </c>
      <c r="K1058" s="147"/>
      <c r="L1058" s="147"/>
      <c r="M1058" s="147">
        <v>2</v>
      </c>
      <c r="N1058" s="275"/>
      <c r="O1058" s="194"/>
      <c r="P1058" s="179"/>
      <c r="Q1058" s="173">
        <v>0.26</v>
      </c>
      <c r="R1058" s="271">
        <v>0</v>
      </c>
      <c r="S1058" s="164"/>
      <c r="T1058" s="129" t="s">
        <v>263</v>
      </c>
      <c r="U1058" s="147" t="s">
        <v>37</v>
      </c>
      <c r="V1058" s="129"/>
      <c r="W1058" s="162" t="s">
        <v>54</v>
      </c>
      <c r="X1058" s="205"/>
      <c r="Y1058" s="251"/>
      <c r="Z1058" s="155"/>
      <c r="AA1058" s="230"/>
    </row>
    <row r="1059" spans="1:27" s="181" customFormat="1" hidden="1" x14ac:dyDescent="0.25">
      <c r="A1059" s="155">
        <v>1</v>
      </c>
      <c r="B1059" s="129">
        <v>1501040</v>
      </c>
      <c r="C1059" s="127" t="s">
        <v>2020</v>
      </c>
      <c r="D1059" s="128" t="s">
        <v>1283</v>
      </c>
      <c r="E1059" s="147" t="s">
        <v>38</v>
      </c>
      <c r="F1059" s="129" t="s">
        <v>1275</v>
      </c>
      <c r="G1059" s="147" t="s">
        <v>1731</v>
      </c>
      <c r="H1059" s="189">
        <f t="shared" si="17"/>
        <v>0</v>
      </c>
      <c r="I1059" s="134"/>
      <c r="J1059" s="146">
        <v>60</v>
      </c>
      <c r="K1059" s="147"/>
      <c r="L1059" s="147"/>
      <c r="M1059" s="147">
        <v>2</v>
      </c>
      <c r="N1059" s="275"/>
      <c r="O1059" s="194"/>
      <c r="P1059" s="179"/>
      <c r="Q1059" s="173"/>
      <c r="R1059" s="271">
        <v>0</v>
      </c>
      <c r="S1059" s="164"/>
      <c r="T1059" s="129" t="s">
        <v>263</v>
      </c>
      <c r="U1059" s="147" t="s">
        <v>37</v>
      </c>
      <c r="V1059" s="129"/>
      <c r="W1059" s="162" t="s">
        <v>54</v>
      </c>
      <c r="X1059" s="205"/>
      <c r="Y1059" s="251"/>
      <c r="Z1059" s="155"/>
      <c r="AA1059" s="230"/>
    </row>
    <row r="1060" spans="1:27" s="181" customFormat="1" ht="24" x14ac:dyDescent="0.25">
      <c r="A1060" s="155">
        <v>1</v>
      </c>
      <c r="B1060" s="129">
        <v>1501041</v>
      </c>
      <c r="C1060" s="127" t="s">
        <v>2020</v>
      </c>
      <c r="D1060" s="128" t="s">
        <v>1284</v>
      </c>
      <c r="E1060" s="147" t="s">
        <v>38</v>
      </c>
      <c r="F1060" s="129" t="s">
        <v>2018</v>
      </c>
      <c r="G1060" s="147" t="s">
        <v>1731</v>
      </c>
      <c r="H1060" s="189">
        <f t="shared" si="17"/>
        <v>0.57999999999999996</v>
      </c>
      <c r="I1060" s="210" t="s">
        <v>2223</v>
      </c>
      <c r="J1060" s="146">
        <v>30</v>
      </c>
      <c r="K1060" s="147">
        <v>2</v>
      </c>
      <c r="L1060" s="147">
        <v>1</v>
      </c>
      <c r="M1060" s="147">
        <v>3</v>
      </c>
      <c r="N1060" s="275">
        <v>300</v>
      </c>
      <c r="O1060" s="193">
        <v>0.65</v>
      </c>
      <c r="P1060" s="179">
        <v>45639</v>
      </c>
      <c r="Q1060" s="173">
        <v>0.57999999999999996</v>
      </c>
      <c r="R1060" s="271">
        <v>0</v>
      </c>
      <c r="S1060" s="164"/>
      <c r="T1060" s="129" t="s">
        <v>36</v>
      </c>
      <c r="U1060" s="147" t="s">
        <v>37</v>
      </c>
      <c r="V1060" s="129"/>
      <c r="W1060" s="147" t="s">
        <v>2208</v>
      </c>
      <c r="X1060" s="205" t="s">
        <v>1936</v>
      </c>
      <c r="Y1060" s="251"/>
      <c r="Z1060" s="290"/>
      <c r="AA1060" s="286"/>
    </row>
    <row r="1061" spans="1:27" s="181" customFormat="1" ht="24" hidden="1" x14ac:dyDescent="0.25">
      <c r="A1061" s="155">
        <v>1</v>
      </c>
      <c r="B1061" s="129">
        <v>1501042</v>
      </c>
      <c r="C1061" s="127" t="s">
        <v>2020</v>
      </c>
      <c r="D1061" s="128" t="s">
        <v>1529</v>
      </c>
      <c r="E1061" s="147" t="s">
        <v>38</v>
      </c>
      <c r="F1061" s="129" t="s">
        <v>1275</v>
      </c>
      <c r="G1061" s="147" t="s">
        <v>1731</v>
      </c>
      <c r="H1061" s="189">
        <f t="shared" si="17"/>
        <v>1.77</v>
      </c>
      <c r="I1061" s="134"/>
      <c r="J1061" s="146">
        <v>60</v>
      </c>
      <c r="K1061" s="147"/>
      <c r="L1061" s="147"/>
      <c r="M1061" s="147">
        <v>2</v>
      </c>
      <c r="N1061" s="275">
        <v>180</v>
      </c>
      <c r="O1061" s="194"/>
      <c r="P1061" s="179"/>
      <c r="Q1061" s="173">
        <v>1.77</v>
      </c>
      <c r="R1061" s="271">
        <v>0</v>
      </c>
      <c r="S1061" s="164"/>
      <c r="T1061" s="129" t="s">
        <v>102</v>
      </c>
      <c r="U1061" s="147" t="s">
        <v>35</v>
      </c>
      <c r="V1061" s="129"/>
      <c r="W1061" s="162" t="s">
        <v>54</v>
      </c>
      <c r="X1061" s="205"/>
      <c r="Y1061" s="251"/>
      <c r="Z1061" s="155"/>
      <c r="AA1061" s="230"/>
    </row>
    <row r="1062" spans="1:27" s="181" customFormat="1" ht="24" x14ac:dyDescent="0.25">
      <c r="A1062" s="155">
        <v>1</v>
      </c>
      <c r="B1062" s="129">
        <v>1501043</v>
      </c>
      <c r="C1062" s="127" t="s">
        <v>2020</v>
      </c>
      <c r="D1062" s="128" t="s">
        <v>1528</v>
      </c>
      <c r="E1062" s="147" t="s">
        <v>38</v>
      </c>
      <c r="F1062" s="129" t="s">
        <v>2018</v>
      </c>
      <c r="G1062" s="147" t="s">
        <v>1731</v>
      </c>
      <c r="H1062" s="189">
        <f t="shared" si="17"/>
        <v>0.46</v>
      </c>
      <c r="I1062" s="210" t="s">
        <v>2223</v>
      </c>
      <c r="J1062" s="146">
        <v>30</v>
      </c>
      <c r="K1062" s="147">
        <v>2</v>
      </c>
      <c r="L1062" s="147">
        <v>1</v>
      </c>
      <c r="M1062" s="147">
        <v>3</v>
      </c>
      <c r="N1062" s="275">
        <v>10000</v>
      </c>
      <c r="O1062" s="173">
        <v>0.32</v>
      </c>
      <c r="P1062" s="179">
        <v>45639</v>
      </c>
      <c r="Q1062" s="173">
        <v>0.46</v>
      </c>
      <c r="R1062" s="271">
        <v>0</v>
      </c>
      <c r="S1062" s="164"/>
      <c r="T1062" s="129" t="s">
        <v>2206</v>
      </c>
      <c r="U1062" s="147" t="s">
        <v>35</v>
      </c>
      <c r="V1062" s="129"/>
      <c r="W1062" s="147" t="s">
        <v>2208</v>
      </c>
      <c r="X1062" s="205" t="s">
        <v>1936</v>
      </c>
      <c r="Y1062" s="251"/>
      <c r="Z1062" s="290"/>
      <c r="AA1062" s="286"/>
    </row>
    <row r="1063" spans="1:27" s="181" customFormat="1" hidden="1" x14ac:dyDescent="0.25">
      <c r="A1063" s="155">
        <v>1</v>
      </c>
      <c r="B1063" s="129">
        <v>1501044</v>
      </c>
      <c r="C1063" s="127" t="s">
        <v>2020</v>
      </c>
      <c r="D1063" s="128" t="s">
        <v>1554</v>
      </c>
      <c r="E1063" s="147" t="s">
        <v>38</v>
      </c>
      <c r="F1063" s="129" t="s">
        <v>102</v>
      </c>
      <c r="G1063" s="147" t="s">
        <v>1731</v>
      </c>
      <c r="H1063" s="189">
        <f t="shared" si="17"/>
        <v>0</v>
      </c>
      <c r="I1063" s="180" t="s">
        <v>2213</v>
      </c>
      <c r="J1063" s="150"/>
      <c r="K1063" s="147">
        <v>1</v>
      </c>
      <c r="L1063" s="147">
        <v>1</v>
      </c>
      <c r="M1063" s="147">
        <v>2</v>
      </c>
      <c r="N1063" s="275"/>
      <c r="O1063" s="194"/>
      <c r="P1063" s="179"/>
      <c r="Q1063" s="173"/>
      <c r="R1063" s="271">
        <v>0</v>
      </c>
      <c r="S1063" s="164"/>
      <c r="T1063" s="129" t="s">
        <v>102</v>
      </c>
      <c r="U1063" s="147" t="s">
        <v>35</v>
      </c>
      <c r="V1063" s="129"/>
      <c r="W1063" s="176" t="s">
        <v>2519</v>
      </c>
      <c r="X1063" s="205"/>
      <c r="Y1063" s="251"/>
      <c r="Z1063" s="155"/>
      <c r="AA1063" s="230"/>
    </row>
    <row r="1064" spans="1:27" s="181" customFormat="1" hidden="1" x14ac:dyDescent="0.25">
      <c r="A1064" s="155">
        <v>1</v>
      </c>
      <c r="B1064" s="129">
        <v>1501045</v>
      </c>
      <c r="C1064" s="127" t="s">
        <v>2020</v>
      </c>
      <c r="D1064" s="128" t="s">
        <v>1579</v>
      </c>
      <c r="E1064" s="147" t="s">
        <v>38</v>
      </c>
      <c r="F1064" s="129" t="s">
        <v>102</v>
      </c>
      <c r="G1064" s="147" t="s">
        <v>1731</v>
      </c>
      <c r="H1064" s="189">
        <f t="shared" si="17"/>
        <v>0.41</v>
      </c>
      <c r="I1064" s="180" t="s">
        <v>2213</v>
      </c>
      <c r="J1064" s="150"/>
      <c r="K1064" s="147"/>
      <c r="L1064" s="147"/>
      <c r="M1064" s="147">
        <v>2</v>
      </c>
      <c r="N1064" s="275"/>
      <c r="O1064" s="194"/>
      <c r="P1064" s="179"/>
      <c r="Q1064" s="173">
        <v>0.41</v>
      </c>
      <c r="R1064" s="271">
        <v>0</v>
      </c>
      <c r="S1064" s="164"/>
      <c r="T1064" s="129" t="s">
        <v>102</v>
      </c>
      <c r="U1064" s="147" t="s">
        <v>35</v>
      </c>
      <c r="V1064" s="129"/>
      <c r="W1064" s="176" t="s">
        <v>2519</v>
      </c>
      <c r="X1064" s="205"/>
      <c r="Y1064" s="251"/>
      <c r="Z1064" s="155"/>
      <c r="AA1064" s="230"/>
    </row>
    <row r="1065" spans="1:27" s="181" customFormat="1" ht="24" hidden="1" x14ac:dyDescent="0.25">
      <c r="A1065" s="155"/>
      <c r="B1065" s="129">
        <v>1501046</v>
      </c>
      <c r="C1065" s="127" t="s">
        <v>2020</v>
      </c>
      <c r="D1065" s="128" t="s">
        <v>1780</v>
      </c>
      <c r="E1065" s="147" t="s">
        <v>38</v>
      </c>
      <c r="F1065" s="129" t="s">
        <v>1738</v>
      </c>
      <c r="G1065" s="147" t="s">
        <v>1731</v>
      </c>
      <c r="H1065" s="189">
        <f t="shared" si="17"/>
        <v>0.2782</v>
      </c>
      <c r="I1065" s="180" t="s">
        <v>2213</v>
      </c>
      <c r="J1065" s="150"/>
      <c r="K1065" s="147">
        <v>2</v>
      </c>
      <c r="L1065" s="147">
        <v>1</v>
      </c>
      <c r="M1065" s="147">
        <v>3</v>
      </c>
      <c r="N1065" s="275"/>
      <c r="O1065" s="193"/>
      <c r="P1065" s="179">
        <v>45215</v>
      </c>
      <c r="Q1065" s="173">
        <v>0.22819999999999999</v>
      </c>
      <c r="R1065" s="271">
        <v>0.05</v>
      </c>
      <c r="S1065" s="164"/>
      <c r="T1065" s="129" t="s">
        <v>1738</v>
      </c>
      <c r="U1065" s="147" t="s">
        <v>37</v>
      </c>
      <c r="V1065" s="129"/>
      <c r="W1065" s="176" t="s">
        <v>2519</v>
      </c>
      <c r="X1065" s="205" t="s">
        <v>1009</v>
      </c>
      <c r="Y1065" s="251"/>
      <c r="Z1065" s="155"/>
      <c r="AA1065" s="230"/>
    </row>
    <row r="1066" spans="1:27" hidden="1" x14ac:dyDescent="0.25">
      <c r="A1066" s="155"/>
      <c r="B1066" s="129">
        <v>1501047</v>
      </c>
      <c r="C1066" s="127" t="s">
        <v>2020</v>
      </c>
      <c r="D1066" s="128" t="s">
        <v>1778</v>
      </c>
      <c r="E1066" s="147" t="s">
        <v>38</v>
      </c>
      <c r="F1066" s="129" t="s">
        <v>1738</v>
      </c>
      <c r="G1066" s="147" t="s">
        <v>1731</v>
      </c>
      <c r="H1066" s="189">
        <f t="shared" si="17"/>
        <v>0.11270000000000001</v>
      </c>
      <c r="I1066" s="180" t="s">
        <v>2213</v>
      </c>
      <c r="J1066" s="150"/>
      <c r="K1066" s="147">
        <v>2</v>
      </c>
      <c r="L1066" s="147">
        <v>1</v>
      </c>
      <c r="M1066" s="147">
        <v>3</v>
      </c>
      <c r="N1066" s="275"/>
      <c r="O1066" s="193"/>
      <c r="P1066" s="179">
        <v>45147</v>
      </c>
      <c r="Q1066" s="173">
        <v>6.2700000000000006E-2</v>
      </c>
      <c r="R1066" s="271">
        <v>0.05</v>
      </c>
      <c r="S1066" s="164"/>
      <c r="T1066" s="129" t="s">
        <v>1738</v>
      </c>
      <c r="U1066" s="147" t="s">
        <v>37</v>
      </c>
      <c r="V1066" s="129"/>
      <c r="W1066" s="176" t="s">
        <v>2519</v>
      </c>
      <c r="X1066" s="205" t="s">
        <v>1009</v>
      </c>
      <c r="Y1066" s="251"/>
      <c r="Z1066" s="155"/>
      <c r="AA1066" s="230"/>
    </row>
    <row r="1067" spans="1:27" ht="24" hidden="1" x14ac:dyDescent="0.25">
      <c r="A1067" s="155"/>
      <c r="B1067" s="129">
        <v>1501048</v>
      </c>
      <c r="C1067" s="127" t="s">
        <v>2020</v>
      </c>
      <c r="D1067" s="128" t="s">
        <v>1781</v>
      </c>
      <c r="E1067" s="147" t="s">
        <v>38</v>
      </c>
      <c r="F1067" s="129" t="s">
        <v>1738</v>
      </c>
      <c r="G1067" s="147" t="s">
        <v>1731</v>
      </c>
      <c r="H1067" s="189">
        <f t="shared" si="17"/>
        <v>0.67190000000000005</v>
      </c>
      <c r="I1067" s="180" t="s">
        <v>2213</v>
      </c>
      <c r="J1067" s="150"/>
      <c r="K1067" s="147">
        <v>2</v>
      </c>
      <c r="L1067" s="147">
        <v>1</v>
      </c>
      <c r="M1067" s="147">
        <v>3</v>
      </c>
      <c r="N1067" s="275"/>
      <c r="O1067" s="193"/>
      <c r="P1067" s="179">
        <v>45215</v>
      </c>
      <c r="Q1067" s="173">
        <v>0.62190000000000001</v>
      </c>
      <c r="R1067" s="271">
        <v>0.05</v>
      </c>
      <c r="S1067" s="164"/>
      <c r="T1067" s="129" t="s">
        <v>1738</v>
      </c>
      <c r="U1067" s="147" t="s">
        <v>37</v>
      </c>
      <c r="V1067" s="129"/>
      <c r="W1067" s="176" t="s">
        <v>2519</v>
      </c>
      <c r="X1067" s="205" t="s">
        <v>1009</v>
      </c>
      <c r="Y1067" s="251"/>
      <c r="Z1067" s="155"/>
      <c r="AA1067" s="230"/>
    </row>
    <row r="1068" spans="1:27" ht="24" hidden="1" x14ac:dyDescent="0.25">
      <c r="A1068" s="155"/>
      <c r="B1068" s="129">
        <v>1501049</v>
      </c>
      <c r="C1068" s="127" t="s">
        <v>2020</v>
      </c>
      <c r="D1068" s="128" t="s">
        <v>1779</v>
      </c>
      <c r="E1068" s="147" t="s">
        <v>38</v>
      </c>
      <c r="F1068" s="129" t="s">
        <v>1738</v>
      </c>
      <c r="G1068" s="147" t="s">
        <v>1731</v>
      </c>
      <c r="H1068" s="189">
        <f t="shared" si="17"/>
        <v>1.5206</v>
      </c>
      <c r="I1068" s="180" t="s">
        <v>2213</v>
      </c>
      <c r="J1068" s="150"/>
      <c r="K1068" s="147">
        <v>2</v>
      </c>
      <c r="L1068" s="147">
        <v>1</v>
      </c>
      <c r="M1068" s="147">
        <v>3</v>
      </c>
      <c r="N1068" s="275"/>
      <c r="O1068" s="193"/>
      <c r="P1068" s="179">
        <v>45147</v>
      </c>
      <c r="Q1068" s="173">
        <v>1.4705999999999999</v>
      </c>
      <c r="R1068" s="271">
        <v>0.05</v>
      </c>
      <c r="S1068" s="164"/>
      <c r="T1068" s="129" t="s">
        <v>1738</v>
      </c>
      <c r="U1068" s="147" t="s">
        <v>37</v>
      </c>
      <c r="V1068" s="129"/>
      <c r="W1068" s="176" t="s">
        <v>2519</v>
      </c>
      <c r="X1068" s="205" t="s">
        <v>1009</v>
      </c>
      <c r="Y1068" s="251"/>
      <c r="Z1068" s="155"/>
      <c r="AA1068" s="230"/>
    </row>
    <row r="1069" spans="1:27" hidden="1" x14ac:dyDescent="0.25">
      <c r="A1069" s="155"/>
      <c r="B1069" s="129">
        <v>1501050</v>
      </c>
      <c r="C1069" s="127" t="s">
        <v>2020</v>
      </c>
      <c r="D1069" s="136" t="s">
        <v>1858</v>
      </c>
      <c r="E1069" s="147" t="s">
        <v>38</v>
      </c>
      <c r="F1069" s="129" t="s">
        <v>1649</v>
      </c>
      <c r="G1069" s="147" t="s">
        <v>1731</v>
      </c>
      <c r="H1069" s="189">
        <f t="shared" si="17"/>
        <v>3.5611999999999999</v>
      </c>
      <c r="I1069" s="134" t="s">
        <v>2082</v>
      </c>
      <c r="J1069" s="146">
        <v>30</v>
      </c>
      <c r="K1069" s="147">
        <v>2</v>
      </c>
      <c r="L1069" s="147">
        <v>1</v>
      </c>
      <c r="M1069" s="147">
        <v>3</v>
      </c>
      <c r="N1069" s="275">
        <v>200</v>
      </c>
      <c r="O1069" s="196"/>
      <c r="P1069" s="179">
        <v>45398</v>
      </c>
      <c r="Q1069" s="175">
        <v>3.07</v>
      </c>
      <c r="R1069" s="271">
        <v>0.49119999999999997</v>
      </c>
      <c r="S1069" s="164"/>
      <c r="T1069" s="129" t="s">
        <v>1906</v>
      </c>
      <c r="U1069" s="147" t="s">
        <v>37</v>
      </c>
      <c r="V1069" s="129"/>
      <c r="W1069" s="147" t="s">
        <v>2209</v>
      </c>
      <c r="X1069" s="205" t="s">
        <v>1936</v>
      </c>
      <c r="Y1069" s="251"/>
      <c r="Z1069" s="155"/>
      <c r="AA1069" s="230"/>
    </row>
    <row r="1070" spans="1:27" s="181" customFormat="1" hidden="1" x14ac:dyDescent="0.25">
      <c r="A1070" s="155"/>
      <c r="B1070" s="129">
        <v>1501051</v>
      </c>
      <c r="C1070" s="127" t="s">
        <v>2020</v>
      </c>
      <c r="D1070" s="136" t="s">
        <v>1857</v>
      </c>
      <c r="E1070" s="147" t="s">
        <v>38</v>
      </c>
      <c r="F1070" s="129" t="s">
        <v>1649</v>
      </c>
      <c r="G1070" s="147" t="s">
        <v>1731</v>
      </c>
      <c r="H1070" s="189">
        <f t="shared" si="17"/>
        <v>0.64960000000000007</v>
      </c>
      <c r="I1070" s="134" t="s">
        <v>2082</v>
      </c>
      <c r="J1070" s="146">
        <v>30</v>
      </c>
      <c r="K1070" s="147">
        <v>2</v>
      </c>
      <c r="L1070" s="147">
        <v>1</v>
      </c>
      <c r="M1070" s="147">
        <v>3</v>
      </c>
      <c r="N1070" s="275">
        <v>200</v>
      </c>
      <c r="O1070" s="196"/>
      <c r="P1070" s="179">
        <v>45398</v>
      </c>
      <c r="Q1070" s="175">
        <v>0.56000000000000005</v>
      </c>
      <c r="R1070" s="271">
        <v>8.9600000000000013E-2</v>
      </c>
      <c r="S1070" s="164"/>
      <c r="T1070" s="129" t="s">
        <v>1906</v>
      </c>
      <c r="U1070" s="147" t="s">
        <v>37</v>
      </c>
      <c r="V1070" s="129"/>
      <c r="W1070" s="147" t="s">
        <v>2209</v>
      </c>
      <c r="X1070" s="205" t="s">
        <v>1936</v>
      </c>
      <c r="Y1070" s="251"/>
      <c r="Z1070" s="155"/>
      <c r="AA1070" s="230"/>
    </row>
    <row r="1071" spans="1:27" s="181" customFormat="1" ht="24" x14ac:dyDescent="0.25">
      <c r="A1071" s="155"/>
      <c r="B1071" s="129">
        <v>1501052</v>
      </c>
      <c r="C1071" s="127" t="s">
        <v>2020</v>
      </c>
      <c r="D1071" s="136" t="s">
        <v>1887</v>
      </c>
      <c r="E1071" s="147" t="s">
        <v>38</v>
      </c>
      <c r="F1071" s="129" t="s">
        <v>2018</v>
      </c>
      <c r="G1071" s="147" t="s">
        <v>1731</v>
      </c>
      <c r="H1071" s="189">
        <f t="shared" si="17"/>
        <v>1.1011</v>
      </c>
      <c r="I1071" s="210" t="s">
        <v>2223</v>
      </c>
      <c r="J1071" s="146">
        <v>30</v>
      </c>
      <c r="K1071" s="147">
        <v>2</v>
      </c>
      <c r="L1071" s="147">
        <v>1</v>
      </c>
      <c r="M1071" s="147">
        <v>3</v>
      </c>
      <c r="N1071" s="275">
        <v>200</v>
      </c>
      <c r="O1071" s="196"/>
      <c r="P1071" s="179">
        <v>45639</v>
      </c>
      <c r="Q1071" s="175">
        <v>1.1011</v>
      </c>
      <c r="R1071" s="271">
        <v>0</v>
      </c>
      <c r="S1071" s="164"/>
      <c r="T1071" s="129" t="s">
        <v>1846</v>
      </c>
      <c r="U1071" s="147" t="s">
        <v>35</v>
      </c>
      <c r="V1071" s="129"/>
      <c r="W1071" s="147" t="s">
        <v>2208</v>
      </c>
      <c r="X1071" s="205" t="s">
        <v>1936</v>
      </c>
      <c r="Y1071" s="251"/>
      <c r="Z1071" s="290"/>
      <c r="AA1071" s="286"/>
    </row>
    <row r="1072" spans="1:27" s="181" customFormat="1" ht="24" x14ac:dyDescent="0.25">
      <c r="A1072" s="155"/>
      <c r="B1072" s="129">
        <v>1501053</v>
      </c>
      <c r="C1072" s="127" t="s">
        <v>2020</v>
      </c>
      <c r="D1072" s="136" t="s">
        <v>1888</v>
      </c>
      <c r="E1072" s="147" t="s">
        <v>38</v>
      </c>
      <c r="F1072" s="129" t="s">
        <v>2018</v>
      </c>
      <c r="G1072" s="147" t="s">
        <v>1731</v>
      </c>
      <c r="H1072" s="189">
        <f t="shared" si="17"/>
        <v>1.1331</v>
      </c>
      <c r="I1072" s="210" t="s">
        <v>2223</v>
      </c>
      <c r="J1072" s="146">
        <v>30</v>
      </c>
      <c r="K1072" s="147">
        <v>2</v>
      </c>
      <c r="L1072" s="147">
        <v>1</v>
      </c>
      <c r="M1072" s="147">
        <v>3</v>
      </c>
      <c r="N1072" s="275">
        <v>200</v>
      </c>
      <c r="O1072" s="196"/>
      <c r="P1072" s="179">
        <v>45639</v>
      </c>
      <c r="Q1072" s="175">
        <v>1.1331</v>
      </c>
      <c r="R1072" s="271">
        <v>0</v>
      </c>
      <c r="S1072" s="164"/>
      <c r="T1072" s="129" t="s">
        <v>1846</v>
      </c>
      <c r="U1072" s="147" t="s">
        <v>35</v>
      </c>
      <c r="V1072" s="129"/>
      <c r="W1072" s="147" t="s">
        <v>2208</v>
      </c>
      <c r="X1072" s="205" t="s">
        <v>1936</v>
      </c>
      <c r="Y1072" s="251"/>
      <c r="Z1072" s="290"/>
      <c r="AA1072" s="286"/>
    </row>
    <row r="1073" spans="1:27" s="181" customFormat="1" ht="24" x14ac:dyDescent="0.25">
      <c r="A1073" s="155"/>
      <c r="B1073" s="129">
        <v>1501054</v>
      </c>
      <c r="C1073" s="127" t="s">
        <v>2020</v>
      </c>
      <c r="D1073" s="136" t="s">
        <v>1893</v>
      </c>
      <c r="E1073" s="147" t="s">
        <v>38</v>
      </c>
      <c r="F1073" s="129" t="s">
        <v>2018</v>
      </c>
      <c r="G1073" s="147" t="s">
        <v>1731</v>
      </c>
      <c r="H1073" s="189">
        <f t="shared" si="17"/>
        <v>1.2427999999999999</v>
      </c>
      <c r="I1073" s="210" t="s">
        <v>2223</v>
      </c>
      <c r="J1073" s="146">
        <v>30</v>
      </c>
      <c r="K1073" s="147">
        <v>2</v>
      </c>
      <c r="L1073" s="147">
        <v>1</v>
      </c>
      <c r="M1073" s="147">
        <v>3</v>
      </c>
      <c r="N1073" s="275">
        <v>200</v>
      </c>
      <c r="O1073" s="193">
        <v>2.19</v>
      </c>
      <c r="P1073" s="179">
        <v>45639</v>
      </c>
      <c r="Q1073" s="175">
        <v>1.2427999999999999</v>
      </c>
      <c r="R1073" s="271">
        <v>0</v>
      </c>
      <c r="S1073" s="164"/>
      <c r="T1073" s="129" t="s">
        <v>1906</v>
      </c>
      <c r="U1073" s="147" t="s">
        <v>37</v>
      </c>
      <c r="V1073" s="129"/>
      <c r="W1073" s="147" t="s">
        <v>2208</v>
      </c>
      <c r="X1073" s="205" t="s">
        <v>1936</v>
      </c>
      <c r="Y1073" s="251"/>
      <c r="Z1073" s="290"/>
      <c r="AA1073" s="286"/>
    </row>
    <row r="1074" spans="1:27" s="181" customFormat="1" ht="24" x14ac:dyDescent="0.25">
      <c r="A1074" s="155"/>
      <c r="B1074" s="129">
        <v>1501055</v>
      </c>
      <c r="C1074" s="127" t="s">
        <v>2020</v>
      </c>
      <c r="D1074" s="136" t="s">
        <v>1894</v>
      </c>
      <c r="E1074" s="147" t="s">
        <v>38</v>
      </c>
      <c r="F1074" s="129" t="s">
        <v>2018</v>
      </c>
      <c r="G1074" s="147" t="s">
        <v>1731</v>
      </c>
      <c r="H1074" s="189">
        <f t="shared" si="17"/>
        <v>0.2399</v>
      </c>
      <c r="I1074" s="210" t="s">
        <v>2223</v>
      </c>
      <c r="J1074" s="146">
        <v>30</v>
      </c>
      <c r="K1074" s="147">
        <v>2</v>
      </c>
      <c r="L1074" s="147">
        <v>1</v>
      </c>
      <c r="M1074" s="147">
        <v>3</v>
      </c>
      <c r="N1074" s="275">
        <v>200</v>
      </c>
      <c r="O1074" s="193">
        <v>0.43</v>
      </c>
      <c r="P1074" s="179">
        <v>45639</v>
      </c>
      <c r="Q1074" s="175">
        <v>0.2399</v>
      </c>
      <c r="R1074" s="271">
        <v>0</v>
      </c>
      <c r="S1074" s="164"/>
      <c r="T1074" s="129" t="s">
        <v>1906</v>
      </c>
      <c r="U1074" s="147" t="s">
        <v>37</v>
      </c>
      <c r="V1074" s="129"/>
      <c r="W1074" s="147" t="s">
        <v>2208</v>
      </c>
      <c r="X1074" s="205" t="s">
        <v>1936</v>
      </c>
      <c r="Y1074" s="251"/>
      <c r="Z1074" s="290"/>
      <c r="AA1074" s="286"/>
    </row>
    <row r="1075" spans="1:27" s="181" customFormat="1" hidden="1" x14ac:dyDescent="0.25">
      <c r="A1075" s="155">
        <v>1</v>
      </c>
      <c r="B1075" s="129">
        <v>1501101</v>
      </c>
      <c r="C1075" s="127" t="s">
        <v>2020</v>
      </c>
      <c r="D1075" s="128" t="s">
        <v>1285</v>
      </c>
      <c r="E1075" s="147" t="s">
        <v>38</v>
      </c>
      <c r="F1075" s="129" t="s">
        <v>74</v>
      </c>
      <c r="G1075" s="147" t="s">
        <v>1731</v>
      </c>
      <c r="H1075" s="189">
        <f t="shared" si="17"/>
        <v>0</v>
      </c>
      <c r="I1075" s="213"/>
      <c r="J1075" s="149"/>
      <c r="K1075" s="147">
        <v>12</v>
      </c>
      <c r="L1075" s="147">
        <v>1</v>
      </c>
      <c r="M1075" s="147">
        <v>13</v>
      </c>
      <c r="N1075" s="275"/>
      <c r="O1075" s="194"/>
      <c r="P1075" s="179"/>
      <c r="Q1075" s="173"/>
      <c r="R1075" s="260">
        <v>0</v>
      </c>
      <c r="S1075" s="167"/>
      <c r="T1075" s="129"/>
      <c r="U1075" s="147" t="s">
        <v>37</v>
      </c>
      <c r="V1075" s="129"/>
      <c r="W1075" s="162" t="s">
        <v>54</v>
      </c>
      <c r="X1075" s="205"/>
      <c r="Y1075" s="251"/>
      <c r="Z1075" s="155"/>
      <c r="AA1075" s="230"/>
    </row>
    <row r="1076" spans="1:27" ht="24" hidden="1" x14ac:dyDescent="0.25">
      <c r="A1076" s="155">
        <v>1</v>
      </c>
      <c r="B1076" s="129">
        <v>1501102</v>
      </c>
      <c r="C1076" s="127" t="s">
        <v>2020</v>
      </c>
      <c r="D1076" s="128" t="s">
        <v>1287</v>
      </c>
      <c r="E1076" s="147" t="s">
        <v>38</v>
      </c>
      <c r="F1076" s="129" t="s">
        <v>74</v>
      </c>
      <c r="G1076" s="147" t="s">
        <v>1731</v>
      </c>
      <c r="H1076" s="189">
        <f t="shared" si="17"/>
        <v>0</v>
      </c>
      <c r="I1076" s="213"/>
      <c r="J1076" s="149"/>
      <c r="K1076" s="147">
        <v>12</v>
      </c>
      <c r="L1076" s="147">
        <v>1</v>
      </c>
      <c r="M1076" s="147">
        <v>13</v>
      </c>
      <c r="N1076" s="275"/>
      <c r="O1076" s="194"/>
      <c r="P1076" s="179"/>
      <c r="Q1076" s="173"/>
      <c r="R1076" s="260">
        <v>0</v>
      </c>
      <c r="S1076" s="167"/>
      <c r="T1076" s="129"/>
      <c r="U1076" s="147" t="s">
        <v>37</v>
      </c>
      <c r="V1076" s="129"/>
      <c r="W1076" s="162" t="s">
        <v>54</v>
      </c>
      <c r="X1076" s="205"/>
      <c r="Y1076" s="251"/>
      <c r="Z1076" s="155"/>
      <c r="AA1076" s="230"/>
    </row>
    <row r="1077" spans="1:27" ht="24" hidden="1" x14ac:dyDescent="0.25">
      <c r="A1077" s="155">
        <v>1</v>
      </c>
      <c r="B1077" s="129">
        <v>1501103</v>
      </c>
      <c r="C1077" s="127" t="s">
        <v>2020</v>
      </c>
      <c r="D1077" s="128" t="s">
        <v>1289</v>
      </c>
      <c r="E1077" s="147" t="s">
        <v>38</v>
      </c>
      <c r="F1077" s="129" t="s">
        <v>74</v>
      </c>
      <c r="G1077" s="147" t="s">
        <v>1731</v>
      </c>
      <c r="H1077" s="189">
        <f t="shared" si="17"/>
        <v>0</v>
      </c>
      <c r="I1077" s="213"/>
      <c r="J1077" s="149"/>
      <c r="K1077" s="147">
        <v>12</v>
      </c>
      <c r="L1077" s="147">
        <v>1</v>
      </c>
      <c r="M1077" s="147">
        <v>13</v>
      </c>
      <c r="N1077" s="275"/>
      <c r="O1077" s="194"/>
      <c r="P1077" s="179"/>
      <c r="Q1077" s="173"/>
      <c r="R1077" s="260">
        <v>0</v>
      </c>
      <c r="S1077" s="167"/>
      <c r="T1077" s="129"/>
      <c r="U1077" s="147" t="s">
        <v>37</v>
      </c>
      <c r="V1077" s="129"/>
      <c r="W1077" s="162" t="s">
        <v>54</v>
      </c>
      <c r="X1077" s="205"/>
      <c r="Y1077" s="251"/>
      <c r="Z1077" s="155"/>
      <c r="AA1077" s="230"/>
    </row>
    <row r="1078" spans="1:27" hidden="1" x14ac:dyDescent="0.25">
      <c r="A1078" s="155">
        <v>1</v>
      </c>
      <c r="B1078" s="129">
        <v>1501104</v>
      </c>
      <c r="C1078" s="127" t="s">
        <v>2020</v>
      </c>
      <c r="D1078" s="128" t="s">
        <v>1291</v>
      </c>
      <c r="E1078" s="147" t="s">
        <v>38</v>
      </c>
      <c r="F1078" s="129" t="s">
        <v>74</v>
      </c>
      <c r="G1078" s="147" t="s">
        <v>1731</v>
      </c>
      <c r="H1078" s="189">
        <f t="shared" si="17"/>
        <v>0</v>
      </c>
      <c r="I1078" s="213"/>
      <c r="J1078" s="149"/>
      <c r="K1078" s="147">
        <v>12</v>
      </c>
      <c r="L1078" s="147">
        <v>1</v>
      </c>
      <c r="M1078" s="147">
        <v>13</v>
      </c>
      <c r="N1078" s="275"/>
      <c r="O1078" s="194"/>
      <c r="P1078" s="179"/>
      <c r="Q1078" s="173"/>
      <c r="R1078" s="260">
        <v>0</v>
      </c>
      <c r="S1078" s="167"/>
      <c r="T1078" s="129"/>
      <c r="U1078" s="147" t="s">
        <v>37</v>
      </c>
      <c r="V1078" s="129"/>
      <c r="W1078" s="162" t="s">
        <v>54</v>
      </c>
      <c r="X1078" s="205"/>
      <c r="Y1078" s="251"/>
      <c r="Z1078" s="155"/>
      <c r="AA1078" s="230"/>
    </row>
    <row r="1079" spans="1:27" ht="24" hidden="1" x14ac:dyDescent="0.25">
      <c r="A1079" s="155">
        <v>1</v>
      </c>
      <c r="B1079" s="129">
        <v>1501105</v>
      </c>
      <c r="C1079" s="127" t="s">
        <v>2020</v>
      </c>
      <c r="D1079" s="128" t="s">
        <v>1294</v>
      </c>
      <c r="E1079" s="147" t="s">
        <v>38</v>
      </c>
      <c r="F1079" s="129" t="s">
        <v>74</v>
      </c>
      <c r="G1079" s="147" t="s">
        <v>1731</v>
      </c>
      <c r="H1079" s="189">
        <f t="shared" si="17"/>
        <v>0</v>
      </c>
      <c r="I1079" s="213"/>
      <c r="J1079" s="149"/>
      <c r="K1079" s="147">
        <v>12</v>
      </c>
      <c r="L1079" s="147">
        <v>1</v>
      </c>
      <c r="M1079" s="147">
        <v>13</v>
      </c>
      <c r="N1079" s="275"/>
      <c r="O1079" s="194"/>
      <c r="P1079" s="179"/>
      <c r="Q1079" s="173"/>
      <c r="R1079" s="260">
        <v>0</v>
      </c>
      <c r="S1079" s="167"/>
      <c r="T1079" s="129"/>
      <c r="U1079" s="147" t="s">
        <v>37</v>
      </c>
      <c r="V1079" s="129"/>
      <c r="W1079" s="162" t="s">
        <v>54</v>
      </c>
      <c r="X1079" s="205"/>
      <c r="Y1079" s="251"/>
      <c r="Z1079" s="155"/>
      <c r="AA1079" s="230"/>
    </row>
    <row r="1080" spans="1:27" ht="24" hidden="1" x14ac:dyDescent="0.25">
      <c r="A1080" s="155">
        <v>1</v>
      </c>
      <c r="B1080" s="129">
        <v>1501106</v>
      </c>
      <c r="C1080" s="127" t="s">
        <v>2020</v>
      </c>
      <c r="D1080" s="128" t="s">
        <v>1296</v>
      </c>
      <c r="E1080" s="147" t="s">
        <v>38</v>
      </c>
      <c r="F1080" s="129" t="s">
        <v>1231</v>
      </c>
      <c r="G1080" s="147" t="s">
        <v>1731</v>
      </c>
      <c r="H1080" s="189">
        <f t="shared" si="17"/>
        <v>0.22600000000000001</v>
      </c>
      <c r="I1080" s="134" t="s">
        <v>2086</v>
      </c>
      <c r="J1080" s="146">
        <v>30</v>
      </c>
      <c r="K1080" s="147">
        <v>1</v>
      </c>
      <c r="L1080" s="147">
        <v>1</v>
      </c>
      <c r="M1080" s="147">
        <v>2</v>
      </c>
      <c r="N1080" s="275"/>
      <c r="O1080" s="194"/>
      <c r="P1080" s="179"/>
      <c r="Q1080" s="173">
        <v>0.22600000000000001</v>
      </c>
      <c r="R1080" s="271">
        <v>0</v>
      </c>
      <c r="S1080" s="167"/>
      <c r="T1080" s="129" t="s">
        <v>263</v>
      </c>
      <c r="U1080" s="147" t="s">
        <v>37</v>
      </c>
      <c r="V1080" s="129"/>
      <c r="W1080" s="162" t="s">
        <v>54</v>
      </c>
      <c r="X1080" s="205"/>
      <c r="Y1080" s="251"/>
      <c r="Z1080" s="155"/>
      <c r="AA1080" s="230"/>
    </row>
    <row r="1081" spans="1:27" s="181" customFormat="1" hidden="1" x14ac:dyDescent="0.25">
      <c r="A1081" s="155">
        <v>1</v>
      </c>
      <c r="B1081" s="129">
        <v>1501107</v>
      </c>
      <c r="C1081" s="127" t="s">
        <v>2020</v>
      </c>
      <c r="D1081" s="128" t="s">
        <v>1635</v>
      </c>
      <c r="E1081" s="147" t="s">
        <v>38</v>
      </c>
      <c r="F1081" s="129" t="s">
        <v>1625</v>
      </c>
      <c r="G1081" s="147" t="s">
        <v>1731</v>
      </c>
      <c r="H1081" s="189">
        <f t="shared" si="17"/>
        <v>0</v>
      </c>
      <c r="I1081" s="180" t="s">
        <v>2213</v>
      </c>
      <c r="J1081" s="150"/>
      <c r="K1081" s="147">
        <v>11</v>
      </c>
      <c r="L1081" s="147">
        <v>1</v>
      </c>
      <c r="M1081" s="147">
        <v>12</v>
      </c>
      <c r="N1081" s="275"/>
      <c r="O1081" s="194"/>
      <c r="P1081" s="179"/>
      <c r="Q1081" s="173"/>
      <c r="R1081" s="271"/>
      <c r="S1081" s="167"/>
      <c r="T1081" s="129" t="s">
        <v>1625</v>
      </c>
      <c r="U1081" s="147" t="s">
        <v>37</v>
      </c>
      <c r="V1081" s="129"/>
      <c r="W1081" s="162" t="s">
        <v>2519</v>
      </c>
      <c r="X1081" s="205"/>
      <c r="Y1081" s="251"/>
      <c r="Z1081" s="155"/>
      <c r="AA1081" s="230"/>
    </row>
    <row r="1082" spans="1:27" s="181" customFormat="1" ht="24" hidden="1" x14ac:dyDescent="0.25">
      <c r="A1082" s="155">
        <v>1</v>
      </c>
      <c r="B1082" s="129">
        <v>1501108</v>
      </c>
      <c r="C1082" s="127" t="s">
        <v>2020</v>
      </c>
      <c r="D1082" s="128" t="s">
        <v>1651</v>
      </c>
      <c r="E1082" s="147" t="s">
        <v>38</v>
      </c>
      <c r="F1082" s="129" t="s">
        <v>2018</v>
      </c>
      <c r="G1082" s="147" t="s">
        <v>1731</v>
      </c>
      <c r="H1082" s="189">
        <f t="shared" ref="H1082:H1145" si="18">Q1082+R1082</f>
        <v>0</v>
      </c>
      <c r="I1082" s="210" t="s">
        <v>2223</v>
      </c>
      <c r="J1082" s="146">
        <v>30</v>
      </c>
      <c r="K1082" s="147">
        <v>1</v>
      </c>
      <c r="L1082" s="147">
        <v>1</v>
      </c>
      <c r="M1082" s="147">
        <v>2</v>
      </c>
      <c r="N1082" s="275">
        <v>200</v>
      </c>
      <c r="O1082" s="193">
        <v>0.51</v>
      </c>
      <c r="P1082" s="179">
        <v>45639</v>
      </c>
      <c r="Q1082" s="173"/>
      <c r="R1082" s="271"/>
      <c r="S1082" s="167"/>
      <c r="T1082" s="129"/>
      <c r="U1082" s="147" t="s">
        <v>37</v>
      </c>
      <c r="V1082" s="129"/>
      <c r="W1082" s="147" t="s">
        <v>2209</v>
      </c>
      <c r="X1082" s="205" t="s">
        <v>1936</v>
      </c>
      <c r="Y1082" s="251"/>
      <c r="Z1082" s="290"/>
      <c r="AA1082" s="286"/>
    </row>
    <row r="1083" spans="1:27" s="181" customFormat="1" ht="24" x14ac:dyDescent="0.25">
      <c r="A1083" s="155">
        <v>1</v>
      </c>
      <c r="B1083" s="129">
        <v>1501109</v>
      </c>
      <c r="C1083" s="127" t="s">
        <v>2020</v>
      </c>
      <c r="D1083" s="128" t="s">
        <v>1652</v>
      </c>
      <c r="E1083" s="147" t="s">
        <v>38</v>
      </c>
      <c r="F1083" s="129" t="s">
        <v>2018</v>
      </c>
      <c r="G1083" s="147" t="s">
        <v>1731</v>
      </c>
      <c r="H1083" s="189">
        <f t="shared" si="18"/>
        <v>0.75270000000000004</v>
      </c>
      <c r="I1083" s="210" t="s">
        <v>2223</v>
      </c>
      <c r="J1083" s="146">
        <v>30</v>
      </c>
      <c r="K1083" s="147">
        <v>2</v>
      </c>
      <c r="L1083" s="147">
        <v>1</v>
      </c>
      <c r="M1083" s="147">
        <v>3</v>
      </c>
      <c r="N1083" s="275">
        <v>200</v>
      </c>
      <c r="O1083" s="193">
        <v>0.96</v>
      </c>
      <c r="P1083" s="179">
        <v>45639</v>
      </c>
      <c r="Q1083" s="173">
        <v>0.75270000000000004</v>
      </c>
      <c r="R1083" s="271">
        <v>0</v>
      </c>
      <c r="S1083" s="164"/>
      <c r="T1083" s="129" t="s">
        <v>2590</v>
      </c>
      <c r="U1083" s="147" t="s">
        <v>37</v>
      </c>
      <c r="V1083" s="129"/>
      <c r="W1083" s="147" t="s">
        <v>2208</v>
      </c>
      <c r="X1083" s="205" t="s">
        <v>1936</v>
      </c>
      <c r="Y1083" s="251"/>
      <c r="Z1083" s="290"/>
      <c r="AA1083" s="286"/>
    </row>
    <row r="1084" spans="1:27" s="181" customFormat="1" ht="24" x14ac:dyDescent="0.25">
      <c r="A1084" s="155">
        <v>1</v>
      </c>
      <c r="B1084" s="129">
        <v>1501110</v>
      </c>
      <c r="C1084" s="127" t="s">
        <v>2020</v>
      </c>
      <c r="D1084" s="128" t="s">
        <v>1653</v>
      </c>
      <c r="E1084" s="147" t="s">
        <v>38</v>
      </c>
      <c r="F1084" s="129" t="s">
        <v>2018</v>
      </c>
      <c r="G1084" s="147" t="s">
        <v>1731</v>
      </c>
      <c r="H1084" s="189">
        <f t="shared" si="18"/>
        <v>0.45579999999999998</v>
      </c>
      <c r="I1084" s="210" t="s">
        <v>2223</v>
      </c>
      <c r="J1084" s="146">
        <v>30</v>
      </c>
      <c r="K1084" s="147">
        <v>2</v>
      </c>
      <c r="L1084" s="147">
        <v>1</v>
      </c>
      <c r="M1084" s="147">
        <v>3</v>
      </c>
      <c r="N1084" s="275">
        <v>200</v>
      </c>
      <c r="O1084" s="193">
        <v>0.53</v>
      </c>
      <c r="P1084" s="179">
        <v>45639</v>
      </c>
      <c r="Q1084" s="173">
        <v>0.45579999999999998</v>
      </c>
      <c r="R1084" s="271">
        <v>0</v>
      </c>
      <c r="S1084" s="164"/>
      <c r="T1084" s="129" t="s">
        <v>36</v>
      </c>
      <c r="U1084" s="147" t="s">
        <v>37</v>
      </c>
      <c r="V1084" s="129"/>
      <c r="W1084" s="147" t="s">
        <v>2208</v>
      </c>
      <c r="X1084" s="205" t="s">
        <v>1936</v>
      </c>
      <c r="Y1084" s="251"/>
      <c r="Z1084" s="290"/>
      <c r="AA1084" s="286"/>
    </row>
    <row r="1085" spans="1:27" s="181" customFormat="1" hidden="1" x14ac:dyDescent="0.25">
      <c r="A1085" s="155">
        <v>1</v>
      </c>
      <c r="B1085" s="129">
        <v>1501111</v>
      </c>
      <c r="C1085" s="127" t="s">
        <v>2020</v>
      </c>
      <c r="D1085" s="128" t="s">
        <v>1654</v>
      </c>
      <c r="E1085" s="147" t="s">
        <v>38</v>
      </c>
      <c r="F1085" s="129" t="s">
        <v>1649</v>
      </c>
      <c r="G1085" s="147" t="s">
        <v>1731</v>
      </c>
      <c r="H1085" s="189">
        <f t="shared" si="18"/>
        <v>0</v>
      </c>
      <c r="I1085" s="134" t="s">
        <v>2082</v>
      </c>
      <c r="J1085" s="146">
        <v>30</v>
      </c>
      <c r="K1085" s="147">
        <v>1</v>
      </c>
      <c r="L1085" s="147">
        <v>1</v>
      </c>
      <c r="M1085" s="147">
        <v>2</v>
      </c>
      <c r="N1085" s="275"/>
      <c r="O1085" s="194"/>
      <c r="P1085" s="179">
        <v>44719</v>
      </c>
      <c r="Q1085" s="173"/>
      <c r="R1085" s="271"/>
      <c r="S1085" s="164"/>
      <c r="T1085" s="129" t="s">
        <v>1650</v>
      </c>
      <c r="U1085" s="147" t="s">
        <v>37</v>
      </c>
      <c r="V1085" s="129"/>
      <c r="W1085" s="176" t="s">
        <v>54</v>
      </c>
      <c r="X1085" s="205"/>
      <c r="Y1085" s="251"/>
      <c r="Z1085" s="155"/>
      <c r="AA1085" s="230"/>
    </row>
    <row r="1086" spans="1:27" s="181" customFormat="1" hidden="1" x14ac:dyDescent="0.25">
      <c r="A1086" s="155">
        <v>1</v>
      </c>
      <c r="B1086" s="129">
        <v>1501112</v>
      </c>
      <c r="C1086" s="127" t="s">
        <v>2020</v>
      </c>
      <c r="D1086" s="128" t="s">
        <v>1655</v>
      </c>
      <c r="E1086" s="147" t="s">
        <v>38</v>
      </c>
      <c r="F1086" s="129" t="s">
        <v>1649</v>
      </c>
      <c r="G1086" s="147" t="s">
        <v>1731</v>
      </c>
      <c r="H1086" s="189">
        <f t="shared" si="18"/>
        <v>0</v>
      </c>
      <c r="I1086" s="134" t="s">
        <v>2082</v>
      </c>
      <c r="J1086" s="146">
        <v>30</v>
      </c>
      <c r="K1086" s="147">
        <v>1</v>
      </c>
      <c r="L1086" s="147">
        <v>1</v>
      </c>
      <c r="M1086" s="147">
        <v>2</v>
      </c>
      <c r="N1086" s="275"/>
      <c r="O1086" s="194"/>
      <c r="P1086" s="179">
        <v>44719</v>
      </c>
      <c r="Q1086" s="173"/>
      <c r="R1086" s="271"/>
      <c r="S1086" s="164"/>
      <c r="T1086" s="129" t="s">
        <v>1650</v>
      </c>
      <c r="U1086" s="147" t="s">
        <v>37</v>
      </c>
      <c r="V1086" s="129"/>
      <c r="W1086" s="176" t="s">
        <v>54</v>
      </c>
      <c r="X1086" s="205"/>
      <c r="Y1086" s="251"/>
      <c r="Z1086" s="155"/>
      <c r="AA1086" s="230"/>
    </row>
    <row r="1087" spans="1:27" s="181" customFormat="1" ht="24" hidden="1" x14ac:dyDescent="0.25">
      <c r="A1087" s="155"/>
      <c r="B1087" s="129">
        <v>1501113</v>
      </c>
      <c r="C1087" s="127" t="s">
        <v>2020</v>
      </c>
      <c r="D1087" s="128" t="s">
        <v>1804</v>
      </c>
      <c r="E1087" s="147" t="s">
        <v>38</v>
      </c>
      <c r="F1087" s="129" t="s">
        <v>2018</v>
      </c>
      <c r="G1087" s="147" t="s">
        <v>1731</v>
      </c>
      <c r="H1087" s="189">
        <f t="shared" si="18"/>
        <v>0</v>
      </c>
      <c r="I1087" s="210" t="s">
        <v>2223</v>
      </c>
      <c r="J1087" s="146">
        <v>30</v>
      </c>
      <c r="K1087" s="147">
        <v>1</v>
      </c>
      <c r="L1087" s="147">
        <v>1</v>
      </c>
      <c r="M1087" s="147">
        <v>2</v>
      </c>
      <c r="N1087" s="275">
        <v>500</v>
      </c>
      <c r="O1087" s="193">
        <v>0</v>
      </c>
      <c r="P1087" s="179">
        <v>45639</v>
      </c>
      <c r="Q1087" s="173"/>
      <c r="R1087" s="271"/>
      <c r="S1087" s="164"/>
      <c r="T1087" s="129" t="s">
        <v>1711</v>
      </c>
      <c r="U1087" s="147" t="s">
        <v>37</v>
      </c>
      <c r="V1087" s="129"/>
      <c r="W1087" s="147" t="s">
        <v>2209</v>
      </c>
      <c r="X1087" s="205" t="s">
        <v>1936</v>
      </c>
      <c r="Y1087" s="251"/>
      <c r="Z1087" s="290"/>
      <c r="AA1087" s="286"/>
    </row>
    <row r="1088" spans="1:27" s="181" customFormat="1" ht="24" hidden="1" x14ac:dyDescent="0.25">
      <c r="A1088" s="155">
        <v>1</v>
      </c>
      <c r="B1088" s="129">
        <v>1502001</v>
      </c>
      <c r="C1088" s="127" t="s">
        <v>2020</v>
      </c>
      <c r="D1088" s="128" t="s">
        <v>1297</v>
      </c>
      <c r="E1088" s="147" t="s">
        <v>38</v>
      </c>
      <c r="F1088" s="129" t="s">
        <v>1267</v>
      </c>
      <c r="G1088" s="147" t="s">
        <v>1731</v>
      </c>
      <c r="H1088" s="189">
        <f t="shared" si="18"/>
        <v>0</v>
      </c>
      <c r="I1088" s="213"/>
      <c r="J1088" s="149"/>
      <c r="K1088" s="147">
        <v>11</v>
      </c>
      <c r="L1088" s="147">
        <v>1</v>
      </c>
      <c r="M1088" s="147">
        <v>12</v>
      </c>
      <c r="N1088" s="275"/>
      <c r="O1088" s="194"/>
      <c r="P1088" s="179"/>
      <c r="Q1088" s="173"/>
      <c r="R1088" s="260">
        <v>0</v>
      </c>
      <c r="S1088" s="164"/>
      <c r="T1088" s="129" t="s">
        <v>277</v>
      </c>
      <c r="U1088" s="147" t="s">
        <v>35</v>
      </c>
      <c r="V1088" s="129"/>
      <c r="W1088" s="162" t="s">
        <v>54</v>
      </c>
      <c r="X1088" s="205"/>
      <c r="Y1088" s="251"/>
      <c r="Z1088" s="155"/>
      <c r="AA1088" s="230"/>
    </row>
    <row r="1089" spans="1:27" s="181" customFormat="1" ht="24" hidden="1" x14ac:dyDescent="0.25">
      <c r="A1089" s="155">
        <v>1</v>
      </c>
      <c r="B1089" s="129">
        <v>1502002</v>
      </c>
      <c r="C1089" s="127" t="s">
        <v>2020</v>
      </c>
      <c r="D1089" s="128" t="s">
        <v>1298</v>
      </c>
      <c r="E1089" s="147" t="s">
        <v>38</v>
      </c>
      <c r="F1089" s="129" t="s">
        <v>1267</v>
      </c>
      <c r="G1089" s="147" t="s">
        <v>1731</v>
      </c>
      <c r="H1089" s="189">
        <f t="shared" si="18"/>
        <v>0</v>
      </c>
      <c r="I1089" s="213"/>
      <c r="J1089" s="149"/>
      <c r="K1089" s="147">
        <v>11</v>
      </c>
      <c r="L1089" s="147">
        <v>1</v>
      </c>
      <c r="M1089" s="147">
        <v>12</v>
      </c>
      <c r="N1089" s="275"/>
      <c r="O1089" s="194"/>
      <c r="P1089" s="179"/>
      <c r="Q1089" s="173"/>
      <c r="R1089" s="260">
        <v>0</v>
      </c>
      <c r="S1089" s="164"/>
      <c r="T1089" s="129" t="s">
        <v>277</v>
      </c>
      <c r="U1089" s="147" t="s">
        <v>35</v>
      </c>
      <c r="V1089" s="129"/>
      <c r="W1089" s="162" t="s">
        <v>54</v>
      </c>
      <c r="X1089" s="205"/>
      <c r="Y1089" s="251"/>
      <c r="Z1089" s="155"/>
      <c r="AA1089" s="230"/>
    </row>
    <row r="1090" spans="1:27" ht="24" hidden="1" x14ac:dyDescent="0.25">
      <c r="A1090" s="155">
        <v>1</v>
      </c>
      <c r="B1090" s="129">
        <v>1502003</v>
      </c>
      <c r="C1090" s="127" t="s">
        <v>2020</v>
      </c>
      <c r="D1090" s="128" t="s">
        <v>1302</v>
      </c>
      <c r="E1090" s="147" t="s">
        <v>38</v>
      </c>
      <c r="F1090" s="129" t="s">
        <v>1267</v>
      </c>
      <c r="G1090" s="147" t="s">
        <v>1731</v>
      </c>
      <c r="H1090" s="189">
        <f t="shared" si="18"/>
        <v>0</v>
      </c>
      <c r="I1090" s="213"/>
      <c r="J1090" s="149"/>
      <c r="K1090" s="147">
        <v>11</v>
      </c>
      <c r="L1090" s="147">
        <v>1</v>
      </c>
      <c r="M1090" s="147">
        <v>12</v>
      </c>
      <c r="N1090" s="275"/>
      <c r="O1090" s="194"/>
      <c r="P1090" s="179"/>
      <c r="Q1090" s="173"/>
      <c r="R1090" s="260">
        <v>0</v>
      </c>
      <c r="S1090" s="164"/>
      <c r="T1090" s="129" t="s">
        <v>277</v>
      </c>
      <c r="U1090" s="147" t="s">
        <v>35</v>
      </c>
      <c r="V1090" s="129"/>
      <c r="W1090" s="162" t="s">
        <v>54</v>
      </c>
      <c r="X1090" s="205"/>
      <c r="Y1090" s="251"/>
      <c r="Z1090" s="155"/>
      <c r="AA1090" s="230"/>
    </row>
    <row r="1091" spans="1:27" ht="24" hidden="1" x14ac:dyDescent="0.25">
      <c r="A1091" s="155">
        <v>1</v>
      </c>
      <c r="B1091" s="129">
        <v>1502004</v>
      </c>
      <c r="C1091" s="127" t="s">
        <v>2020</v>
      </c>
      <c r="D1091" s="128" t="s">
        <v>1303</v>
      </c>
      <c r="E1091" s="147" t="s">
        <v>38</v>
      </c>
      <c r="F1091" s="129" t="s">
        <v>1267</v>
      </c>
      <c r="G1091" s="147" t="s">
        <v>1731</v>
      </c>
      <c r="H1091" s="189">
        <f t="shared" si="18"/>
        <v>0</v>
      </c>
      <c r="I1091" s="213"/>
      <c r="J1091" s="149"/>
      <c r="K1091" s="147">
        <v>11</v>
      </c>
      <c r="L1091" s="147">
        <v>1</v>
      </c>
      <c r="M1091" s="147">
        <v>12</v>
      </c>
      <c r="N1091" s="275"/>
      <c r="O1091" s="194"/>
      <c r="P1091" s="179"/>
      <c r="Q1091" s="173"/>
      <c r="R1091" s="260">
        <v>0</v>
      </c>
      <c r="S1091" s="164"/>
      <c r="T1091" s="129" t="s">
        <v>277</v>
      </c>
      <c r="U1091" s="147" t="s">
        <v>35</v>
      </c>
      <c r="V1091" s="129"/>
      <c r="W1091" s="162" t="s">
        <v>54</v>
      </c>
      <c r="X1091" s="205"/>
      <c r="Y1091" s="251"/>
      <c r="Z1091" s="155"/>
      <c r="AA1091" s="230"/>
    </row>
    <row r="1092" spans="1:27" s="181" customFormat="1" ht="24" hidden="1" x14ac:dyDescent="0.25">
      <c r="A1092" s="155">
        <v>1</v>
      </c>
      <c r="B1092" s="129">
        <v>1502005</v>
      </c>
      <c r="C1092" s="127" t="s">
        <v>2020</v>
      </c>
      <c r="D1092" s="128" t="s">
        <v>1304</v>
      </c>
      <c r="E1092" s="147" t="s">
        <v>38</v>
      </c>
      <c r="F1092" s="129" t="s">
        <v>1267</v>
      </c>
      <c r="G1092" s="147" t="s">
        <v>1731</v>
      </c>
      <c r="H1092" s="189">
        <f t="shared" si="18"/>
        <v>0</v>
      </c>
      <c r="I1092" s="213"/>
      <c r="J1092" s="149"/>
      <c r="K1092" s="147">
        <v>11</v>
      </c>
      <c r="L1092" s="147">
        <v>1</v>
      </c>
      <c r="M1092" s="147">
        <v>12</v>
      </c>
      <c r="N1092" s="275"/>
      <c r="O1092" s="194"/>
      <c r="P1092" s="179"/>
      <c r="Q1092" s="173"/>
      <c r="R1092" s="260">
        <v>0</v>
      </c>
      <c r="S1092" s="164"/>
      <c r="T1092" s="129" t="s">
        <v>277</v>
      </c>
      <c r="U1092" s="147" t="s">
        <v>35</v>
      </c>
      <c r="V1092" s="129"/>
      <c r="W1092" s="162" t="s">
        <v>54</v>
      </c>
      <c r="X1092" s="205"/>
      <c r="Y1092" s="251"/>
      <c r="Z1092" s="155"/>
      <c r="AA1092" s="230"/>
    </row>
    <row r="1093" spans="1:27" ht="24" hidden="1" x14ac:dyDescent="0.25">
      <c r="A1093" s="155">
        <v>1</v>
      </c>
      <c r="B1093" s="129">
        <v>1502010</v>
      </c>
      <c r="C1093" s="127" t="s">
        <v>2020</v>
      </c>
      <c r="D1093" s="128" t="s">
        <v>1305</v>
      </c>
      <c r="E1093" s="147" t="s">
        <v>38</v>
      </c>
      <c r="F1093" s="129" t="s">
        <v>116</v>
      </c>
      <c r="G1093" s="147" t="s">
        <v>1731</v>
      </c>
      <c r="H1093" s="189">
        <f t="shared" si="18"/>
        <v>0</v>
      </c>
      <c r="I1093" s="213"/>
      <c r="J1093" s="149"/>
      <c r="K1093" s="147">
        <v>11</v>
      </c>
      <c r="L1093" s="147">
        <v>1</v>
      </c>
      <c r="M1093" s="147">
        <v>12</v>
      </c>
      <c r="N1093" s="275"/>
      <c r="O1093" s="194"/>
      <c r="P1093" s="179"/>
      <c r="Q1093" s="173"/>
      <c r="R1093" s="260">
        <v>0</v>
      </c>
      <c r="S1093" s="164"/>
      <c r="T1093" s="129" t="s">
        <v>277</v>
      </c>
      <c r="U1093" s="147" t="s">
        <v>35</v>
      </c>
      <c r="V1093" s="129"/>
      <c r="W1093" s="176" t="s">
        <v>2519</v>
      </c>
      <c r="X1093" s="205"/>
      <c r="Y1093" s="251"/>
      <c r="Z1093" s="155"/>
      <c r="AA1093" s="230"/>
    </row>
    <row r="1094" spans="1:27" ht="24" hidden="1" x14ac:dyDescent="0.25">
      <c r="A1094" s="155">
        <v>1</v>
      </c>
      <c r="B1094" s="129">
        <v>1502011</v>
      </c>
      <c r="C1094" s="127" t="s">
        <v>2020</v>
      </c>
      <c r="D1094" s="128" t="s">
        <v>1306</v>
      </c>
      <c r="E1094" s="147" t="s">
        <v>38</v>
      </c>
      <c r="F1094" s="129" t="s">
        <v>116</v>
      </c>
      <c r="G1094" s="147" t="s">
        <v>1731</v>
      </c>
      <c r="H1094" s="189">
        <f t="shared" si="18"/>
        <v>0</v>
      </c>
      <c r="I1094" s="213"/>
      <c r="J1094" s="149"/>
      <c r="K1094" s="147">
        <v>11</v>
      </c>
      <c r="L1094" s="147">
        <v>1</v>
      </c>
      <c r="M1094" s="147">
        <v>12</v>
      </c>
      <c r="N1094" s="275"/>
      <c r="O1094" s="194"/>
      <c r="P1094" s="179"/>
      <c r="Q1094" s="173"/>
      <c r="R1094" s="260">
        <v>0</v>
      </c>
      <c r="S1094" s="164"/>
      <c r="T1094" s="129" t="s">
        <v>277</v>
      </c>
      <c r="U1094" s="147" t="s">
        <v>35</v>
      </c>
      <c r="V1094" s="129"/>
      <c r="W1094" s="176" t="s">
        <v>2519</v>
      </c>
      <c r="X1094" s="205"/>
      <c r="Y1094" s="251"/>
      <c r="Z1094" s="155"/>
      <c r="AA1094" s="230"/>
    </row>
    <row r="1095" spans="1:27" ht="24" hidden="1" x14ac:dyDescent="0.25">
      <c r="A1095" s="155">
        <v>1</v>
      </c>
      <c r="B1095" s="129">
        <v>1502012</v>
      </c>
      <c r="C1095" s="127" t="s">
        <v>2020</v>
      </c>
      <c r="D1095" s="128" t="s">
        <v>1307</v>
      </c>
      <c r="E1095" s="147" t="s">
        <v>38</v>
      </c>
      <c r="F1095" s="129" t="s">
        <v>116</v>
      </c>
      <c r="G1095" s="147" t="s">
        <v>1731</v>
      </c>
      <c r="H1095" s="189">
        <f t="shared" si="18"/>
        <v>0</v>
      </c>
      <c r="I1095" s="213"/>
      <c r="J1095" s="149"/>
      <c r="K1095" s="147">
        <v>11</v>
      </c>
      <c r="L1095" s="147">
        <v>1</v>
      </c>
      <c r="M1095" s="147">
        <v>12</v>
      </c>
      <c r="N1095" s="275"/>
      <c r="O1095" s="194"/>
      <c r="P1095" s="179"/>
      <c r="Q1095" s="173"/>
      <c r="R1095" s="260">
        <v>0</v>
      </c>
      <c r="S1095" s="164"/>
      <c r="T1095" s="129" t="s">
        <v>277</v>
      </c>
      <c r="U1095" s="147" t="s">
        <v>35</v>
      </c>
      <c r="V1095" s="129"/>
      <c r="W1095" s="176" t="s">
        <v>2519</v>
      </c>
      <c r="X1095" s="205"/>
      <c r="Y1095" s="251"/>
      <c r="Z1095" s="155"/>
      <c r="AA1095" s="230"/>
    </row>
    <row r="1096" spans="1:27" s="181" customFormat="1" ht="24" hidden="1" x14ac:dyDescent="0.25">
      <c r="A1096" s="155">
        <v>1</v>
      </c>
      <c r="B1096" s="129">
        <v>1502013</v>
      </c>
      <c r="C1096" s="127" t="s">
        <v>2020</v>
      </c>
      <c r="D1096" s="128" t="s">
        <v>1308</v>
      </c>
      <c r="E1096" s="147" t="s">
        <v>38</v>
      </c>
      <c r="F1096" s="129" t="s">
        <v>116</v>
      </c>
      <c r="G1096" s="147" t="s">
        <v>1731</v>
      </c>
      <c r="H1096" s="189">
        <f t="shared" si="18"/>
        <v>0</v>
      </c>
      <c r="I1096" s="213"/>
      <c r="J1096" s="149"/>
      <c r="K1096" s="147">
        <v>11</v>
      </c>
      <c r="L1096" s="147">
        <v>1</v>
      </c>
      <c r="M1096" s="147">
        <v>12</v>
      </c>
      <c r="N1096" s="275"/>
      <c r="O1096" s="194"/>
      <c r="P1096" s="179"/>
      <c r="Q1096" s="173"/>
      <c r="R1096" s="260">
        <v>0</v>
      </c>
      <c r="S1096" s="164"/>
      <c r="T1096" s="129" t="s">
        <v>277</v>
      </c>
      <c r="U1096" s="147" t="s">
        <v>35</v>
      </c>
      <c r="V1096" s="129"/>
      <c r="W1096" s="176" t="s">
        <v>2519</v>
      </c>
      <c r="X1096" s="205"/>
      <c r="Y1096" s="251"/>
      <c r="Z1096" s="155"/>
      <c r="AA1096" s="230"/>
    </row>
    <row r="1097" spans="1:27" s="181" customFormat="1" ht="24" hidden="1" x14ac:dyDescent="0.25">
      <c r="A1097" s="155">
        <v>1</v>
      </c>
      <c r="B1097" s="129">
        <v>1502014</v>
      </c>
      <c r="C1097" s="127" t="s">
        <v>2020</v>
      </c>
      <c r="D1097" s="128" t="s">
        <v>1309</v>
      </c>
      <c r="E1097" s="147" t="s">
        <v>38</v>
      </c>
      <c r="F1097" s="129" t="s">
        <v>116</v>
      </c>
      <c r="G1097" s="147" t="s">
        <v>1731</v>
      </c>
      <c r="H1097" s="189">
        <f t="shared" si="18"/>
        <v>0</v>
      </c>
      <c r="I1097" s="213"/>
      <c r="J1097" s="149"/>
      <c r="K1097" s="147">
        <v>11</v>
      </c>
      <c r="L1097" s="147">
        <v>1</v>
      </c>
      <c r="M1097" s="147">
        <v>12</v>
      </c>
      <c r="N1097" s="275"/>
      <c r="O1097" s="194"/>
      <c r="P1097" s="179"/>
      <c r="Q1097" s="173"/>
      <c r="R1097" s="260">
        <v>0</v>
      </c>
      <c r="S1097" s="164"/>
      <c r="T1097" s="129" t="s">
        <v>277</v>
      </c>
      <c r="U1097" s="147" t="s">
        <v>35</v>
      </c>
      <c r="V1097" s="129"/>
      <c r="W1097" s="176" t="s">
        <v>2519</v>
      </c>
      <c r="X1097" s="205"/>
      <c r="Y1097" s="251"/>
      <c r="Z1097" s="155"/>
      <c r="AA1097" s="230"/>
    </row>
    <row r="1098" spans="1:27" ht="24" hidden="1" x14ac:dyDescent="0.25">
      <c r="A1098" s="155">
        <v>1</v>
      </c>
      <c r="B1098" s="129">
        <v>1502015</v>
      </c>
      <c r="C1098" s="127" t="s">
        <v>2020</v>
      </c>
      <c r="D1098" s="128" t="s">
        <v>1310</v>
      </c>
      <c r="E1098" s="147" t="s">
        <v>38</v>
      </c>
      <c r="F1098" s="129" t="s">
        <v>1311</v>
      </c>
      <c r="G1098" s="147" t="s">
        <v>1731</v>
      </c>
      <c r="H1098" s="189">
        <f t="shared" si="18"/>
        <v>0</v>
      </c>
      <c r="I1098" s="213"/>
      <c r="J1098" s="149"/>
      <c r="K1098" s="147"/>
      <c r="L1098" s="147"/>
      <c r="M1098" s="147">
        <v>1</v>
      </c>
      <c r="N1098" s="275"/>
      <c r="O1098" s="194"/>
      <c r="P1098" s="179"/>
      <c r="Q1098" s="173"/>
      <c r="R1098" s="260">
        <v>0</v>
      </c>
      <c r="S1098" s="164"/>
      <c r="T1098" s="129" t="s">
        <v>36</v>
      </c>
      <c r="U1098" s="147" t="s">
        <v>37</v>
      </c>
      <c r="V1098" s="129"/>
      <c r="W1098" s="162" t="s">
        <v>54</v>
      </c>
      <c r="X1098" s="205"/>
      <c r="Y1098" s="251"/>
      <c r="Z1098" s="155"/>
      <c r="AA1098" s="230"/>
    </row>
    <row r="1099" spans="1:27" s="181" customFormat="1" hidden="1" x14ac:dyDescent="0.25">
      <c r="A1099" s="155">
        <v>1</v>
      </c>
      <c r="B1099" s="129">
        <v>1502016</v>
      </c>
      <c r="C1099" s="127" t="s">
        <v>2020</v>
      </c>
      <c r="D1099" s="136" t="s">
        <v>1315</v>
      </c>
      <c r="E1099" s="147" t="s">
        <v>38</v>
      </c>
      <c r="F1099" s="129" t="s">
        <v>189</v>
      </c>
      <c r="G1099" s="147" t="s">
        <v>1731</v>
      </c>
      <c r="H1099" s="189">
        <f t="shared" si="18"/>
        <v>0</v>
      </c>
      <c r="I1099" s="221"/>
      <c r="J1099" s="160"/>
      <c r="K1099" s="147">
        <v>12</v>
      </c>
      <c r="L1099" s="147">
        <v>1</v>
      </c>
      <c r="M1099" s="147">
        <v>13</v>
      </c>
      <c r="N1099" s="275"/>
      <c r="O1099" s="194"/>
      <c r="P1099" s="179"/>
      <c r="Q1099" s="173"/>
      <c r="R1099" s="271">
        <v>0</v>
      </c>
      <c r="S1099" s="164"/>
      <c r="T1099" s="129" t="s">
        <v>189</v>
      </c>
      <c r="U1099" s="147" t="s">
        <v>35</v>
      </c>
      <c r="V1099" s="129"/>
      <c r="W1099" s="176" t="s">
        <v>2519</v>
      </c>
      <c r="X1099" s="205"/>
      <c r="Y1099" s="251"/>
      <c r="Z1099" s="155"/>
      <c r="AA1099" s="230"/>
    </row>
    <row r="1100" spans="1:27" ht="24" hidden="1" x14ac:dyDescent="0.25">
      <c r="A1100" s="155">
        <v>1</v>
      </c>
      <c r="B1100" s="129">
        <v>1502017</v>
      </c>
      <c r="C1100" s="127" t="s">
        <v>2020</v>
      </c>
      <c r="D1100" s="136" t="s">
        <v>1317</v>
      </c>
      <c r="E1100" s="147" t="s">
        <v>38</v>
      </c>
      <c r="F1100" s="129" t="s">
        <v>189</v>
      </c>
      <c r="G1100" s="147" t="s">
        <v>1731</v>
      </c>
      <c r="H1100" s="189">
        <f t="shared" si="18"/>
        <v>0</v>
      </c>
      <c r="I1100" s="221"/>
      <c r="J1100" s="160"/>
      <c r="K1100" s="147">
        <v>12</v>
      </c>
      <c r="L1100" s="147">
        <v>1</v>
      </c>
      <c r="M1100" s="147">
        <v>13</v>
      </c>
      <c r="N1100" s="275"/>
      <c r="O1100" s="194"/>
      <c r="P1100" s="179"/>
      <c r="Q1100" s="173"/>
      <c r="R1100" s="271"/>
      <c r="S1100" s="164"/>
      <c r="T1100" s="129" t="s">
        <v>189</v>
      </c>
      <c r="U1100" s="147" t="s">
        <v>37</v>
      </c>
      <c r="V1100" s="129"/>
      <c r="W1100" s="176" t="s">
        <v>2519</v>
      </c>
      <c r="X1100" s="205"/>
      <c r="Y1100" s="251"/>
      <c r="Z1100" s="155"/>
      <c r="AA1100" s="230"/>
    </row>
    <row r="1101" spans="1:27" ht="24" hidden="1" x14ac:dyDescent="0.25">
      <c r="A1101" s="155">
        <v>1</v>
      </c>
      <c r="B1101" s="129">
        <v>1502018</v>
      </c>
      <c r="C1101" s="127" t="s">
        <v>2020</v>
      </c>
      <c r="D1101" s="136" t="s">
        <v>1318</v>
      </c>
      <c r="E1101" s="147" t="s">
        <v>38</v>
      </c>
      <c r="F1101" s="129" t="s">
        <v>1319</v>
      </c>
      <c r="G1101" s="147" t="s">
        <v>1731</v>
      </c>
      <c r="H1101" s="189">
        <f t="shared" si="18"/>
        <v>9.1656999999999993</v>
      </c>
      <c r="I1101" s="134"/>
      <c r="J1101" s="150"/>
      <c r="K1101" s="147"/>
      <c r="L1101" s="147"/>
      <c r="M1101" s="147">
        <v>2</v>
      </c>
      <c r="N1101" s="275"/>
      <c r="O1101" s="194"/>
      <c r="P1101" s="179"/>
      <c r="Q1101" s="173">
        <v>7.2157</v>
      </c>
      <c r="R1101" s="271">
        <v>1.95</v>
      </c>
      <c r="S1101" s="164"/>
      <c r="T1101" s="129" t="s">
        <v>272</v>
      </c>
      <c r="U1101" s="147" t="s">
        <v>37</v>
      </c>
      <c r="V1101" s="129"/>
      <c r="W1101" s="147" t="s">
        <v>2455</v>
      </c>
      <c r="X1101" s="205"/>
      <c r="Y1101" s="251"/>
      <c r="Z1101" s="155"/>
      <c r="AA1101" s="230"/>
    </row>
    <row r="1102" spans="1:27" s="181" customFormat="1" ht="24" hidden="1" x14ac:dyDescent="0.25">
      <c r="A1102" s="155">
        <v>1</v>
      </c>
      <c r="B1102" s="129">
        <v>1502019</v>
      </c>
      <c r="C1102" s="127" t="s">
        <v>2020</v>
      </c>
      <c r="D1102" s="136" t="s">
        <v>1526</v>
      </c>
      <c r="E1102" s="147" t="s">
        <v>38</v>
      </c>
      <c r="F1102" s="129" t="s">
        <v>102</v>
      </c>
      <c r="G1102" s="147" t="s">
        <v>1731</v>
      </c>
      <c r="H1102" s="189">
        <f t="shared" si="18"/>
        <v>0</v>
      </c>
      <c r="I1102" s="180" t="s">
        <v>2213</v>
      </c>
      <c r="J1102" s="150"/>
      <c r="K1102" s="147">
        <v>1</v>
      </c>
      <c r="L1102" s="147">
        <v>1</v>
      </c>
      <c r="M1102" s="147">
        <v>2</v>
      </c>
      <c r="N1102" s="275"/>
      <c r="O1102" s="194"/>
      <c r="P1102" s="179"/>
      <c r="Q1102" s="173"/>
      <c r="R1102" s="271"/>
      <c r="S1102" s="164"/>
      <c r="T1102" s="129" t="s">
        <v>102</v>
      </c>
      <c r="U1102" s="147" t="s">
        <v>35</v>
      </c>
      <c r="V1102" s="129"/>
      <c r="W1102" s="176" t="s">
        <v>2519</v>
      </c>
      <c r="X1102" s="205"/>
      <c r="Y1102" s="251"/>
      <c r="Z1102" s="155"/>
      <c r="AA1102" s="230"/>
    </row>
    <row r="1103" spans="1:27" s="181" customFormat="1" ht="24" hidden="1" x14ac:dyDescent="0.25">
      <c r="A1103" s="155">
        <v>1</v>
      </c>
      <c r="B1103" s="129">
        <v>1502020</v>
      </c>
      <c r="C1103" s="127" t="s">
        <v>2020</v>
      </c>
      <c r="D1103" s="136" t="s">
        <v>1552</v>
      </c>
      <c r="E1103" s="147" t="s">
        <v>38</v>
      </c>
      <c r="F1103" s="129" t="s">
        <v>102</v>
      </c>
      <c r="G1103" s="147" t="s">
        <v>1731</v>
      </c>
      <c r="H1103" s="189">
        <f t="shared" si="18"/>
        <v>0</v>
      </c>
      <c r="I1103" s="180" t="s">
        <v>2213</v>
      </c>
      <c r="J1103" s="150"/>
      <c r="K1103" s="147">
        <v>1</v>
      </c>
      <c r="L1103" s="147">
        <v>1</v>
      </c>
      <c r="M1103" s="147">
        <v>2</v>
      </c>
      <c r="N1103" s="275"/>
      <c r="O1103" s="194"/>
      <c r="P1103" s="179"/>
      <c r="Q1103" s="173"/>
      <c r="R1103" s="271"/>
      <c r="S1103" s="164"/>
      <c r="T1103" s="129" t="s">
        <v>102</v>
      </c>
      <c r="U1103" s="147" t="s">
        <v>35</v>
      </c>
      <c r="V1103" s="129"/>
      <c r="W1103" s="176" t="s">
        <v>2519</v>
      </c>
      <c r="X1103" s="205"/>
      <c r="Y1103" s="251"/>
      <c r="Z1103" s="155"/>
      <c r="AA1103" s="230"/>
    </row>
    <row r="1104" spans="1:27" s="181" customFormat="1" ht="24" hidden="1" x14ac:dyDescent="0.25">
      <c r="A1104" s="155">
        <v>1</v>
      </c>
      <c r="B1104" s="129">
        <v>1502021</v>
      </c>
      <c r="C1104" s="127" t="s">
        <v>2020</v>
      </c>
      <c r="D1104" s="136" t="s">
        <v>1561</v>
      </c>
      <c r="E1104" s="147" t="s">
        <v>38</v>
      </c>
      <c r="F1104" s="129" t="s">
        <v>189</v>
      </c>
      <c r="G1104" s="147" t="s">
        <v>1731</v>
      </c>
      <c r="H1104" s="189">
        <f t="shared" si="18"/>
        <v>0</v>
      </c>
      <c r="I1104" s="221"/>
      <c r="J1104" s="160"/>
      <c r="K1104" s="147">
        <v>12</v>
      </c>
      <c r="L1104" s="147">
        <v>1</v>
      </c>
      <c r="M1104" s="147">
        <v>13</v>
      </c>
      <c r="N1104" s="275"/>
      <c r="O1104" s="194"/>
      <c r="P1104" s="179"/>
      <c r="Q1104" s="173"/>
      <c r="R1104" s="271"/>
      <c r="S1104" s="164"/>
      <c r="T1104" s="129" t="s">
        <v>189</v>
      </c>
      <c r="U1104" s="147" t="s">
        <v>37</v>
      </c>
      <c r="V1104" s="129"/>
      <c r="W1104" s="176" t="s">
        <v>2519</v>
      </c>
      <c r="X1104" s="205"/>
      <c r="Y1104" s="251"/>
      <c r="Z1104" s="155"/>
      <c r="AA1104" s="230"/>
    </row>
    <row r="1105" spans="1:27" s="181" customFormat="1" hidden="1" x14ac:dyDescent="0.25">
      <c r="A1105" s="155"/>
      <c r="B1105" s="129">
        <v>1502022</v>
      </c>
      <c r="C1105" s="127" t="s">
        <v>2020</v>
      </c>
      <c r="D1105" s="136" t="s">
        <v>1688</v>
      </c>
      <c r="E1105" s="147" t="s">
        <v>38</v>
      </c>
      <c r="F1105" s="129" t="s">
        <v>1319</v>
      </c>
      <c r="G1105" s="147" t="s">
        <v>1731</v>
      </c>
      <c r="H1105" s="189">
        <f t="shared" si="18"/>
        <v>0</v>
      </c>
      <c r="I1105" s="134"/>
      <c r="J1105" s="150"/>
      <c r="K1105" s="147">
        <v>11</v>
      </c>
      <c r="L1105" s="147">
        <v>1</v>
      </c>
      <c r="M1105" s="147">
        <v>12</v>
      </c>
      <c r="N1105" s="275"/>
      <c r="O1105" s="194"/>
      <c r="P1105" s="179">
        <v>44860</v>
      </c>
      <c r="Q1105" s="173"/>
      <c r="R1105" s="271"/>
      <c r="S1105" s="164"/>
      <c r="T1105" s="129"/>
      <c r="U1105" s="147" t="s">
        <v>37</v>
      </c>
      <c r="V1105" s="129"/>
      <c r="W1105" s="147" t="s">
        <v>2209</v>
      </c>
      <c r="X1105" s="205"/>
      <c r="Y1105" s="251"/>
      <c r="Z1105" s="155"/>
      <c r="AA1105" s="230"/>
    </row>
    <row r="1106" spans="1:27" s="181" customFormat="1" hidden="1" x14ac:dyDescent="0.25">
      <c r="A1106" s="155">
        <v>1</v>
      </c>
      <c r="B1106" s="129">
        <v>1503001</v>
      </c>
      <c r="C1106" s="127" t="s">
        <v>2020</v>
      </c>
      <c r="D1106" s="128" t="s">
        <v>1320</v>
      </c>
      <c r="E1106" s="147" t="s">
        <v>38</v>
      </c>
      <c r="F1106" s="138" t="s">
        <v>57</v>
      </c>
      <c r="G1106" s="147" t="s">
        <v>1731</v>
      </c>
      <c r="H1106" s="189">
        <f t="shared" si="18"/>
        <v>0</v>
      </c>
      <c r="I1106" s="213"/>
      <c r="J1106" s="149"/>
      <c r="K1106" s="147">
        <v>12</v>
      </c>
      <c r="L1106" s="147">
        <v>1</v>
      </c>
      <c r="M1106" s="147">
        <v>13</v>
      </c>
      <c r="N1106" s="275"/>
      <c r="O1106" s="194"/>
      <c r="P1106" s="179"/>
      <c r="Q1106" s="173"/>
      <c r="R1106" s="260">
        <v>0</v>
      </c>
      <c r="S1106" s="167"/>
      <c r="T1106" s="129" t="s">
        <v>55</v>
      </c>
      <c r="U1106" s="147" t="s">
        <v>37</v>
      </c>
      <c r="V1106" s="129"/>
      <c r="W1106" s="162" t="s">
        <v>54</v>
      </c>
      <c r="X1106" s="205"/>
      <c r="Y1106" s="251"/>
      <c r="Z1106" s="155"/>
      <c r="AA1106" s="230"/>
    </row>
    <row r="1107" spans="1:27" s="181" customFormat="1" hidden="1" x14ac:dyDescent="0.25">
      <c r="A1107" s="155">
        <v>1</v>
      </c>
      <c r="B1107" s="136">
        <v>1503002</v>
      </c>
      <c r="C1107" s="127" t="s">
        <v>2020</v>
      </c>
      <c r="D1107" s="128" t="s">
        <v>1321</v>
      </c>
      <c r="E1107" s="147" t="s">
        <v>38</v>
      </c>
      <c r="F1107" s="138" t="s">
        <v>57</v>
      </c>
      <c r="G1107" s="147" t="s">
        <v>1731</v>
      </c>
      <c r="H1107" s="189">
        <f t="shared" si="18"/>
        <v>0</v>
      </c>
      <c r="I1107" s="213"/>
      <c r="J1107" s="149"/>
      <c r="K1107" s="147">
        <v>12</v>
      </c>
      <c r="L1107" s="147">
        <v>1</v>
      </c>
      <c r="M1107" s="147">
        <v>13</v>
      </c>
      <c r="N1107" s="275"/>
      <c r="O1107" s="194"/>
      <c r="P1107" s="179"/>
      <c r="Q1107" s="173"/>
      <c r="R1107" s="260">
        <v>0</v>
      </c>
      <c r="S1107" s="167"/>
      <c r="T1107" s="138" t="s">
        <v>57</v>
      </c>
      <c r="U1107" s="147" t="s">
        <v>37</v>
      </c>
      <c r="V1107" s="129"/>
      <c r="W1107" s="162" t="s">
        <v>54</v>
      </c>
      <c r="X1107" s="205"/>
      <c r="Y1107" s="251"/>
      <c r="Z1107" s="155"/>
      <c r="AA1107" s="230"/>
    </row>
    <row r="1108" spans="1:27" s="181" customFormat="1" hidden="1" x14ac:dyDescent="0.25">
      <c r="A1108" s="155">
        <v>1</v>
      </c>
      <c r="B1108" s="129">
        <v>1503003</v>
      </c>
      <c r="C1108" s="127" t="s">
        <v>2020</v>
      </c>
      <c r="D1108" s="128" t="s">
        <v>1322</v>
      </c>
      <c r="E1108" s="147" t="s">
        <v>38</v>
      </c>
      <c r="F1108" s="138" t="s">
        <v>57</v>
      </c>
      <c r="G1108" s="147" t="s">
        <v>1731</v>
      </c>
      <c r="H1108" s="189">
        <f t="shared" si="18"/>
        <v>0</v>
      </c>
      <c r="I1108" s="213"/>
      <c r="J1108" s="149"/>
      <c r="K1108" s="147">
        <v>12</v>
      </c>
      <c r="L1108" s="147">
        <v>1</v>
      </c>
      <c r="M1108" s="147">
        <v>13</v>
      </c>
      <c r="N1108" s="275"/>
      <c r="O1108" s="194"/>
      <c r="P1108" s="179"/>
      <c r="Q1108" s="173"/>
      <c r="R1108" s="260">
        <v>0</v>
      </c>
      <c r="S1108" s="167"/>
      <c r="T1108" s="129" t="s">
        <v>55</v>
      </c>
      <c r="U1108" s="147" t="s">
        <v>37</v>
      </c>
      <c r="V1108" s="129"/>
      <c r="W1108" s="162" t="s">
        <v>54</v>
      </c>
      <c r="X1108" s="205"/>
      <c r="Y1108" s="251"/>
      <c r="Z1108" s="155"/>
      <c r="AA1108" s="230"/>
    </row>
    <row r="1109" spans="1:27" s="181" customFormat="1" hidden="1" x14ac:dyDescent="0.25">
      <c r="A1109" s="155">
        <v>1</v>
      </c>
      <c r="B1109" s="136">
        <v>1503004</v>
      </c>
      <c r="C1109" s="127" t="s">
        <v>2020</v>
      </c>
      <c r="D1109" s="128" t="s">
        <v>1323</v>
      </c>
      <c r="E1109" s="147" t="s">
        <v>38</v>
      </c>
      <c r="F1109" s="138" t="s">
        <v>57</v>
      </c>
      <c r="G1109" s="147" t="s">
        <v>1731</v>
      </c>
      <c r="H1109" s="189">
        <f t="shared" si="18"/>
        <v>0</v>
      </c>
      <c r="I1109" s="213"/>
      <c r="J1109" s="149"/>
      <c r="K1109" s="147">
        <v>12</v>
      </c>
      <c r="L1109" s="147">
        <v>1</v>
      </c>
      <c r="M1109" s="147">
        <v>13</v>
      </c>
      <c r="N1109" s="275"/>
      <c r="O1109" s="194"/>
      <c r="P1109" s="179"/>
      <c r="Q1109" s="173"/>
      <c r="R1109" s="260">
        <v>0</v>
      </c>
      <c r="S1109" s="167"/>
      <c r="T1109" s="138" t="s">
        <v>57</v>
      </c>
      <c r="U1109" s="147" t="s">
        <v>37</v>
      </c>
      <c r="V1109" s="129"/>
      <c r="W1109" s="162" t="s">
        <v>54</v>
      </c>
      <c r="X1109" s="205"/>
      <c r="Y1109" s="251"/>
      <c r="Z1109" s="155"/>
      <c r="AA1109" s="230"/>
    </row>
    <row r="1110" spans="1:27" s="181" customFormat="1" hidden="1" x14ac:dyDescent="0.25">
      <c r="A1110" s="155">
        <v>1</v>
      </c>
      <c r="B1110" s="136">
        <v>1503005</v>
      </c>
      <c r="C1110" s="127" t="s">
        <v>2020</v>
      </c>
      <c r="D1110" s="128" t="s">
        <v>1324</v>
      </c>
      <c r="E1110" s="147" t="s">
        <v>38</v>
      </c>
      <c r="F1110" s="129" t="s">
        <v>1325</v>
      </c>
      <c r="G1110" s="147" t="s">
        <v>1731</v>
      </c>
      <c r="H1110" s="189">
        <f t="shared" si="18"/>
        <v>0</v>
      </c>
      <c r="I1110" s="213"/>
      <c r="J1110" s="149"/>
      <c r="K1110" s="147">
        <v>11</v>
      </c>
      <c r="L1110" s="147">
        <v>1</v>
      </c>
      <c r="M1110" s="147">
        <v>12</v>
      </c>
      <c r="N1110" s="275">
        <v>1000</v>
      </c>
      <c r="O1110" s="194"/>
      <c r="P1110" s="179"/>
      <c r="Q1110" s="173"/>
      <c r="R1110" s="260">
        <v>0</v>
      </c>
      <c r="S1110" s="167"/>
      <c r="T1110" s="129" t="s">
        <v>64</v>
      </c>
      <c r="U1110" s="147" t="s">
        <v>37</v>
      </c>
      <c r="V1110" s="129"/>
      <c r="W1110" s="162" t="s">
        <v>54</v>
      </c>
      <c r="X1110" s="205"/>
      <c r="Y1110" s="251"/>
      <c r="Z1110" s="155"/>
      <c r="AA1110" s="230"/>
    </row>
    <row r="1111" spans="1:27" s="181" customFormat="1" hidden="1" x14ac:dyDescent="0.25">
      <c r="A1111" s="155">
        <v>1</v>
      </c>
      <c r="B1111" s="136">
        <v>1503006</v>
      </c>
      <c r="C1111" s="127" t="s">
        <v>2020</v>
      </c>
      <c r="D1111" s="128" t="s">
        <v>1329</v>
      </c>
      <c r="E1111" s="147" t="s">
        <v>38</v>
      </c>
      <c r="F1111" s="129" t="s">
        <v>1325</v>
      </c>
      <c r="G1111" s="147" t="s">
        <v>1731</v>
      </c>
      <c r="H1111" s="189">
        <f t="shared" si="18"/>
        <v>0</v>
      </c>
      <c r="I1111" s="213"/>
      <c r="J1111" s="149"/>
      <c r="K1111" s="147">
        <v>11</v>
      </c>
      <c r="L1111" s="147">
        <v>1</v>
      </c>
      <c r="M1111" s="147">
        <v>12</v>
      </c>
      <c r="N1111" s="275">
        <v>1000</v>
      </c>
      <c r="O1111" s="194"/>
      <c r="P1111" s="179"/>
      <c r="Q1111" s="173"/>
      <c r="R1111" s="260">
        <v>0</v>
      </c>
      <c r="S1111" s="167"/>
      <c r="T1111" s="129" t="s">
        <v>64</v>
      </c>
      <c r="U1111" s="147" t="s">
        <v>37</v>
      </c>
      <c r="V1111" s="129"/>
      <c r="W1111" s="162" t="s">
        <v>54</v>
      </c>
      <c r="X1111" s="205"/>
      <c r="Y1111" s="251"/>
      <c r="Z1111" s="155"/>
      <c r="AA1111" s="230"/>
    </row>
    <row r="1112" spans="1:27" s="181" customFormat="1" ht="24" hidden="1" x14ac:dyDescent="0.25">
      <c r="A1112" s="155">
        <v>1</v>
      </c>
      <c r="B1112" s="136">
        <v>1503007</v>
      </c>
      <c r="C1112" s="127" t="s">
        <v>2020</v>
      </c>
      <c r="D1112" s="128" t="s">
        <v>1330</v>
      </c>
      <c r="E1112" s="147" t="s">
        <v>38</v>
      </c>
      <c r="F1112" s="129" t="s">
        <v>1325</v>
      </c>
      <c r="G1112" s="147" t="s">
        <v>1731</v>
      </c>
      <c r="H1112" s="189">
        <f t="shared" si="18"/>
        <v>0</v>
      </c>
      <c r="I1112" s="213"/>
      <c r="J1112" s="149"/>
      <c r="K1112" s="147">
        <v>11</v>
      </c>
      <c r="L1112" s="147">
        <v>1</v>
      </c>
      <c r="M1112" s="147">
        <v>12</v>
      </c>
      <c r="N1112" s="275">
        <v>1000</v>
      </c>
      <c r="O1112" s="194"/>
      <c r="P1112" s="179"/>
      <c r="Q1112" s="173"/>
      <c r="R1112" s="260">
        <v>0</v>
      </c>
      <c r="S1112" s="167"/>
      <c r="T1112" s="129" t="s">
        <v>64</v>
      </c>
      <c r="U1112" s="147" t="s">
        <v>37</v>
      </c>
      <c r="V1112" s="129"/>
      <c r="W1112" s="162" t="s">
        <v>54</v>
      </c>
      <c r="X1112" s="205"/>
      <c r="Y1112" s="251"/>
      <c r="Z1112" s="155"/>
      <c r="AA1112" s="230"/>
    </row>
    <row r="1113" spans="1:27" s="181" customFormat="1" ht="36" hidden="1" x14ac:dyDescent="0.25">
      <c r="A1113" s="155">
        <v>1</v>
      </c>
      <c r="B1113" s="136">
        <v>1503008</v>
      </c>
      <c r="C1113" s="127" t="s">
        <v>2020</v>
      </c>
      <c r="D1113" s="128" t="s">
        <v>1331</v>
      </c>
      <c r="E1113" s="147" t="s">
        <v>38</v>
      </c>
      <c r="F1113" s="129" t="s">
        <v>1325</v>
      </c>
      <c r="G1113" s="147" t="s">
        <v>1731</v>
      </c>
      <c r="H1113" s="189">
        <f t="shared" si="18"/>
        <v>0</v>
      </c>
      <c r="I1113" s="213"/>
      <c r="J1113" s="149"/>
      <c r="K1113" s="147">
        <v>11</v>
      </c>
      <c r="L1113" s="147">
        <v>1</v>
      </c>
      <c r="M1113" s="147">
        <v>12</v>
      </c>
      <c r="N1113" s="275">
        <v>1000</v>
      </c>
      <c r="O1113" s="194"/>
      <c r="P1113" s="179"/>
      <c r="Q1113" s="173"/>
      <c r="R1113" s="260">
        <v>0</v>
      </c>
      <c r="S1113" s="167"/>
      <c r="T1113" s="129" t="s">
        <v>64</v>
      </c>
      <c r="U1113" s="147" t="s">
        <v>37</v>
      </c>
      <c r="V1113" s="129"/>
      <c r="W1113" s="162" t="s">
        <v>54</v>
      </c>
      <c r="X1113" s="205"/>
      <c r="Y1113" s="251"/>
      <c r="Z1113" s="155"/>
      <c r="AA1113" s="230"/>
    </row>
    <row r="1114" spans="1:27" ht="48" hidden="1" x14ac:dyDescent="0.25">
      <c r="A1114" s="155">
        <v>1</v>
      </c>
      <c r="B1114" s="136">
        <v>1503009</v>
      </c>
      <c r="C1114" s="127" t="s">
        <v>2020</v>
      </c>
      <c r="D1114" s="128" t="s">
        <v>1332</v>
      </c>
      <c r="E1114" s="147" t="s">
        <v>38</v>
      </c>
      <c r="F1114" s="129" t="s">
        <v>1325</v>
      </c>
      <c r="G1114" s="147" t="s">
        <v>1731</v>
      </c>
      <c r="H1114" s="189">
        <f t="shared" si="18"/>
        <v>0</v>
      </c>
      <c r="I1114" s="213"/>
      <c r="J1114" s="149"/>
      <c r="K1114" s="147">
        <v>11</v>
      </c>
      <c r="L1114" s="147">
        <v>1</v>
      </c>
      <c r="M1114" s="147">
        <v>12</v>
      </c>
      <c r="N1114" s="275">
        <v>1000</v>
      </c>
      <c r="O1114" s="194"/>
      <c r="P1114" s="179"/>
      <c r="Q1114" s="173"/>
      <c r="R1114" s="260">
        <v>0</v>
      </c>
      <c r="S1114" s="167"/>
      <c r="T1114" s="129" t="s">
        <v>64</v>
      </c>
      <c r="U1114" s="147" t="s">
        <v>37</v>
      </c>
      <c r="V1114" s="129"/>
      <c r="W1114" s="162" t="s">
        <v>54</v>
      </c>
      <c r="X1114" s="205"/>
      <c r="Y1114" s="251"/>
      <c r="Z1114" s="155"/>
      <c r="AA1114" s="230"/>
    </row>
    <row r="1115" spans="1:27" hidden="1" x14ac:dyDescent="0.25">
      <c r="A1115" s="155">
        <v>1</v>
      </c>
      <c r="B1115" s="136">
        <v>1503010</v>
      </c>
      <c r="C1115" s="127" t="s">
        <v>2020</v>
      </c>
      <c r="D1115" s="128" t="s">
        <v>1333</v>
      </c>
      <c r="E1115" s="147" t="s">
        <v>38</v>
      </c>
      <c r="F1115" s="129" t="s">
        <v>1325</v>
      </c>
      <c r="G1115" s="147" t="s">
        <v>1731</v>
      </c>
      <c r="H1115" s="189">
        <f t="shared" si="18"/>
        <v>0</v>
      </c>
      <c r="I1115" s="213"/>
      <c r="J1115" s="149"/>
      <c r="K1115" s="147">
        <v>11</v>
      </c>
      <c r="L1115" s="147">
        <v>1</v>
      </c>
      <c r="M1115" s="147">
        <v>12</v>
      </c>
      <c r="N1115" s="275"/>
      <c r="O1115" s="194"/>
      <c r="P1115" s="179"/>
      <c r="Q1115" s="173"/>
      <c r="R1115" s="260">
        <v>0</v>
      </c>
      <c r="S1115" s="167"/>
      <c r="T1115" s="129" t="s">
        <v>64</v>
      </c>
      <c r="U1115" s="147" t="s">
        <v>37</v>
      </c>
      <c r="V1115" s="129"/>
      <c r="W1115" s="162" t="s">
        <v>54</v>
      </c>
      <c r="X1115" s="205"/>
      <c r="Y1115" s="251"/>
      <c r="Z1115" s="155"/>
      <c r="AA1115" s="230"/>
    </row>
    <row r="1116" spans="1:27" hidden="1" x14ac:dyDescent="0.25">
      <c r="A1116" s="155">
        <v>1</v>
      </c>
      <c r="B1116" s="136">
        <v>1503011</v>
      </c>
      <c r="C1116" s="127" t="s">
        <v>2020</v>
      </c>
      <c r="D1116" s="128" t="s">
        <v>1335</v>
      </c>
      <c r="E1116" s="147" t="s">
        <v>38</v>
      </c>
      <c r="F1116" s="129" t="s">
        <v>1325</v>
      </c>
      <c r="G1116" s="147" t="s">
        <v>1731</v>
      </c>
      <c r="H1116" s="189">
        <f t="shared" si="18"/>
        <v>0</v>
      </c>
      <c r="I1116" s="213"/>
      <c r="J1116" s="149"/>
      <c r="K1116" s="147">
        <v>11</v>
      </c>
      <c r="L1116" s="147">
        <v>1</v>
      </c>
      <c r="M1116" s="147">
        <v>12</v>
      </c>
      <c r="N1116" s="275"/>
      <c r="O1116" s="194"/>
      <c r="P1116" s="179"/>
      <c r="Q1116" s="173"/>
      <c r="R1116" s="260">
        <v>0</v>
      </c>
      <c r="S1116" s="167"/>
      <c r="T1116" s="129" t="s">
        <v>64</v>
      </c>
      <c r="U1116" s="147" t="s">
        <v>37</v>
      </c>
      <c r="V1116" s="129"/>
      <c r="W1116" s="162" t="s">
        <v>54</v>
      </c>
      <c r="X1116" s="205"/>
      <c r="Y1116" s="251"/>
      <c r="Z1116" s="155"/>
      <c r="AA1116" s="230"/>
    </row>
    <row r="1117" spans="1:27" hidden="1" x14ac:dyDescent="0.25">
      <c r="A1117" s="155">
        <v>1</v>
      </c>
      <c r="B1117" s="129">
        <v>1503012</v>
      </c>
      <c r="C1117" s="127" t="s">
        <v>2020</v>
      </c>
      <c r="D1117" s="136" t="s">
        <v>1337</v>
      </c>
      <c r="E1117" s="147" t="s">
        <v>38</v>
      </c>
      <c r="F1117" s="129" t="s">
        <v>64</v>
      </c>
      <c r="G1117" s="147" t="s">
        <v>1731</v>
      </c>
      <c r="H1117" s="189">
        <f t="shared" si="18"/>
        <v>0</v>
      </c>
      <c r="I1117" s="213"/>
      <c r="J1117" s="149"/>
      <c r="K1117" s="147">
        <v>11</v>
      </c>
      <c r="L1117" s="147">
        <v>1</v>
      </c>
      <c r="M1117" s="147">
        <v>12</v>
      </c>
      <c r="N1117" s="275"/>
      <c r="O1117" s="194"/>
      <c r="P1117" s="179"/>
      <c r="Q1117" s="173"/>
      <c r="R1117" s="260">
        <v>0</v>
      </c>
      <c r="S1117" s="167"/>
      <c r="T1117" s="129" t="s">
        <v>64</v>
      </c>
      <c r="U1117" s="147" t="s">
        <v>37</v>
      </c>
      <c r="V1117" s="129"/>
      <c r="W1117" s="176" t="s">
        <v>2519</v>
      </c>
      <c r="X1117" s="205"/>
      <c r="Y1117" s="251"/>
      <c r="Z1117" s="155"/>
      <c r="AA1117" s="230"/>
    </row>
    <row r="1118" spans="1:27" ht="24" hidden="1" x14ac:dyDescent="0.25">
      <c r="A1118" s="155">
        <v>1</v>
      </c>
      <c r="B1118" s="129">
        <v>1503013</v>
      </c>
      <c r="C1118" s="127" t="s">
        <v>2020</v>
      </c>
      <c r="D1118" s="128" t="s">
        <v>1338</v>
      </c>
      <c r="E1118" s="147" t="s">
        <v>38</v>
      </c>
      <c r="F1118" s="129" t="s">
        <v>1339</v>
      </c>
      <c r="G1118" s="147" t="s">
        <v>1731</v>
      </c>
      <c r="H1118" s="189">
        <f t="shared" si="18"/>
        <v>26.271874999999998</v>
      </c>
      <c r="I1118" s="134"/>
      <c r="J1118" s="150"/>
      <c r="K1118" s="147"/>
      <c r="L1118" s="147"/>
      <c r="M1118" s="147">
        <v>2</v>
      </c>
      <c r="N1118" s="275">
        <v>50</v>
      </c>
      <c r="O1118" s="194"/>
      <c r="P1118" s="179"/>
      <c r="Q1118" s="173">
        <v>26.271874999999998</v>
      </c>
      <c r="R1118" s="271">
        <v>0</v>
      </c>
      <c r="S1118" s="164"/>
      <c r="T1118" s="129" t="s">
        <v>517</v>
      </c>
      <c r="U1118" s="147" t="s">
        <v>35</v>
      </c>
      <c r="V1118" s="129"/>
      <c r="W1118" s="162" t="s">
        <v>54</v>
      </c>
      <c r="X1118" s="205"/>
      <c r="Y1118" s="251"/>
      <c r="Z1118" s="155"/>
      <c r="AA1118" s="230"/>
    </row>
    <row r="1119" spans="1:27" ht="24" hidden="1" x14ac:dyDescent="0.25">
      <c r="A1119" s="155">
        <v>1</v>
      </c>
      <c r="B1119" s="129">
        <v>1503014</v>
      </c>
      <c r="C1119" s="127" t="s">
        <v>2020</v>
      </c>
      <c r="D1119" s="128" t="s">
        <v>1343</v>
      </c>
      <c r="E1119" s="147" t="s">
        <v>38</v>
      </c>
      <c r="F1119" s="129" t="s">
        <v>1344</v>
      </c>
      <c r="G1119" s="147" t="s">
        <v>1731</v>
      </c>
      <c r="H1119" s="189">
        <f t="shared" si="18"/>
        <v>0.11156648451730419</v>
      </c>
      <c r="I1119" s="134"/>
      <c r="J1119" s="150"/>
      <c r="K1119" s="147"/>
      <c r="L1119" s="147"/>
      <c r="M1119" s="147">
        <v>2</v>
      </c>
      <c r="N1119" s="275"/>
      <c r="O1119" s="194"/>
      <c r="P1119" s="179"/>
      <c r="Q1119" s="173">
        <v>0.11156648451730419</v>
      </c>
      <c r="R1119" s="271">
        <v>0</v>
      </c>
      <c r="S1119" s="164"/>
      <c r="T1119" s="129" t="s">
        <v>517</v>
      </c>
      <c r="U1119" s="147" t="s">
        <v>35</v>
      </c>
      <c r="V1119" s="129"/>
      <c r="W1119" s="162" t="s">
        <v>54</v>
      </c>
      <c r="X1119" s="205"/>
      <c r="Y1119" s="251"/>
      <c r="Z1119" s="155"/>
      <c r="AA1119" s="230"/>
    </row>
    <row r="1120" spans="1:27" ht="24" hidden="1" x14ac:dyDescent="0.25">
      <c r="A1120" s="155">
        <v>1</v>
      </c>
      <c r="B1120" s="129">
        <v>1503015</v>
      </c>
      <c r="C1120" s="127" t="s">
        <v>2020</v>
      </c>
      <c r="D1120" s="128" t="s">
        <v>1345</v>
      </c>
      <c r="E1120" s="147" t="s">
        <v>38</v>
      </c>
      <c r="F1120" s="129" t="s">
        <v>1344</v>
      </c>
      <c r="G1120" s="147" t="s">
        <v>1731</v>
      </c>
      <c r="H1120" s="189">
        <f t="shared" si="18"/>
        <v>9.4869459623557986E-2</v>
      </c>
      <c r="I1120" s="134"/>
      <c r="J1120" s="150"/>
      <c r="K1120" s="147"/>
      <c r="L1120" s="147"/>
      <c r="M1120" s="147">
        <v>2</v>
      </c>
      <c r="N1120" s="275"/>
      <c r="O1120" s="194"/>
      <c r="P1120" s="179"/>
      <c r="Q1120" s="173">
        <v>9.4869459623557986E-2</v>
      </c>
      <c r="R1120" s="271">
        <v>0</v>
      </c>
      <c r="S1120" s="164"/>
      <c r="T1120" s="129" t="s">
        <v>517</v>
      </c>
      <c r="U1120" s="147" t="s">
        <v>35</v>
      </c>
      <c r="V1120" s="129"/>
      <c r="W1120" s="162" t="s">
        <v>54</v>
      </c>
      <c r="X1120" s="205"/>
      <c r="Y1120" s="251"/>
      <c r="Z1120" s="155"/>
      <c r="AA1120" s="230"/>
    </row>
    <row r="1121" spans="1:27" ht="24" hidden="1" x14ac:dyDescent="0.25">
      <c r="A1121" s="155">
        <v>1</v>
      </c>
      <c r="B1121" s="129">
        <v>1503016</v>
      </c>
      <c r="C1121" s="127" t="s">
        <v>2020</v>
      </c>
      <c r="D1121" s="128" t="s">
        <v>1346</v>
      </c>
      <c r="E1121" s="147" t="s">
        <v>38</v>
      </c>
      <c r="F1121" s="129" t="s">
        <v>517</v>
      </c>
      <c r="G1121" s="147" t="s">
        <v>1731</v>
      </c>
      <c r="H1121" s="189">
        <f t="shared" si="18"/>
        <v>0</v>
      </c>
      <c r="I1121" s="134"/>
      <c r="J1121" s="150"/>
      <c r="K1121" s="147"/>
      <c r="L1121" s="147"/>
      <c r="M1121" s="147">
        <v>1</v>
      </c>
      <c r="N1121" s="275"/>
      <c r="O1121" s="194"/>
      <c r="P1121" s="179"/>
      <c r="Q1121" s="173"/>
      <c r="R1121" s="271"/>
      <c r="S1121" s="164"/>
      <c r="T1121" s="129" t="s">
        <v>517</v>
      </c>
      <c r="U1121" s="147" t="s">
        <v>35</v>
      </c>
      <c r="V1121" s="129"/>
      <c r="W1121" s="176" t="s">
        <v>2519</v>
      </c>
      <c r="X1121" s="205"/>
      <c r="Y1121" s="251"/>
      <c r="Z1121" s="155"/>
      <c r="AA1121" s="230"/>
    </row>
    <row r="1122" spans="1:27" ht="24" hidden="1" x14ac:dyDescent="0.25">
      <c r="A1122" s="155">
        <v>1</v>
      </c>
      <c r="B1122" s="129">
        <v>1503017</v>
      </c>
      <c r="C1122" s="127" t="s">
        <v>2020</v>
      </c>
      <c r="D1122" s="128" t="s">
        <v>1347</v>
      </c>
      <c r="E1122" s="147" t="s">
        <v>38</v>
      </c>
      <c r="F1122" s="129" t="s">
        <v>517</v>
      </c>
      <c r="G1122" s="147" t="s">
        <v>1731</v>
      </c>
      <c r="H1122" s="189">
        <f t="shared" si="18"/>
        <v>0</v>
      </c>
      <c r="I1122" s="134"/>
      <c r="J1122" s="150"/>
      <c r="K1122" s="147"/>
      <c r="L1122" s="147"/>
      <c r="M1122" s="147">
        <v>1</v>
      </c>
      <c r="N1122" s="275"/>
      <c r="O1122" s="194"/>
      <c r="P1122" s="179"/>
      <c r="Q1122" s="173"/>
      <c r="R1122" s="271"/>
      <c r="S1122" s="164"/>
      <c r="T1122" s="129" t="s">
        <v>517</v>
      </c>
      <c r="U1122" s="147" t="s">
        <v>35</v>
      </c>
      <c r="V1122" s="129"/>
      <c r="W1122" s="176" t="s">
        <v>2519</v>
      </c>
      <c r="X1122" s="205"/>
      <c r="Y1122" s="251"/>
      <c r="Z1122" s="155"/>
      <c r="AA1122" s="230"/>
    </row>
    <row r="1123" spans="1:27" hidden="1" x14ac:dyDescent="0.25">
      <c r="A1123" s="155">
        <v>1</v>
      </c>
      <c r="B1123" s="129">
        <v>1503018</v>
      </c>
      <c r="C1123" s="127" t="s">
        <v>2020</v>
      </c>
      <c r="D1123" s="128" t="s">
        <v>1348</v>
      </c>
      <c r="E1123" s="147" t="s">
        <v>38</v>
      </c>
      <c r="F1123" s="129" t="s">
        <v>517</v>
      </c>
      <c r="G1123" s="147" t="s">
        <v>1731</v>
      </c>
      <c r="H1123" s="189">
        <f t="shared" si="18"/>
        <v>0</v>
      </c>
      <c r="I1123" s="134"/>
      <c r="J1123" s="150"/>
      <c r="K1123" s="147">
        <v>11</v>
      </c>
      <c r="L1123" s="147">
        <v>1</v>
      </c>
      <c r="M1123" s="147">
        <v>12</v>
      </c>
      <c r="N1123" s="275"/>
      <c r="O1123" s="194"/>
      <c r="P1123" s="179"/>
      <c r="Q1123" s="173"/>
      <c r="R1123" s="271"/>
      <c r="S1123" s="164"/>
      <c r="T1123" s="129" t="s">
        <v>517</v>
      </c>
      <c r="U1123" s="147" t="s">
        <v>37</v>
      </c>
      <c r="V1123" s="129"/>
      <c r="W1123" s="176" t="s">
        <v>2519</v>
      </c>
      <c r="X1123" s="205"/>
      <c r="Y1123" s="251"/>
      <c r="Z1123" s="155"/>
      <c r="AA1123" s="230"/>
    </row>
    <row r="1124" spans="1:27" s="181" customFormat="1" hidden="1" x14ac:dyDescent="0.25">
      <c r="A1124" s="155">
        <v>1</v>
      </c>
      <c r="B1124" s="129">
        <v>1503019</v>
      </c>
      <c r="C1124" s="127" t="s">
        <v>2020</v>
      </c>
      <c r="D1124" s="128" t="s">
        <v>1349</v>
      </c>
      <c r="E1124" s="147" t="s">
        <v>38</v>
      </c>
      <c r="F1124" s="129" t="s">
        <v>517</v>
      </c>
      <c r="G1124" s="147" t="s">
        <v>1731</v>
      </c>
      <c r="H1124" s="189">
        <f t="shared" si="18"/>
        <v>0</v>
      </c>
      <c r="I1124" s="134"/>
      <c r="J1124" s="150"/>
      <c r="K1124" s="147">
        <v>11</v>
      </c>
      <c r="L1124" s="147">
        <v>1</v>
      </c>
      <c r="M1124" s="147">
        <v>12</v>
      </c>
      <c r="N1124" s="275"/>
      <c r="O1124" s="194"/>
      <c r="P1124" s="179"/>
      <c r="Q1124" s="173"/>
      <c r="R1124" s="271"/>
      <c r="S1124" s="164"/>
      <c r="T1124" s="129" t="s">
        <v>517</v>
      </c>
      <c r="U1124" s="147" t="s">
        <v>37</v>
      </c>
      <c r="V1124" s="129"/>
      <c r="W1124" s="176" t="s">
        <v>2519</v>
      </c>
      <c r="X1124" s="205"/>
      <c r="Y1124" s="251"/>
      <c r="Z1124" s="155"/>
      <c r="AA1124" s="230"/>
    </row>
    <row r="1125" spans="1:27" s="181" customFormat="1" hidden="1" x14ac:dyDescent="0.25">
      <c r="A1125" s="155">
        <v>1</v>
      </c>
      <c r="B1125" s="129">
        <v>1503020</v>
      </c>
      <c r="C1125" s="127" t="s">
        <v>2020</v>
      </c>
      <c r="D1125" s="128" t="s">
        <v>1647</v>
      </c>
      <c r="E1125" s="147" t="s">
        <v>38</v>
      </c>
      <c r="F1125" s="129" t="s">
        <v>1649</v>
      </c>
      <c r="G1125" s="147" t="s">
        <v>1731</v>
      </c>
      <c r="H1125" s="189">
        <f t="shared" si="18"/>
        <v>10.39</v>
      </c>
      <c r="I1125" s="134" t="s">
        <v>2082</v>
      </c>
      <c r="J1125" s="146">
        <v>30</v>
      </c>
      <c r="K1125" s="147">
        <v>1</v>
      </c>
      <c r="L1125" s="147">
        <v>1</v>
      </c>
      <c r="M1125" s="147">
        <v>2</v>
      </c>
      <c r="N1125" s="275">
        <v>100</v>
      </c>
      <c r="O1125" s="194"/>
      <c r="P1125" s="179"/>
      <c r="Q1125" s="173">
        <v>10.39</v>
      </c>
      <c r="R1125" s="271">
        <v>0</v>
      </c>
      <c r="S1125" s="164"/>
      <c r="T1125" s="129" t="s">
        <v>1650</v>
      </c>
      <c r="U1125" s="147" t="s">
        <v>37</v>
      </c>
      <c r="V1125" s="129"/>
      <c r="W1125" s="176" t="s">
        <v>54</v>
      </c>
      <c r="X1125" s="205"/>
      <c r="Y1125" s="251"/>
      <c r="Z1125" s="155"/>
      <c r="AA1125" s="230"/>
    </row>
    <row r="1126" spans="1:27" hidden="1" x14ac:dyDescent="0.25">
      <c r="A1126" s="155">
        <v>1</v>
      </c>
      <c r="B1126" s="129">
        <v>1503021</v>
      </c>
      <c r="C1126" s="127" t="s">
        <v>2020</v>
      </c>
      <c r="D1126" s="128" t="s">
        <v>1648</v>
      </c>
      <c r="E1126" s="147" t="s">
        <v>38</v>
      </c>
      <c r="F1126" s="129" t="s">
        <v>1649</v>
      </c>
      <c r="G1126" s="147" t="s">
        <v>1731</v>
      </c>
      <c r="H1126" s="189">
        <f t="shared" si="18"/>
        <v>0.85</v>
      </c>
      <c r="I1126" s="134" t="s">
        <v>2082</v>
      </c>
      <c r="J1126" s="146">
        <v>30</v>
      </c>
      <c r="K1126" s="147">
        <v>1</v>
      </c>
      <c r="L1126" s="147">
        <v>1</v>
      </c>
      <c r="M1126" s="147">
        <v>2</v>
      </c>
      <c r="N1126" s="275">
        <v>650</v>
      </c>
      <c r="O1126" s="194"/>
      <c r="P1126" s="179"/>
      <c r="Q1126" s="173">
        <v>0.85</v>
      </c>
      <c r="R1126" s="271">
        <v>0</v>
      </c>
      <c r="S1126" s="164"/>
      <c r="T1126" s="129" t="s">
        <v>1650</v>
      </c>
      <c r="U1126" s="147" t="s">
        <v>37</v>
      </c>
      <c r="V1126" s="129"/>
      <c r="W1126" s="176" t="s">
        <v>54</v>
      </c>
      <c r="X1126" s="205"/>
      <c r="Y1126" s="251"/>
      <c r="Z1126" s="155"/>
      <c r="AA1126" s="230"/>
    </row>
    <row r="1127" spans="1:27" ht="24" hidden="1" x14ac:dyDescent="0.25">
      <c r="A1127" s="155"/>
      <c r="B1127" s="143">
        <v>1503022</v>
      </c>
      <c r="C1127" s="127" t="s">
        <v>2020</v>
      </c>
      <c r="D1127" s="143" t="s">
        <v>1726</v>
      </c>
      <c r="E1127" s="147" t="s">
        <v>38</v>
      </c>
      <c r="F1127" s="129" t="s">
        <v>2456</v>
      </c>
      <c r="G1127" s="147" t="s">
        <v>1731</v>
      </c>
      <c r="H1127" s="189">
        <f t="shared" si="18"/>
        <v>0</v>
      </c>
      <c r="I1127" s="180" t="s">
        <v>2213</v>
      </c>
      <c r="J1127" s="148">
        <v>60</v>
      </c>
      <c r="K1127" s="147">
        <v>1</v>
      </c>
      <c r="L1127" s="147">
        <v>1</v>
      </c>
      <c r="M1127" s="147">
        <v>2</v>
      </c>
      <c r="N1127" s="275"/>
      <c r="O1127" s="193"/>
      <c r="P1127" s="179"/>
      <c r="Q1127" s="173"/>
      <c r="R1127" s="271">
        <v>0</v>
      </c>
      <c r="S1127" s="167"/>
      <c r="T1127" s="129" t="s">
        <v>1850</v>
      </c>
      <c r="U1127" s="147" t="s">
        <v>35</v>
      </c>
      <c r="V1127" s="129"/>
      <c r="W1127" s="147" t="s">
        <v>2455</v>
      </c>
      <c r="X1127" s="205" t="s">
        <v>1904</v>
      </c>
      <c r="Y1127" s="251"/>
      <c r="Z1127" s="290"/>
      <c r="AA1127" s="286"/>
    </row>
    <row r="1128" spans="1:27" hidden="1" x14ac:dyDescent="0.25">
      <c r="A1128" s="155"/>
      <c r="B1128" s="143">
        <v>1503023</v>
      </c>
      <c r="C1128" s="127" t="s">
        <v>2020</v>
      </c>
      <c r="D1128" s="143" t="s">
        <v>1728</v>
      </c>
      <c r="E1128" s="147" t="s">
        <v>38</v>
      </c>
      <c r="F1128" s="129" t="s">
        <v>2456</v>
      </c>
      <c r="G1128" s="147" t="s">
        <v>1731</v>
      </c>
      <c r="H1128" s="189">
        <f t="shared" si="18"/>
        <v>0</v>
      </c>
      <c r="I1128" s="180" t="s">
        <v>2213</v>
      </c>
      <c r="J1128" s="148">
        <v>60</v>
      </c>
      <c r="K1128" s="147">
        <v>1</v>
      </c>
      <c r="L1128" s="147">
        <v>1</v>
      </c>
      <c r="M1128" s="147">
        <v>2</v>
      </c>
      <c r="N1128" s="275"/>
      <c r="O1128" s="193"/>
      <c r="P1128" s="179"/>
      <c r="Q1128" s="173"/>
      <c r="R1128" s="271">
        <v>0</v>
      </c>
      <c r="S1128" s="167"/>
      <c r="T1128" s="129" t="s">
        <v>1850</v>
      </c>
      <c r="U1128" s="147" t="s">
        <v>35</v>
      </c>
      <c r="V1128" s="129"/>
      <c r="W1128" s="147" t="s">
        <v>2455</v>
      </c>
      <c r="X1128" s="205" t="s">
        <v>1904</v>
      </c>
      <c r="Y1128" s="251"/>
      <c r="Z1128" s="290"/>
      <c r="AA1128" s="286"/>
    </row>
    <row r="1129" spans="1:27" ht="24" hidden="1" x14ac:dyDescent="0.25">
      <c r="A1129" s="155"/>
      <c r="B1129" s="136">
        <v>1503024</v>
      </c>
      <c r="C1129" s="127" t="s">
        <v>2020</v>
      </c>
      <c r="D1129" s="128" t="s">
        <v>2010</v>
      </c>
      <c r="E1129" s="147" t="s">
        <v>38</v>
      </c>
      <c r="F1129" s="129" t="s">
        <v>2456</v>
      </c>
      <c r="G1129" s="147" t="s">
        <v>1731</v>
      </c>
      <c r="H1129" s="189">
        <f t="shared" si="18"/>
        <v>0</v>
      </c>
      <c r="I1129" s="180" t="s">
        <v>2213</v>
      </c>
      <c r="J1129" s="148">
        <v>60</v>
      </c>
      <c r="K1129" s="147">
        <v>1</v>
      </c>
      <c r="L1129" s="147">
        <v>1</v>
      </c>
      <c r="M1129" s="147">
        <v>2</v>
      </c>
      <c r="N1129" s="275"/>
      <c r="O1129" s="193"/>
      <c r="P1129" s="179"/>
      <c r="Q1129" s="173"/>
      <c r="R1129" s="271"/>
      <c r="S1129" s="147"/>
      <c r="T1129" s="129" t="s">
        <v>1850</v>
      </c>
      <c r="U1129" s="147" t="s">
        <v>35</v>
      </c>
      <c r="V1129" s="129"/>
      <c r="W1129" s="147" t="s">
        <v>2455</v>
      </c>
      <c r="X1129" s="205" t="s">
        <v>1904</v>
      </c>
      <c r="Y1129" s="251"/>
      <c r="Z1129" s="290"/>
      <c r="AA1129" s="286"/>
    </row>
    <row r="1130" spans="1:27" s="181" customFormat="1" ht="24" hidden="1" x14ac:dyDescent="0.25">
      <c r="A1130" s="155">
        <v>1</v>
      </c>
      <c r="B1130" s="129">
        <v>1503100</v>
      </c>
      <c r="C1130" s="127" t="s">
        <v>2020</v>
      </c>
      <c r="D1130" s="128" t="s">
        <v>1350</v>
      </c>
      <c r="E1130" s="147" t="s">
        <v>38</v>
      </c>
      <c r="F1130" s="129" t="s">
        <v>58</v>
      </c>
      <c r="G1130" s="147" t="s">
        <v>1731</v>
      </c>
      <c r="H1130" s="189">
        <f t="shared" si="18"/>
        <v>0</v>
      </c>
      <c r="I1130" s="134"/>
      <c r="J1130" s="150"/>
      <c r="K1130" s="147">
        <v>11</v>
      </c>
      <c r="L1130" s="147">
        <v>1</v>
      </c>
      <c r="M1130" s="147">
        <v>12</v>
      </c>
      <c r="N1130" s="275"/>
      <c r="O1130" s="194"/>
      <c r="P1130" s="179"/>
      <c r="Q1130" s="173"/>
      <c r="R1130" s="271">
        <v>0</v>
      </c>
      <c r="S1130" s="164"/>
      <c r="T1130" s="129" t="s">
        <v>58</v>
      </c>
      <c r="U1130" s="147" t="s">
        <v>35</v>
      </c>
      <c r="V1130" s="129"/>
      <c r="W1130" s="162" t="s">
        <v>2519</v>
      </c>
      <c r="X1130" s="205"/>
      <c r="Y1130" s="251"/>
      <c r="Z1130" s="155"/>
      <c r="AA1130" s="230"/>
    </row>
    <row r="1131" spans="1:27" ht="24" hidden="1" x14ac:dyDescent="0.25">
      <c r="A1131" s="155">
        <v>1</v>
      </c>
      <c r="B1131" s="129">
        <v>1503101</v>
      </c>
      <c r="C1131" s="127" t="s">
        <v>2020</v>
      </c>
      <c r="D1131" s="128" t="s">
        <v>1353</v>
      </c>
      <c r="E1131" s="147" t="s">
        <v>38</v>
      </c>
      <c r="F1131" s="129" t="s">
        <v>1325</v>
      </c>
      <c r="G1131" s="147" t="s">
        <v>1731</v>
      </c>
      <c r="H1131" s="189">
        <f t="shared" si="18"/>
        <v>1.45</v>
      </c>
      <c r="I1131" s="134"/>
      <c r="J1131" s="150"/>
      <c r="K1131" s="147"/>
      <c r="L1131" s="147"/>
      <c r="M1131" s="147">
        <v>2</v>
      </c>
      <c r="N1131" s="275"/>
      <c r="O1131" s="194"/>
      <c r="P1131" s="179"/>
      <c r="Q1131" s="173">
        <v>1.45</v>
      </c>
      <c r="R1131" s="271">
        <v>0</v>
      </c>
      <c r="S1131" s="164" t="s">
        <v>35</v>
      </c>
      <c r="T1131" s="129" t="s">
        <v>189</v>
      </c>
      <c r="U1131" s="147" t="s">
        <v>37</v>
      </c>
      <c r="V1131" s="129"/>
      <c r="W1131" s="147" t="s">
        <v>2209</v>
      </c>
      <c r="X1131" s="205"/>
      <c r="Y1131" s="251"/>
      <c r="Z1131" s="155"/>
      <c r="AA1131" s="230"/>
    </row>
    <row r="1132" spans="1:27" s="181" customFormat="1" ht="24" hidden="1" x14ac:dyDescent="0.25">
      <c r="A1132" s="155">
        <v>1</v>
      </c>
      <c r="B1132" s="129">
        <v>1503102</v>
      </c>
      <c r="C1132" s="127" t="s">
        <v>2020</v>
      </c>
      <c r="D1132" s="128" t="s">
        <v>1525</v>
      </c>
      <c r="E1132" s="147" t="s">
        <v>38</v>
      </c>
      <c r="F1132" s="129" t="s">
        <v>102</v>
      </c>
      <c r="G1132" s="147" t="s">
        <v>1731</v>
      </c>
      <c r="H1132" s="189">
        <f t="shared" si="18"/>
        <v>0</v>
      </c>
      <c r="I1132" s="180" t="s">
        <v>2213</v>
      </c>
      <c r="J1132" s="150"/>
      <c r="K1132" s="147">
        <v>1</v>
      </c>
      <c r="L1132" s="147">
        <v>1</v>
      </c>
      <c r="M1132" s="147">
        <v>2</v>
      </c>
      <c r="N1132" s="275"/>
      <c r="O1132" s="194"/>
      <c r="P1132" s="179"/>
      <c r="Q1132" s="173"/>
      <c r="R1132" s="271"/>
      <c r="S1132" s="164"/>
      <c r="T1132" s="129" t="s">
        <v>102</v>
      </c>
      <c r="U1132" s="147" t="s">
        <v>35</v>
      </c>
      <c r="V1132" s="129"/>
      <c r="W1132" s="176" t="s">
        <v>2519</v>
      </c>
      <c r="X1132" s="205"/>
      <c r="Y1132" s="251"/>
      <c r="Z1132" s="155"/>
      <c r="AA1132" s="230"/>
    </row>
    <row r="1133" spans="1:27" ht="24" hidden="1" x14ac:dyDescent="0.25">
      <c r="A1133" s="155">
        <v>1</v>
      </c>
      <c r="B1133" s="129">
        <v>1503103</v>
      </c>
      <c r="C1133" s="127" t="s">
        <v>2020</v>
      </c>
      <c r="D1133" s="128" t="s">
        <v>1527</v>
      </c>
      <c r="E1133" s="147" t="s">
        <v>38</v>
      </c>
      <c r="F1133" s="129" t="s">
        <v>370</v>
      </c>
      <c r="G1133" s="147" t="s">
        <v>1731</v>
      </c>
      <c r="H1133" s="189">
        <f t="shared" si="18"/>
        <v>0</v>
      </c>
      <c r="I1133" s="134"/>
      <c r="J1133" s="150"/>
      <c r="K1133" s="147">
        <v>11</v>
      </c>
      <c r="L1133" s="147">
        <v>1</v>
      </c>
      <c r="M1133" s="147">
        <v>12</v>
      </c>
      <c r="N1133" s="275"/>
      <c r="O1133" s="194"/>
      <c r="P1133" s="179"/>
      <c r="Q1133" s="173"/>
      <c r="R1133" s="271"/>
      <c r="S1133" s="164"/>
      <c r="T1133" s="129" t="s">
        <v>102</v>
      </c>
      <c r="U1133" s="147" t="s">
        <v>35</v>
      </c>
      <c r="V1133" s="129"/>
      <c r="W1133" s="147" t="s">
        <v>2209</v>
      </c>
      <c r="X1133" s="205"/>
      <c r="Y1133" s="251"/>
      <c r="Z1133" s="155"/>
      <c r="AA1133" s="230"/>
    </row>
    <row r="1134" spans="1:27" ht="24" hidden="1" x14ac:dyDescent="0.25">
      <c r="A1134" s="155">
        <v>1</v>
      </c>
      <c r="B1134" s="129">
        <v>1503104</v>
      </c>
      <c r="C1134" s="127" t="s">
        <v>2020</v>
      </c>
      <c r="D1134" s="128" t="s">
        <v>1553</v>
      </c>
      <c r="E1134" s="147" t="s">
        <v>38</v>
      </c>
      <c r="F1134" s="129" t="s">
        <v>102</v>
      </c>
      <c r="G1134" s="147" t="s">
        <v>1731</v>
      </c>
      <c r="H1134" s="189">
        <f t="shared" si="18"/>
        <v>0</v>
      </c>
      <c r="I1134" s="180" t="s">
        <v>2213</v>
      </c>
      <c r="J1134" s="150"/>
      <c r="K1134" s="147">
        <v>1</v>
      </c>
      <c r="L1134" s="147">
        <v>1</v>
      </c>
      <c r="M1134" s="147">
        <v>2</v>
      </c>
      <c r="N1134" s="275"/>
      <c r="O1134" s="194"/>
      <c r="P1134" s="179"/>
      <c r="Q1134" s="173"/>
      <c r="R1134" s="271"/>
      <c r="S1134" s="164"/>
      <c r="T1134" s="129" t="s">
        <v>102</v>
      </c>
      <c r="U1134" s="147" t="s">
        <v>35</v>
      </c>
      <c r="V1134" s="129"/>
      <c r="W1134" s="176" t="s">
        <v>2519</v>
      </c>
      <c r="X1134" s="205"/>
      <c r="Y1134" s="251"/>
      <c r="Z1134" s="155"/>
      <c r="AA1134" s="230"/>
    </row>
    <row r="1135" spans="1:27" ht="24" hidden="1" x14ac:dyDescent="0.25">
      <c r="A1135" s="155">
        <v>1</v>
      </c>
      <c r="B1135" s="129">
        <v>1503105</v>
      </c>
      <c r="C1135" s="127" t="s">
        <v>2020</v>
      </c>
      <c r="D1135" s="128" t="s">
        <v>1626</v>
      </c>
      <c r="E1135" s="147" t="s">
        <v>38</v>
      </c>
      <c r="F1135" s="129" t="s">
        <v>1625</v>
      </c>
      <c r="G1135" s="147" t="s">
        <v>1731</v>
      </c>
      <c r="H1135" s="189">
        <f t="shared" si="18"/>
        <v>0</v>
      </c>
      <c r="I1135" s="180" t="s">
        <v>2213</v>
      </c>
      <c r="J1135" s="150"/>
      <c r="K1135" s="147">
        <v>11</v>
      </c>
      <c r="L1135" s="147">
        <v>1</v>
      </c>
      <c r="M1135" s="147">
        <v>12</v>
      </c>
      <c r="N1135" s="275"/>
      <c r="O1135" s="194"/>
      <c r="P1135" s="179"/>
      <c r="Q1135" s="173"/>
      <c r="R1135" s="271"/>
      <c r="S1135" s="164"/>
      <c r="T1135" s="129" t="s">
        <v>1625</v>
      </c>
      <c r="U1135" s="147" t="s">
        <v>37</v>
      </c>
      <c r="V1135" s="129"/>
      <c r="W1135" s="162" t="s">
        <v>2519</v>
      </c>
      <c r="X1135" s="205"/>
      <c r="Y1135" s="251"/>
      <c r="Z1135" s="155"/>
      <c r="AA1135" s="230"/>
    </row>
    <row r="1136" spans="1:27" s="181" customFormat="1" ht="24" hidden="1" x14ac:dyDescent="0.25">
      <c r="A1136" s="155"/>
      <c r="B1136" s="129">
        <v>1503106</v>
      </c>
      <c r="C1136" s="127" t="s">
        <v>2020</v>
      </c>
      <c r="D1136" s="128" t="s">
        <v>1662</v>
      </c>
      <c r="E1136" s="147" t="s">
        <v>38</v>
      </c>
      <c r="F1136" s="129" t="s">
        <v>1703</v>
      </c>
      <c r="G1136" s="147" t="s">
        <v>1731</v>
      </c>
      <c r="H1136" s="189">
        <f t="shared" si="18"/>
        <v>0</v>
      </c>
      <c r="I1136" s="180" t="s">
        <v>2213</v>
      </c>
      <c r="J1136" s="150"/>
      <c r="K1136" s="147">
        <v>1</v>
      </c>
      <c r="L1136" s="147">
        <v>1</v>
      </c>
      <c r="M1136" s="147">
        <v>2</v>
      </c>
      <c r="N1136" s="275"/>
      <c r="O1136" s="194"/>
      <c r="P1136" s="179"/>
      <c r="Q1136" s="173"/>
      <c r="R1136" s="271"/>
      <c r="S1136" s="147"/>
      <c r="T1136" s="129" t="s">
        <v>1703</v>
      </c>
      <c r="U1136" s="147" t="s">
        <v>37</v>
      </c>
      <c r="V1136" s="129"/>
      <c r="W1136" s="147" t="s">
        <v>2455</v>
      </c>
      <c r="X1136" s="205"/>
      <c r="Y1136" s="251"/>
      <c r="Z1136" s="290"/>
      <c r="AA1136" s="286"/>
    </row>
    <row r="1137" spans="1:27" hidden="1" x14ac:dyDescent="0.25">
      <c r="A1137" s="155"/>
      <c r="B1137" s="129">
        <v>1503107</v>
      </c>
      <c r="C1137" s="127" t="s">
        <v>2020</v>
      </c>
      <c r="D1137" s="128" t="s">
        <v>1663</v>
      </c>
      <c r="E1137" s="147" t="s">
        <v>38</v>
      </c>
      <c r="F1137" s="129" t="s">
        <v>1703</v>
      </c>
      <c r="G1137" s="147" t="s">
        <v>1731</v>
      </c>
      <c r="H1137" s="189">
        <f t="shared" si="18"/>
        <v>0</v>
      </c>
      <c r="I1137" s="180" t="s">
        <v>2213</v>
      </c>
      <c r="J1137" s="150"/>
      <c r="K1137" s="147">
        <v>1</v>
      </c>
      <c r="L1137" s="147">
        <v>1</v>
      </c>
      <c r="M1137" s="147">
        <v>2</v>
      </c>
      <c r="N1137" s="275"/>
      <c r="O1137" s="194"/>
      <c r="P1137" s="179"/>
      <c r="Q1137" s="173"/>
      <c r="R1137" s="271"/>
      <c r="S1137" s="147"/>
      <c r="T1137" s="129" t="s">
        <v>1703</v>
      </c>
      <c r="U1137" s="147" t="s">
        <v>37</v>
      </c>
      <c r="V1137" s="129"/>
      <c r="W1137" s="147" t="s">
        <v>2455</v>
      </c>
      <c r="X1137" s="205"/>
      <c r="Y1137" s="251"/>
      <c r="Z1137" s="290"/>
      <c r="AA1137" s="286"/>
    </row>
    <row r="1138" spans="1:27" s="181" customFormat="1" ht="24" hidden="1" x14ac:dyDescent="0.25">
      <c r="A1138" s="155"/>
      <c r="B1138" s="129">
        <v>1503108</v>
      </c>
      <c r="C1138" s="127" t="s">
        <v>2020</v>
      </c>
      <c r="D1138" s="128" t="s">
        <v>1664</v>
      </c>
      <c r="E1138" s="147" t="s">
        <v>38</v>
      </c>
      <c r="F1138" s="129" t="s">
        <v>1703</v>
      </c>
      <c r="G1138" s="147" t="s">
        <v>1731</v>
      </c>
      <c r="H1138" s="189">
        <f t="shared" si="18"/>
        <v>0</v>
      </c>
      <c r="I1138" s="180" t="s">
        <v>2213</v>
      </c>
      <c r="J1138" s="150"/>
      <c r="K1138" s="147">
        <v>1</v>
      </c>
      <c r="L1138" s="147">
        <v>1</v>
      </c>
      <c r="M1138" s="147">
        <v>2</v>
      </c>
      <c r="N1138" s="275"/>
      <c r="O1138" s="194"/>
      <c r="P1138" s="179"/>
      <c r="Q1138" s="173"/>
      <c r="R1138" s="271"/>
      <c r="S1138" s="147"/>
      <c r="T1138" s="129" t="s">
        <v>1703</v>
      </c>
      <c r="U1138" s="147" t="s">
        <v>37</v>
      </c>
      <c r="V1138" s="129"/>
      <c r="W1138" s="147" t="s">
        <v>2455</v>
      </c>
      <c r="X1138" s="205"/>
      <c r="Y1138" s="251"/>
      <c r="Z1138" s="290"/>
      <c r="AA1138" s="286"/>
    </row>
    <row r="1139" spans="1:27" s="181" customFormat="1" hidden="1" x14ac:dyDescent="0.25">
      <c r="A1139" s="155"/>
      <c r="B1139" s="129">
        <v>1503109</v>
      </c>
      <c r="C1139" s="127" t="s">
        <v>2020</v>
      </c>
      <c r="D1139" s="128" t="s">
        <v>1665</v>
      </c>
      <c r="E1139" s="147" t="s">
        <v>38</v>
      </c>
      <c r="F1139" s="129" t="s">
        <v>1703</v>
      </c>
      <c r="G1139" s="147" t="s">
        <v>1731</v>
      </c>
      <c r="H1139" s="189">
        <f t="shared" si="18"/>
        <v>0</v>
      </c>
      <c r="I1139" s="180" t="s">
        <v>2213</v>
      </c>
      <c r="J1139" s="150"/>
      <c r="K1139" s="147">
        <v>1</v>
      </c>
      <c r="L1139" s="147">
        <v>1</v>
      </c>
      <c r="M1139" s="147">
        <v>2</v>
      </c>
      <c r="N1139" s="275"/>
      <c r="O1139" s="194"/>
      <c r="P1139" s="179"/>
      <c r="Q1139" s="173"/>
      <c r="R1139" s="271"/>
      <c r="S1139" s="147"/>
      <c r="T1139" s="129" t="s">
        <v>1703</v>
      </c>
      <c r="U1139" s="147" t="s">
        <v>37</v>
      </c>
      <c r="V1139" s="129"/>
      <c r="W1139" s="147" t="s">
        <v>2455</v>
      </c>
      <c r="X1139" s="205"/>
      <c r="Y1139" s="251"/>
      <c r="Z1139" s="290"/>
      <c r="AA1139" s="286"/>
    </row>
    <row r="1140" spans="1:27" hidden="1" x14ac:dyDescent="0.25">
      <c r="A1140" s="155"/>
      <c r="B1140" s="129">
        <v>1503110</v>
      </c>
      <c r="C1140" s="127" t="s">
        <v>2020</v>
      </c>
      <c r="D1140" s="128" t="s">
        <v>1666</v>
      </c>
      <c r="E1140" s="147" t="s">
        <v>38</v>
      </c>
      <c r="F1140" s="129" t="s">
        <v>1703</v>
      </c>
      <c r="G1140" s="147" t="s">
        <v>1731</v>
      </c>
      <c r="H1140" s="189">
        <f t="shared" si="18"/>
        <v>0</v>
      </c>
      <c r="I1140" s="180" t="s">
        <v>2213</v>
      </c>
      <c r="J1140" s="150"/>
      <c r="K1140" s="147">
        <v>1</v>
      </c>
      <c r="L1140" s="147">
        <v>1</v>
      </c>
      <c r="M1140" s="147">
        <v>2</v>
      </c>
      <c r="N1140" s="275"/>
      <c r="O1140" s="194"/>
      <c r="P1140" s="179"/>
      <c r="Q1140" s="173"/>
      <c r="R1140" s="271"/>
      <c r="S1140" s="147"/>
      <c r="T1140" s="129" t="s">
        <v>1703</v>
      </c>
      <c r="U1140" s="147" t="s">
        <v>37</v>
      </c>
      <c r="V1140" s="129"/>
      <c r="W1140" s="147" t="s">
        <v>2455</v>
      </c>
      <c r="X1140" s="205"/>
      <c r="Y1140" s="251"/>
      <c r="Z1140" s="290"/>
      <c r="AA1140" s="286"/>
    </row>
    <row r="1141" spans="1:27" ht="24" hidden="1" x14ac:dyDescent="0.25">
      <c r="A1141" s="155"/>
      <c r="B1141" s="136">
        <v>1503111</v>
      </c>
      <c r="C1141" s="127" t="s">
        <v>2020</v>
      </c>
      <c r="D1141" s="128" t="s">
        <v>2011</v>
      </c>
      <c r="E1141" s="147" t="s">
        <v>38</v>
      </c>
      <c r="F1141" s="129" t="s">
        <v>2456</v>
      </c>
      <c r="G1141" s="147" t="s">
        <v>1731</v>
      </c>
      <c r="H1141" s="189">
        <f t="shared" si="18"/>
        <v>0</v>
      </c>
      <c r="I1141" s="180" t="s">
        <v>2213</v>
      </c>
      <c r="J1141" s="148">
        <v>60</v>
      </c>
      <c r="K1141" s="147">
        <v>1</v>
      </c>
      <c r="L1141" s="147">
        <v>1</v>
      </c>
      <c r="M1141" s="147">
        <v>2</v>
      </c>
      <c r="N1141" s="275"/>
      <c r="O1141" s="193"/>
      <c r="P1141" s="179"/>
      <c r="Q1141" s="173"/>
      <c r="R1141" s="271"/>
      <c r="S1141" s="147"/>
      <c r="T1141" s="129" t="s">
        <v>1850</v>
      </c>
      <c r="U1141" s="147" t="s">
        <v>35</v>
      </c>
      <c r="V1141" s="129"/>
      <c r="W1141" s="147" t="s">
        <v>2455</v>
      </c>
      <c r="X1141" s="205" t="s">
        <v>1904</v>
      </c>
      <c r="Y1141" s="251"/>
      <c r="Z1141" s="290"/>
      <c r="AA1141" s="286"/>
    </row>
    <row r="1142" spans="1:27" hidden="1" x14ac:dyDescent="0.25">
      <c r="A1142" s="155">
        <v>1</v>
      </c>
      <c r="B1142" s="136">
        <v>1504001</v>
      </c>
      <c r="C1142" s="127" t="s">
        <v>2020</v>
      </c>
      <c r="D1142" s="128" t="s">
        <v>1354</v>
      </c>
      <c r="E1142" s="147" t="s">
        <v>38</v>
      </c>
      <c r="F1142" s="138" t="s">
        <v>57</v>
      </c>
      <c r="G1142" s="147" t="s">
        <v>1731</v>
      </c>
      <c r="H1142" s="189">
        <f t="shared" si="18"/>
        <v>0</v>
      </c>
      <c r="I1142" s="213"/>
      <c r="J1142" s="149"/>
      <c r="K1142" s="147">
        <v>12</v>
      </c>
      <c r="L1142" s="147">
        <v>1</v>
      </c>
      <c r="M1142" s="147">
        <v>13</v>
      </c>
      <c r="N1142" s="275"/>
      <c r="O1142" s="194"/>
      <c r="P1142" s="179"/>
      <c r="Q1142" s="173"/>
      <c r="R1142" s="260">
        <v>0</v>
      </c>
      <c r="S1142" s="167"/>
      <c r="T1142" s="138" t="s">
        <v>57</v>
      </c>
      <c r="U1142" s="147" t="s">
        <v>37</v>
      </c>
      <c r="V1142" s="129"/>
      <c r="W1142" s="162" t="s">
        <v>54</v>
      </c>
      <c r="X1142" s="205"/>
      <c r="Y1142" s="251"/>
      <c r="Z1142" s="155"/>
      <c r="AA1142" s="230"/>
    </row>
    <row r="1143" spans="1:27" hidden="1" x14ac:dyDescent="0.25">
      <c r="A1143" s="155">
        <v>1</v>
      </c>
      <c r="B1143" s="129">
        <v>1504002</v>
      </c>
      <c r="C1143" s="127" t="s">
        <v>956</v>
      </c>
      <c r="D1143" s="128" t="s">
        <v>1355</v>
      </c>
      <c r="E1143" s="147" t="s">
        <v>38</v>
      </c>
      <c r="F1143" s="138" t="s">
        <v>57</v>
      </c>
      <c r="G1143" s="147" t="s">
        <v>1731</v>
      </c>
      <c r="H1143" s="189">
        <f t="shared" si="18"/>
        <v>0</v>
      </c>
      <c r="I1143" s="213"/>
      <c r="J1143" s="149"/>
      <c r="K1143" s="147">
        <v>12</v>
      </c>
      <c r="L1143" s="147">
        <v>1</v>
      </c>
      <c r="M1143" s="147">
        <v>13</v>
      </c>
      <c r="N1143" s="275"/>
      <c r="O1143" s="194"/>
      <c r="P1143" s="179"/>
      <c r="Q1143" s="173"/>
      <c r="R1143" s="260">
        <v>0</v>
      </c>
      <c r="S1143" s="167"/>
      <c r="T1143" s="129" t="s">
        <v>55</v>
      </c>
      <c r="U1143" s="147" t="s">
        <v>37</v>
      </c>
      <c r="V1143" s="129"/>
      <c r="W1143" s="162" t="s">
        <v>54</v>
      </c>
      <c r="X1143" s="205"/>
      <c r="Y1143" s="251"/>
      <c r="Z1143" s="155"/>
      <c r="AA1143" s="230"/>
    </row>
    <row r="1144" spans="1:27" s="181" customFormat="1" hidden="1" x14ac:dyDescent="0.25">
      <c r="A1144" s="155">
        <v>1</v>
      </c>
      <c r="B1144" s="129">
        <v>1504003</v>
      </c>
      <c r="C1144" s="127" t="s">
        <v>956</v>
      </c>
      <c r="D1144" s="128" t="s">
        <v>1356</v>
      </c>
      <c r="E1144" s="147" t="s">
        <v>38</v>
      </c>
      <c r="F1144" s="138" t="s">
        <v>57</v>
      </c>
      <c r="G1144" s="147" t="s">
        <v>1731</v>
      </c>
      <c r="H1144" s="189">
        <f t="shared" si="18"/>
        <v>0</v>
      </c>
      <c r="I1144" s="213"/>
      <c r="J1144" s="149"/>
      <c r="K1144" s="147">
        <v>12</v>
      </c>
      <c r="L1144" s="147">
        <v>1</v>
      </c>
      <c r="M1144" s="147">
        <v>13</v>
      </c>
      <c r="N1144" s="275"/>
      <c r="O1144" s="194"/>
      <c r="P1144" s="179"/>
      <c r="Q1144" s="173"/>
      <c r="R1144" s="260">
        <v>0</v>
      </c>
      <c r="S1144" s="167"/>
      <c r="T1144" s="129" t="s">
        <v>55</v>
      </c>
      <c r="U1144" s="147" t="s">
        <v>37</v>
      </c>
      <c r="V1144" s="129"/>
      <c r="W1144" s="162" t="s">
        <v>54</v>
      </c>
      <c r="X1144" s="205"/>
      <c r="Y1144" s="251"/>
      <c r="Z1144" s="155"/>
      <c r="AA1144" s="230"/>
    </row>
    <row r="1145" spans="1:27" s="181" customFormat="1" ht="24" hidden="1" x14ac:dyDescent="0.25">
      <c r="A1145" s="155">
        <v>1</v>
      </c>
      <c r="B1145" s="136">
        <v>1504004</v>
      </c>
      <c r="C1145" s="127" t="s">
        <v>956</v>
      </c>
      <c r="D1145" s="128" t="s">
        <v>1357</v>
      </c>
      <c r="E1145" s="147" t="s">
        <v>38</v>
      </c>
      <c r="F1145" s="138" t="s">
        <v>57</v>
      </c>
      <c r="G1145" s="147" t="s">
        <v>1731</v>
      </c>
      <c r="H1145" s="189">
        <f t="shared" si="18"/>
        <v>0</v>
      </c>
      <c r="I1145" s="213"/>
      <c r="J1145" s="149"/>
      <c r="K1145" s="147">
        <v>12</v>
      </c>
      <c r="L1145" s="147">
        <v>1</v>
      </c>
      <c r="M1145" s="147">
        <v>13</v>
      </c>
      <c r="N1145" s="275"/>
      <c r="O1145" s="194"/>
      <c r="P1145" s="179"/>
      <c r="Q1145" s="173"/>
      <c r="R1145" s="260">
        <v>0</v>
      </c>
      <c r="S1145" s="167"/>
      <c r="T1145" s="138" t="s">
        <v>57</v>
      </c>
      <c r="U1145" s="147" t="s">
        <v>37</v>
      </c>
      <c r="V1145" s="129"/>
      <c r="W1145" s="162" t="s">
        <v>54</v>
      </c>
      <c r="X1145" s="205"/>
      <c r="Y1145" s="251"/>
      <c r="Z1145" s="155"/>
      <c r="AA1145" s="230"/>
    </row>
    <row r="1146" spans="1:27" s="181" customFormat="1" ht="24" hidden="1" x14ac:dyDescent="0.25">
      <c r="A1146" s="155">
        <v>1</v>
      </c>
      <c r="B1146" s="129">
        <v>1504005</v>
      </c>
      <c r="C1146" s="127" t="s">
        <v>956</v>
      </c>
      <c r="D1146" s="128" t="s">
        <v>1358</v>
      </c>
      <c r="E1146" s="147" t="s">
        <v>38</v>
      </c>
      <c r="F1146" s="138" t="s">
        <v>57</v>
      </c>
      <c r="G1146" s="147" t="s">
        <v>1731</v>
      </c>
      <c r="H1146" s="189">
        <f t="shared" ref="H1146:H1209" si="19">Q1146+R1146</f>
        <v>0</v>
      </c>
      <c r="I1146" s="213"/>
      <c r="J1146" s="149"/>
      <c r="K1146" s="147">
        <v>12</v>
      </c>
      <c r="L1146" s="147">
        <v>1</v>
      </c>
      <c r="M1146" s="147">
        <v>13</v>
      </c>
      <c r="N1146" s="275"/>
      <c r="O1146" s="194"/>
      <c r="P1146" s="179"/>
      <c r="Q1146" s="173"/>
      <c r="R1146" s="260">
        <v>0</v>
      </c>
      <c r="S1146" s="167"/>
      <c r="T1146" s="129" t="s">
        <v>55</v>
      </c>
      <c r="U1146" s="147" t="s">
        <v>37</v>
      </c>
      <c r="V1146" s="129"/>
      <c r="W1146" s="162" t="s">
        <v>54</v>
      </c>
      <c r="X1146" s="205"/>
      <c r="Y1146" s="251"/>
      <c r="Z1146" s="155"/>
      <c r="AA1146" s="230"/>
    </row>
    <row r="1147" spans="1:27" ht="24" hidden="1" x14ac:dyDescent="0.25">
      <c r="A1147" s="155">
        <v>1</v>
      </c>
      <c r="B1147" s="136">
        <v>1504006</v>
      </c>
      <c r="C1147" s="127" t="s">
        <v>2020</v>
      </c>
      <c r="D1147" s="128" t="s">
        <v>1359</v>
      </c>
      <c r="E1147" s="147" t="s">
        <v>38</v>
      </c>
      <c r="F1147" s="129" t="s">
        <v>1360</v>
      </c>
      <c r="G1147" s="147" t="s">
        <v>1731</v>
      </c>
      <c r="H1147" s="189">
        <f t="shared" si="19"/>
        <v>0</v>
      </c>
      <c r="I1147" s="210" t="s">
        <v>2223</v>
      </c>
      <c r="J1147" s="149"/>
      <c r="K1147" s="147"/>
      <c r="L1147" s="147"/>
      <c r="M1147" s="147">
        <v>1</v>
      </c>
      <c r="N1147" s="275"/>
      <c r="O1147" s="194"/>
      <c r="P1147" s="179"/>
      <c r="Q1147" s="173"/>
      <c r="R1147" s="260">
        <v>0</v>
      </c>
      <c r="S1147" s="167"/>
      <c r="T1147" s="129"/>
      <c r="U1147" s="147" t="s">
        <v>37</v>
      </c>
      <c r="V1147" s="129"/>
      <c r="W1147" s="162" t="s">
        <v>54</v>
      </c>
      <c r="X1147" s="205"/>
      <c r="Y1147" s="251"/>
      <c r="Z1147" s="290"/>
      <c r="AA1147" s="286"/>
    </row>
    <row r="1148" spans="1:27" s="181" customFormat="1" ht="24" hidden="1" x14ac:dyDescent="0.25">
      <c r="A1148" s="155">
        <v>1</v>
      </c>
      <c r="B1148" s="136">
        <v>1504007</v>
      </c>
      <c r="C1148" s="127" t="s">
        <v>2020</v>
      </c>
      <c r="D1148" s="128" t="s">
        <v>1361</v>
      </c>
      <c r="E1148" s="147" t="s">
        <v>38</v>
      </c>
      <c r="F1148" s="129" t="s">
        <v>966</v>
      </c>
      <c r="G1148" s="147" t="s">
        <v>1731</v>
      </c>
      <c r="H1148" s="189">
        <f t="shared" si="19"/>
        <v>0</v>
      </c>
      <c r="I1148" s="213"/>
      <c r="J1148" s="149"/>
      <c r="K1148" s="147">
        <v>11</v>
      </c>
      <c r="L1148" s="147">
        <v>1</v>
      </c>
      <c r="M1148" s="147">
        <v>12</v>
      </c>
      <c r="N1148" s="275"/>
      <c r="O1148" s="194"/>
      <c r="P1148" s="179"/>
      <c r="Q1148" s="173"/>
      <c r="R1148" s="260">
        <v>0</v>
      </c>
      <c r="S1148" s="167"/>
      <c r="T1148" s="129" t="s">
        <v>2205</v>
      </c>
      <c r="U1148" s="147" t="s">
        <v>37</v>
      </c>
      <c r="V1148" s="129"/>
      <c r="W1148" s="162" t="s">
        <v>2519</v>
      </c>
      <c r="X1148" s="205"/>
      <c r="Y1148" s="251"/>
      <c r="Z1148" s="155"/>
      <c r="AA1148" s="230"/>
    </row>
    <row r="1149" spans="1:27" s="181" customFormat="1" hidden="1" x14ac:dyDescent="0.25">
      <c r="A1149" s="155">
        <v>1</v>
      </c>
      <c r="B1149" s="136">
        <v>1504008</v>
      </c>
      <c r="C1149" s="127" t="s">
        <v>2020</v>
      </c>
      <c r="D1149" s="128" t="s">
        <v>1362</v>
      </c>
      <c r="E1149" s="147" t="s">
        <v>38</v>
      </c>
      <c r="F1149" s="129" t="s">
        <v>966</v>
      </c>
      <c r="G1149" s="147" t="s">
        <v>1731</v>
      </c>
      <c r="H1149" s="189">
        <f t="shared" si="19"/>
        <v>0</v>
      </c>
      <c r="I1149" s="213"/>
      <c r="J1149" s="149"/>
      <c r="K1149" s="147">
        <v>11</v>
      </c>
      <c r="L1149" s="147">
        <v>1</v>
      </c>
      <c r="M1149" s="147">
        <v>12</v>
      </c>
      <c r="N1149" s="275"/>
      <c r="O1149" s="194"/>
      <c r="P1149" s="179"/>
      <c r="Q1149" s="173"/>
      <c r="R1149" s="260">
        <v>0</v>
      </c>
      <c r="S1149" s="167"/>
      <c r="T1149" s="129" t="s">
        <v>2205</v>
      </c>
      <c r="U1149" s="147" t="s">
        <v>37</v>
      </c>
      <c r="V1149" s="129"/>
      <c r="W1149" s="162" t="s">
        <v>2519</v>
      </c>
      <c r="X1149" s="205"/>
      <c r="Y1149" s="251"/>
      <c r="Z1149" s="155"/>
      <c r="AA1149" s="230"/>
    </row>
    <row r="1150" spans="1:27" s="181" customFormat="1" ht="24" hidden="1" x14ac:dyDescent="0.25">
      <c r="A1150" s="155">
        <v>1</v>
      </c>
      <c r="B1150" s="129">
        <v>1504010</v>
      </c>
      <c r="C1150" s="127" t="s">
        <v>956</v>
      </c>
      <c r="D1150" s="128" t="s">
        <v>1363</v>
      </c>
      <c r="E1150" s="147" t="s">
        <v>38</v>
      </c>
      <c r="F1150" s="138" t="s">
        <v>57</v>
      </c>
      <c r="G1150" s="147" t="s">
        <v>1731</v>
      </c>
      <c r="H1150" s="189">
        <f t="shared" si="19"/>
        <v>0</v>
      </c>
      <c r="I1150" s="213"/>
      <c r="J1150" s="149"/>
      <c r="K1150" s="147">
        <v>12</v>
      </c>
      <c r="L1150" s="147">
        <v>1</v>
      </c>
      <c r="M1150" s="147">
        <v>13</v>
      </c>
      <c r="N1150" s="275"/>
      <c r="O1150" s="194"/>
      <c r="P1150" s="179"/>
      <c r="Q1150" s="173"/>
      <c r="R1150" s="260">
        <v>0</v>
      </c>
      <c r="S1150" s="167"/>
      <c r="T1150" s="129" t="s">
        <v>55</v>
      </c>
      <c r="U1150" s="147" t="s">
        <v>37</v>
      </c>
      <c r="V1150" s="129"/>
      <c r="W1150" s="162" t="s">
        <v>54</v>
      </c>
      <c r="X1150" s="205"/>
      <c r="Y1150" s="251"/>
      <c r="Z1150" s="155"/>
      <c r="AA1150" s="230"/>
    </row>
    <row r="1151" spans="1:27" s="181" customFormat="1" ht="24" hidden="1" x14ac:dyDescent="0.25">
      <c r="A1151" s="155">
        <v>1</v>
      </c>
      <c r="B1151" s="129">
        <v>1504011</v>
      </c>
      <c r="C1151" s="127" t="s">
        <v>2020</v>
      </c>
      <c r="D1151" s="136" t="s">
        <v>1364</v>
      </c>
      <c r="E1151" s="147" t="s">
        <v>38</v>
      </c>
      <c r="F1151" s="129" t="s">
        <v>1231</v>
      </c>
      <c r="G1151" s="147" t="s">
        <v>1731</v>
      </c>
      <c r="H1151" s="189">
        <f t="shared" si="19"/>
        <v>0.02</v>
      </c>
      <c r="I1151" s="134" t="s">
        <v>2086</v>
      </c>
      <c r="J1151" s="146">
        <v>30</v>
      </c>
      <c r="K1151" s="147">
        <v>1</v>
      </c>
      <c r="L1151" s="147">
        <v>1</v>
      </c>
      <c r="M1151" s="147">
        <v>2</v>
      </c>
      <c r="N1151" s="275">
        <v>1000</v>
      </c>
      <c r="O1151" s="194"/>
      <c r="P1151" s="179"/>
      <c r="Q1151" s="173">
        <v>0.02</v>
      </c>
      <c r="R1151" s="271">
        <v>0</v>
      </c>
      <c r="S1151" s="167"/>
      <c r="T1151" s="129" t="s">
        <v>1365</v>
      </c>
      <c r="U1151" s="147" t="s">
        <v>37</v>
      </c>
      <c r="V1151" s="129"/>
      <c r="W1151" s="162" t="s">
        <v>54</v>
      </c>
      <c r="X1151" s="207"/>
      <c r="Y1151" s="251"/>
      <c r="Z1151" s="155"/>
      <c r="AA1151" s="230"/>
    </row>
    <row r="1152" spans="1:27" s="181" customFormat="1" hidden="1" x14ac:dyDescent="0.25">
      <c r="A1152" s="155">
        <v>1</v>
      </c>
      <c r="B1152" s="129">
        <v>1504012</v>
      </c>
      <c r="C1152" s="127" t="s">
        <v>2020</v>
      </c>
      <c r="D1152" s="128" t="s">
        <v>1366</v>
      </c>
      <c r="E1152" s="147" t="s">
        <v>38</v>
      </c>
      <c r="F1152" s="129" t="s">
        <v>1231</v>
      </c>
      <c r="G1152" s="147" t="s">
        <v>1731</v>
      </c>
      <c r="H1152" s="189">
        <f t="shared" si="19"/>
        <v>6.6659999999999997E-2</v>
      </c>
      <c r="I1152" s="134" t="s">
        <v>2086</v>
      </c>
      <c r="J1152" s="146">
        <v>30</v>
      </c>
      <c r="K1152" s="147">
        <v>1</v>
      </c>
      <c r="L1152" s="147">
        <v>1</v>
      </c>
      <c r="M1152" s="147">
        <v>2</v>
      </c>
      <c r="N1152" s="275">
        <v>1000</v>
      </c>
      <c r="O1152" s="194"/>
      <c r="P1152" s="179"/>
      <c r="Q1152" s="173">
        <v>6.6659999999999997E-2</v>
      </c>
      <c r="R1152" s="271">
        <v>0</v>
      </c>
      <c r="S1152" s="167"/>
      <c r="T1152" s="129" t="s">
        <v>234</v>
      </c>
      <c r="U1152" s="147" t="s">
        <v>37</v>
      </c>
      <c r="V1152" s="129"/>
      <c r="W1152" s="162" t="s">
        <v>54</v>
      </c>
      <c r="X1152" s="205"/>
      <c r="Y1152" s="251"/>
      <c r="Z1152" s="155"/>
      <c r="AA1152" s="230"/>
    </row>
    <row r="1153" spans="1:27 16382:16382" s="181" customFormat="1" ht="24" hidden="1" x14ac:dyDescent="0.25">
      <c r="A1153" s="155">
        <v>1</v>
      </c>
      <c r="B1153" s="129">
        <v>1504013</v>
      </c>
      <c r="C1153" s="127" t="s">
        <v>2020</v>
      </c>
      <c r="D1153" s="128" t="s">
        <v>1367</v>
      </c>
      <c r="E1153" s="147" t="s">
        <v>38</v>
      </c>
      <c r="F1153" s="129" t="s">
        <v>1360</v>
      </c>
      <c r="G1153" s="147" t="s">
        <v>1731</v>
      </c>
      <c r="H1153" s="189">
        <f t="shared" si="19"/>
        <v>0</v>
      </c>
      <c r="I1153" s="210" t="s">
        <v>2223</v>
      </c>
      <c r="J1153" s="149"/>
      <c r="K1153" s="147">
        <v>9</v>
      </c>
      <c r="L1153" s="147">
        <v>1</v>
      </c>
      <c r="M1153" s="147">
        <v>10</v>
      </c>
      <c r="N1153" s="275">
        <v>1000</v>
      </c>
      <c r="O1153" s="194"/>
      <c r="P1153" s="179"/>
      <c r="Q1153" s="173"/>
      <c r="R1153" s="260">
        <v>0</v>
      </c>
      <c r="S1153" s="167"/>
      <c r="T1153" s="129" t="s">
        <v>234</v>
      </c>
      <c r="U1153" s="147" t="s">
        <v>37</v>
      </c>
      <c r="V1153" s="129"/>
      <c r="W1153" s="162" t="s">
        <v>54</v>
      </c>
      <c r="X1153" s="205"/>
      <c r="Y1153" s="251"/>
      <c r="Z1153" s="290"/>
      <c r="AA1153" s="286"/>
    </row>
    <row r="1154" spans="1:27 16382:16382" s="181" customFormat="1" ht="24" x14ac:dyDescent="0.25">
      <c r="A1154" s="155">
        <v>1</v>
      </c>
      <c r="B1154" s="129">
        <v>1504014</v>
      </c>
      <c r="C1154" s="127" t="s">
        <v>2020</v>
      </c>
      <c r="D1154" s="128" t="s">
        <v>2470</v>
      </c>
      <c r="E1154" s="147" t="s">
        <v>38</v>
      </c>
      <c r="F1154" s="129" t="s">
        <v>1369</v>
      </c>
      <c r="G1154" s="147" t="s">
        <v>1731</v>
      </c>
      <c r="H1154" s="189">
        <f t="shared" si="19"/>
        <v>0.8640000000000001</v>
      </c>
      <c r="I1154" s="226" t="s">
        <v>2230</v>
      </c>
      <c r="J1154" s="146">
        <v>30</v>
      </c>
      <c r="K1154" s="147">
        <v>3</v>
      </c>
      <c r="L1154" s="147">
        <v>1</v>
      </c>
      <c r="M1154" s="147">
        <v>4</v>
      </c>
      <c r="N1154" s="357">
        <v>20000</v>
      </c>
      <c r="O1154" s="193"/>
      <c r="P1154" s="179">
        <v>46023</v>
      </c>
      <c r="Q1154" s="173">
        <v>0.8</v>
      </c>
      <c r="R1154" s="271">
        <v>6.4000000000000001E-2</v>
      </c>
      <c r="S1154" s="167"/>
      <c r="T1154" s="129" t="s">
        <v>1906</v>
      </c>
      <c r="U1154" s="147" t="s">
        <v>37</v>
      </c>
      <c r="V1154" s="129"/>
      <c r="W1154" s="147" t="s">
        <v>2208</v>
      </c>
      <c r="X1154" s="205" t="s">
        <v>1904</v>
      </c>
      <c r="Y1154" s="251"/>
      <c r="Z1154" s="290"/>
      <c r="AA1154" s="286"/>
    </row>
    <row r="1155" spans="1:27 16382:16382" s="181" customFormat="1" ht="24" x14ac:dyDescent="0.25">
      <c r="A1155" s="155">
        <v>1</v>
      </c>
      <c r="B1155" s="129">
        <v>1504015</v>
      </c>
      <c r="C1155" s="127" t="s">
        <v>2020</v>
      </c>
      <c r="D1155" s="128" t="s">
        <v>2471</v>
      </c>
      <c r="E1155" s="147" t="s">
        <v>38</v>
      </c>
      <c r="F1155" s="129" t="s">
        <v>1231</v>
      </c>
      <c r="G1155" s="147" t="s">
        <v>1731</v>
      </c>
      <c r="H1155" s="189">
        <f t="shared" si="19"/>
        <v>0.41039999999999999</v>
      </c>
      <c r="I1155" s="210" t="s">
        <v>2086</v>
      </c>
      <c r="J1155" s="146">
        <v>30</v>
      </c>
      <c r="K1155" s="147">
        <v>6</v>
      </c>
      <c r="L1155" s="147">
        <v>4</v>
      </c>
      <c r="M1155" s="147">
        <v>10</v>
      </c>
      <c r="N1155" s="275">
        <v>20000</v>
      </c>
      <c r="O1155" s="173">
        <v>0.38</v>
      </c>
      <c r="P1155" s="179">
        <v>46072</v>
      </c>
      <c r="Q1155" s="173">
        <v>0.38</v>
      </c>
      <c r="R1155" s="271">
        <v>3.04E-2</v>
      </c>
      <c r="S1155" s="167"/>
      <c r="T1155" s="129" t="s">
        <v>1448</v>
      </c>
      <c r="U1155" s="147" t="s">
        <v>37</v>
      </c>
      <c r="V1155" s="129"/>
      <c r="W1155" s="147" t="s">
        <v>2208</v>
      </c>
      <c r="X1155" s="205" t="s">
        <v>1904</v>
      </c>
      <c r="Y1155" s="251"/>
      <c r="Z1155" s="155"/>
      <c r="AA1155" s="230"/>
    </row>
    <row r="1156" spans="1:27 16382:16382" s="181" customFormat="1" ht="24" x14ac:dyDescent="0.25">
      <c r="A1156" s="155">
        <v>1</v>
      </c>
      <c r="B1156" s="129">
        <v>1504016</v>
      </c>
      <c r="C1156" s="127" t="s">
        <v>2020</v>
      </c>
      <c r="D1156" s="128" t="s">
        <v>1374</v>
      </c>
      <c r="E1156" s="147" t="s">
        <v>38</v>
      </c>
      <c r="F1156" s="129" t="s">
        <v>1369</v>
      </c>
      <c r="G1156" s="147" t="s">
        <v>1731</v>
      </c>
      <c r="H1156" s="189">
        <f t="shared" si="19"/>
        <v>0.19439999999999999</v>
      </c>
      <c r="I1156" s="226" t="s">
        <v>2230</v>
      </c>
      <c r="J1156" s="146">
        <v>30</v>
      </c>
      <c r="K1156" s="147">
        <v>3</v>
      </c>
      <c r="L1156" s="147">
        <v>1</v>
      </c>
      <c r="M1156" s="147">
        <v>4</v>
      </c>
      <c r="N1156" s="275">
        <v>10000</v>
      </c>
      <c r="O1156" s="193">
        <v>1.6E-2</v>
      </c>
      <c r="P1156" s="179">
        <v>44700</v>
      </c>
      <c r="Q1156" s="173">
        <v>0.18</v>
      </c>
      <c r="R1156" s="271">
        <v>1.44E-2</v>
      </c>
      <c r="S1156" s="167"/>
      <c r="T1156" s="129" t="s">
        <v>2441</v>
      </c>
      <c r="U1156" s="147" t="s">
        <v>37</v>
      </c>
      <c r="V1156" s="129"/>
      <c r="W1156" s="147" t="s">
        <v>2208</v>
      </c>
      <c r="X1156" s="205" t="s">
        <v>1904</v>
      </c>
      <c r="Y1156" s="251"/>
      <c r="Z1156" s="290"/>
      <c r="AA1156" s="286"/>
    </row>
    <row r="1157" spans="1:27 16382:16382" s="181" customFormat="1" ht="24" hidden="1" x14ac:dyDescent="0.25">
      <c r="A1157" s="155">
        <v>1</v>
      </c>
      <c r="B1157" s="129">
        <v>1504017</v>
      </c>
      <c r="C1157" s="127" t="s">
        <v>2020</v>
      </c>
      <c r="D1157" s="128" t="s">
        <v>1375</v>
      </c>
      <c r="E1157" s="147" t="s">
        <v>38</v>
      </c>
      <c r="F1157" s="129" t="s">
        <v>1376</v>
      </c>
      <c r="G1157" s="147" t="s">
        <v>1731</v>
      </c>
      <c r="H1157" s="189">
        <f t="shared" si="19"/>
        <v>4.2000000000000003E-2</v>
      </c>
      <c r="I1157" s="214"/>
      <c r="J1157" s="150"/>
      <c r="K1157" s="147"/>
      <c r="L1157" s="147"/>
      <c r="M1157" s="147">
        <v>2</v>
      </c>
      <c r="N1157" s="275"/>
      <c r="O1157" s="194"/>
      <c r="P1157" s="179"/>
      <c r="Q1157" s="173">
        <v>4.2000000000000003E-2</v>
      </c>
      <c r="R1157" s="271">
        <v>0</v>
      </c>
      <c r="S1157" s="167"/>
      <c r="T1157" s="129" t="s">
        <v>272</v>
      </c>
      <c r="U1157" s="147" t="s">
        <v>35</v>
      </c>
      <c r="V1157" s="129"/>
      <c r="W1157" s="147" t="s">
        <v>2209</v>
      </c>
      <c r="X1157" s="205"/>
      <c r="Y1157" s="251"/>
      <c r="Z1157" s="155"/>
      <c r="AA1157" s="230"/>
    </row>
    <row r="1158" spans="1:27 16382:16382" s="181" customFormat="1" ht="24" hidden="1" x14ac:dyDescent="0.25">
      <c r="A1158" s="155">
        <v>1</v>
      </c>
      <c r="B1158" s="129">
        <v>1504018</v>
      </c>
      <c r="C1158" s="127" t="s">
        <v>2020</v>
      </c>
      <c r="D1158" s="128" t="s">
        <v>1380</v>
      </c>
      <c r="E1158" s="147" t="s">
        <v>38</v>
      </c>
      <c r="F1158" s="129" t="s">
        <v>1376</v>
      </c>
      <c r="G1158" s="147" t="s">
        <v>1731</v>
      </c>
      <c r="H1158" s="189">
        <f t="shared" si="19"/>
        <v>0.03</v>
      </c>
      <c r="I1158" s="214"/>
      <c r="J1158" s="150"/>
      <c r="K1158" s="147"/>
      <c r="L1158" s="147"/>
      <c r="M1158" s="147">
        <v>2</v>
      </c>
      <c r="N1158" s="275"/>
      <c r="O1158" s="194"/>
      <c r="P1158" s="179"/>
      <c r="Q1158" s="173">
        <v>0.03</v>
      </c>
      <c r="R1158" s="271">
        <v>0</v>
      </c>
      <c r="S1158" s="167"/>
      <c r="T1158" s="129" t="s">
        <v>272</v>
      </c>
      <c r="U1158" s="147" t="s">
        <v>35</v>
      </c>
      <c r="V1158" s="129"/>
      <c r="W1158" s="147" t="s">
        <v>2209</v>
      </c>
      <c r="X1158" s="205"/>
      <c r="Y1158" s="251"/>
      <c r="Z1158" s="155"/>
      <c r="AA1158" s="230"/>
    </row>
    <row r="1159" spans="1:27 16382:16382" s="181" customFormat="1" ht="24" x14ac:dyDescent="0.25">
      <c r="A1159" s="155">
        <v>1</v>
      </c>
      <c r="B1159" s="129">
        <v>1504019</v>
      </c>
      <c r="C1159" s="127" t="s">
        <v>2020</v>
      </c>
      <c r="D1159" s="128" t="s">
        <v>2472</v>
      </c>
      <c r="E1159" s="147" t="s">
        <v>38</v>
      </c>
      <c r="F1159" s="129" t="s">
        <v>1369</v>
      </c>
      <c r="G1159" s="147" t="s">
        <v>1731</v>
      </c>
      <c r="H1159" s="189">
        <f t="shared" si="19"/>
        <v>0.51839999999999997</v>
      </c>
      <c r="I1159" s="226" t="s">
        <v>2230</v>
      </c>
      <c r="J1159" s="146">
        <v>30</v>
      </c>
      <c r="K1159" s="147">
        <v>3</v>
      </c>
      <c r="L1159" s="147">
        <v>1</v>
      </c>
      <c r="M1159" s="147">
        <v>4</v>
      </c>
      <c r="N1159" s="275">
        <v>10000</v>
      </c>
      <c r="O1159" s="193">
        <v>0.46</v>
      </c>
      <c r="P1159" s="179">
        <v>45161</v>
      </c>
      <c r="Q1159" s="173">
        <v>0.48</v>
      </c>
      <c r="R1159" s="271">
        <v>3.8399999999999997E-2</v>
      </c>
      <c r="S1159" s="167"/>
      <c r="T1159" s="129" t="s">
        <v>2441</v>
      </c>
      <c r="U1159" s="147" t="s">
        <v>37</v>
      </c>
      <c r="V1159" s="129"/>
      <c r="W1159" s="147" t="s">
        <v>2208</v>
      </c>
      <c r="X1159" s="205" t="s">
        <v>1904</v>
      </c>
      <c r="Y1159" s="251"/>
      <c r="Z1159" s="290"/>
      <c r="AA1159" s="286"/>
    </row>
    <row r="1160" spans="1:27 16382:16382" s="181" customFormat="1" ht="24" hidden="1" x14ac:dyDescent="0.25">
      <c r="A1160" s="155">
        <v>1</v>
      </c>
      <c r="B1160" s="129">
        <v>1504020</v>
      </c>
      <c r="C1160" s="127" t="s">
        <v>2020</v>
      </c>
      <c r="D1160" s="128" t="s">
        <v>1627</v>
      </c>
      <c r="E1160" s="147" t="s">
        <v>38</v>
      </c>
      <c r="F1160" s="129" t="s">
        <v>1625</v>
      </c>
      <c r="G1160" s="147" t="s">
        <v>1731</v>
      </c>
      <c r="H1160" s="189">
        <f t="shared" si="19"/>
        <v>0</v>
      </c>
      <c r="I1160" s="180" t="s">
        <v>2213</v>
      </c>
      <c r="J1160" s="150"/>
      <c r="K1160" s="147">
        <v>11</v>
      </c>
      <c r="L1160" s="147">
        <v>1</v>
      </c>
      <c r="M1160" s="147">
        <v>12</v>
      </c>
      <c r="N1160" s="275"/>
      <c r="O1160" s="194"/>
      <c r="P1160" s="179"/>
      <c r="Q1160" s="173"/>
      <c r="R1160" s="271"/>
      <c r="S1160" s="167"/>
      <c r="T1160" s="129" t="s">
        <v>1625</v>
      </c>
      <c r="U1160" s="147" t="s">
        <v>37</v>
      </c>
      <c r="V1160" s="129"/>
      <c r="W1160" s="162" t="s">
        <v>2519</v>
      </c>
      <c r="X1160" s="205"/>
      <c r="Y1160" s="251"/>
      <c r="Z1160" s="155"/>
      <c r="AA1160" s="230"/>
    </row>
    <row r="1161" spans="1:27 16382:16382" s="181" customFormat="1" ht="24" x14ac:dyDescent="0.25">
      <c r="A1161" s="155">
        <v>1</v>
      </c>
      <c r="B1161" s="129">
        <v>1504021</v>
      </c>
      <c r="C1161" s="127" t="s">
        <v>2020</v>
      </c>
      <c r="D1161" s="128" t="s">
        <v>1891</v>
      </c>
      <c r="E1161" s="147" t="s">
        <v>38</v>
      </c>
      <c r="F1161" s="129" t="s">
        <v>2018</v>
      </c>
      <c r="G1161" s="147" t="s">
        <v>1731</v>
      </c>
      <c r="H1161" s="189">
        <f t="shared" si="19"/>
        <v>0.36109999999999998</v>
      </c>
      <c r="I1161" s="210" t="s">
        <v>2223</v>
      </c>
      <c r="J1161" s="146">
        <v>30</v>
      </c>
      <c r="K1161" s="147">
        <v>6</v>
      </c>
      <c r="L1161" s="147">
        <v>1</v>
      </c>
      <c r="M1161" s="147">
        <v>7</v>
      </c>
      <c r="N1161" s="275">
        <v>5000</v>
      </c>
      <c r="O1161" s="193">
        <v>0.1</v>
      </c>
      <c r="P1161" s="179">
        <v>45639</v>
      </c>
      <c r="Q1161" s="173">
        <v>0.36109999999999998</v>
      </c>
      <c r="R1161" s="271">
        <v>0</v>
      </c>
      <c r="S1161" s="167"/>
      <c r="T1161" s="129" t="s">
        <v>1846</v>
      </c>
      <c r="U1161" s="147" t="s">
        <v>35</v>
      </c>
      <c r="V1161" s="129"/>
      <c r="W1161" s="147" t="s">
        <v>2208</v>
      </c>
      <c r="X1161" s="205" t="s">
        <v>1936</v>
      </c>
      <c r="Y1161" s="251"/>
      <c r="Z1161" s="290"/>
      <c r="AA1161" s="286"/>
    </row>
    <row r="1162" spans="1:27 16382:16382" s="181" customFormat="1" ht="24" hidden="1" x14ac:dyDescent="0.25">
      <c r="A1162" s="155"/>
      <c r="B1162" s="129">
        <v>1504022</v>
      </c>
      <c r="C1162" s="127" t="s">
        <v>2020</v>
      </c>
      <c r="D1162" s="128" t="s">
        <v>1895</v>
      </c>
      <c r="E1162" s="147" t="s">
        <v>38</v>
      </c>
      <c r="F1162" s="129" t="s">
        <v>1369</v>
      </c>
      <c r="G1162" s="147" t="s">
        <v>1731</v>
      </c>
      <c r="H1162" s="189">
        <f t="shared" si="19"/>
        <v>0</v>
      </c>
      <c r="I1162" s="226" t="s">
        <v>2230</v>
      </c>
      <c r="J1162" s="146">
        <v>30</v>
      </c>
      <c r="K1162" s="147">
        <v>2</v>
      </c>
      <c r="L1162" s="147">
        <v>0</v>
      </c>
      <c r="M1162" s="147">
        <v>2</v>
      </c>
      <c r="N1162" s="275">
        <v>5000</v>
      </c>
      <c r="O1162" s="194"/>
      <c r="P1162" s="179"/>
      <c r="Q1162" s="173"/>
      <c r="R1162" s="271">
        <v>0</v>
      </c>
      <c r="S1162" s="167"/>
      <c r="T1162" s="129" t="s">
        <v>1846</v>
      </c>
      <c r="U1162" s="147" t="s">
        <v>35</v>
      </c>
      <c r="V1162" s="129"/>
      <c r="W1162" s="162" t="s">
        <v>54</v>
      </c>
      <c r="X1162" s="205"/>
      <c r="Y1162" s="251"/>
      <c r="Z1162" s="290"/>
      <c r="AA1162" s="286"/>
    </row>
    <row r="1163" spans="1:27 16382:16382" s="181" customFormat="1" hidden="1" x14ac:dyDescent="0.25">
      <c r="A1163" s="155">
        <v>1</v>
      </c>
      <c r="B1163" s="129">
        <v>1505001</v>
      </c>
      <c r="C1163" s="127" t="s">
        <v>2020</v>
      </c>
      <c r="D1163" s="128" t="s">
        <v>1381</v>
      </c>
      <c r="E1163" s="147" t="s">
        <v>38</v>
      </c>
      <c r="F1163" s="129" t="s">
        <v>966</v>
      </c>
      <c r="G1163" s="147" t="s">
        <v>1731</v>
      </c>
      <c r="H1163" s="189">
        <f t="shared" si="19"/>
        <v>0</v>
      </c>
      <c r="I1163" s="213"/>
      <c r="J1163" s="149"/>
      <c r="K1163" s="147">
        <v>11</v>
      </c>
      <c r="L1163" s="147">
        <v>1</v>
      </c>
      <c r="M1163" s="147">
        <v>12</v>
      </c>
      <c r="N1163" s="275"/>
      <c r="O1163" s="194"/>
      <c r="P1163" s="179"/>
      <c r="Q1163" s="173"/>
      <c r="R1163" s="260">
        <v>0</v>
      </c>
      <c r="S1163" s="167"/>
      <c r="T1163" s="129" t="s">
        <v>2205</v>
      </c>
      <c r="U1163" s="147" t="s">
        <v>37</v>
      </c>
      <c r="V1163" s="129"/>
      <c r="W1163" s="162" t="s">
        <v>2519</v>
      </c>
      <c r="X1163" s="205"/>
      <c r="Y1163" s="251"/>
      <c r="Z1163" s="155"/>
      <c r="AA1163" s="230"/>
    </row>
    <row r="1164" spans="1:27 16382:16382" s="181" customFormat="1" hidden="1" x14ac:dyDescent="0.25">
      <c r="A1164" s="155">
        <v>1</v>
      </c>
      <c r="B1164" s="129">
        <v>1505002</v>
      </c>
      <c r="C1164" s="127" t="s">
        <v>956</v>
      </c>
      <c r="D1164" s="128" t="s">
        <v>1382</v>
      </c>
      <c r="E1164" s="147" t="s">
        <v>38</v>
      </c>
      <c r="F1164" s="129" t="s">
        <v>966</v>
      </c>
      <c r="G1164" s="147" t="s">
        <v>1731</v>
      </c>
      <c r="H1164" s="189">
        <f t="shared" si="19"/>
        <v>0</v>
      </c>
      <c r="I1164" s="213"/>
      <c r="J1164" s="149"/>
      <c r="K1164" s="147">
        <v>11</v>
      </c>
      <c r="L1164" s="147">
        <v>1</v>
      </c>
      <c r="M1164" s="147">
        <v>12</v>
      </c>
      <c r="N1164" s="275"/>
      <c r="O1164" s="194"/>
      <c r="P1164" s="179"/>
      <c r="Q1164" s="173"/>
      <c r="R1164" s="260">
        <v>0</v>
      </c>
      <c r="S1164" s="167"/>
      <c r="T1164" s="129" t="s">
        <v>2205</v>
      </c>
      <c r="U1164" s="147" t="s">
        <v>37</v>
      </c>
      <c r="V1164" s="129"/>
      <c r="W1164" s="162" t="s">
        <v>2519</v>
      </c>
      <c r="X1164" s="205"/>
      <c r="Y1164" s="251"/>
      <c r="Z1164" s="155"/>
      <c r="AA1164" s="230"/>
    </row>
    <row r="1165" spans="1:27 16382:16382" s="181" customFormat="1" ht="36" hidden="1" x14ac:dyDescent="0.25">
      <c r="A1165" s="155">
        <v>1</v>
      </c>
      <c r="B1165" s="129">
        <v>1505003</v>
      </c>
      <c r="C1165" s="128" t="s">
        <v>956</v>
      </c>
      <c r="D1165" s="128" t="s">
        <v>1383</v>
      </c>
      <c r="E1165" s="147" t="s">
        <v>38</v>
      </c>
      <c r="F1165" s="138" t="s">
        <v>57</v>
      </c>
      <c r="G1165" s="147" t="s">
        <v>1731</v>
      </c>
      <c r="H1165" s="189">
        <f t="shared" si="19"/>
        <v>0</v>
      </c>
      <c r="I1165" s="213"/>
      <c r="J1165" s="149"/>
      <c r="K1165" s="147">
        <v>12</v>
      </c>
      <c r="L1165" s="147">
        <v>1</v>
      </c>
      <c r="M1165" s="147">
        <v>13</v>
      </c>
      <c r="N1165" s="275"/>
      <c r="O1165" s="194"/>
      <c r="P1165" s="179"/>
      <c r="Q1165" s="173"/>
      <c r="R1165" s="260">
        <v>0</v>
      </c>
      <c r="S1165" s="167"/>
      <c r="T1165" s="138" t="s">
        <v>57</v>
      </c>
      <c r="U1165" s="147" t="s">
        <v>37</v>
      </c>
      <c r="V1165" s="129"/>
      <c r="W1165" s="162" t="s">
        <v>54</v>
      </c>
      <c r="X1165" s="205"/>
      <c r="Y1165" s="251"/>
      <c r="Z1165" s="155"/>
      <c r="AA1165" s="230"/>
    </row>
    <row r="1166" spans="1:27 16382:16382" s="181" customFormat="1" ht="36" hidden="1" x14ac:dyDescent="0.25">
      <c r="A1166" s="155">
        <v>1</v>
      </c>
      <c r="B1166" s="129">
        <v>1505004</v>
      </c>
      <c r="C1166" s="128" t="s">
        <v>956</v>
      </c>
      <c r="D1166" s="128" t="s">
        <v>1384</v>
      </c>
      <c r="E1166" s="147" t="s">
        <v>38</v>
      </c>
      <c r="F1166" s="138" t="s">
        <v>57</v>
      </c>
      <c r="G1166" s="147" t="s">
        <v>1731</v>
      </c>
      <c r="H1166" s="189">
        <f t="shared" si="19"/>
        <v>0</v>
      </c>
      <c r="I1166" s="213"/>
      <c r="J1166" s="149"/>
      <c r="K1166" s="147">
        <v>12</v>
      </c>
      <c r="L1166" s="147">
        <v>1</v>
      </c>
      <c r="M1166" s="147">
        <v>13</v>
      </c>
      <c r="N1166" s="275"/>
      <c r="O1166" s="194"/>
      <c r="P1166" s="179"/>
      <c r="Q1166" s="173"/>
      <c r="R1166" s="260">
        <v>0</v>
      </c>
      <c r="S1166" s="167"/>
      <c r="T1166" s="138" t="s">
        <v>57</v>
      </c>
      <c r="U1166" s="147" t="s">
        <v>37</v>
      </c>
      <c r="V1166" s="129"/>
      <c r="W1166" s="162" t="s">
        <v>54</v>
      </c>
      <c r="X1166" s="205"/>
      <c r="Y1166" s="251"/>
      <c r="Z1166" s="155"/>
      <c r="AA1166" s="230"/>
    </row>
    <row r="1167" spans="1:27 16382:16382" s="181" customFormat="1" hidden="1" x14ac:dyDescent="0.25">
      <c r="A1167" s="155">
        <v>1</v>
      </c>
      <c r="B1167" s="129">
        <v>1505005</v>
      </c>
      <c r="C1167" s="128" t="s">
        <v>940</v>
      </c>
      <c r="D1167" s="128" t="s">
        <v>1385</v>
      </c>
      <c r="E1167" s="147" t="s">
        <v>38</v>
      </c>
      <c r="F1167" s="129" t="s">
        <v>1386</v>
      </c>
      <c r="G1167" s="147" t="s">
        <v>1731</v>
      </c>
      <c r="H1167" s="189">
        <f t="shared" si="19"/>
        <v>0.25128300000000003</v>
      </c>
      <c r="I1167" s="134"/>
      <c r="J1167" s="150"/>
      <c r="K1167" s="147"/>
      <c r="L1167" s="147"/>
      <c r="M1167" s="147">
        <v>4</v>
      </c>
      <c r="N1167" s="275">
        <v>10000</v>
      </c>
      <c r="O1167" s="194"/>
      <c r="P1167" s="179"/>
      <c r="Q1167" s="173">
        <v>0.23</v>
      </c>
      <c r="R1167" s="271">
        <v>2.1283E-2</v>
      </c>
      <c r="S1167" s="164" t="s">
        <v>35</v>
      </c>
      <c r="T1167" s="129" t="s">
        <v>234</v>
      </c>
      <c r="U1167" s="147" t="s">
        <v>37</v>
      </c>
      <c r="V1167" s="129"/>
      <c r="W1167" s="162" t="s">
        <v>54</v>
      </c>
      <c r="X1167" s="205"/>
      <c r="Y1167" s="251"/>
      <c r="Z1167" s="155"/>
      <c r="AA1167" s="230"/>
      <c r="XFB1167" s="155"/>
    </row>
    <row r="1168" spans="1:27 16382:16382" s="181" customFormat="1" hidden="1" x14ac:dyDescent="0.25">
      <c r="A1168" s="155">
        <v>1</v>
      </c>
      <c r="B1168" s="129">
        <v>1505006</v>
      </c>
      <c r="C1168" s="128" t="s">
        <v>940</v>
      </c>
      <c r="D1168" s="128" t="s">
        <v>1390</v>
      </c>
      <c r="E1168" s="147" t="s">
        <v>38</v>
      </c>
      <c r="F1168" s="138" t="s">
        <v>57</v>
      </c>
      <c r="G1168" s="147" t="s">
        <v>1731</v>
      </c>
      <c r="H1168" s="189">
        <f t="shared" si="19"/>
        <v>0</v>
      </c>
      <c r="I1168" s="213"/>
      <c r="J1168" s="149"/>
      <c r="K1168" s="147">
        <v>12</v>
      </c>
      <c r="L1168" s="147">
        <v>1</v>
      </c>
      <c r="M1168" s="147">
        <v>13</v>
      </c>
      <c r="N1168" s="275"/>
      <c r="O1168" s="194"/>
      <c r="P1168" s="179"/>
      <c r="Q1168" s="173"/>
      <c r="R1168" s="260">
        <v>0</v>
      </c>
      <c r="S1168" s="167"/>
      <c r="T1168" s="138" t="s">
        <v>57</v>
      </c>
      <c r="U1168" s="147" t="s">
        <v>37</v>
      </c>
      <c r="V1168" s="129"/>
      <c r="W1168" s="162" t="s">
        <v>54</v>
      </c>
      <c r="X1168" s="205"/>
      <c r="Y1168" s="251"/>
      <c r="Z1168" s="155"/>
      <c r="AA1168" s="230"/>
      <c r="XFB1168" s="155"/>
    </row>
    <row r="1169" spans="1:27 16382:16382" s="181" customFormat="1" hidden="1" x14ac:dyDescent="0.25">
      <c r="A1169" s="155">
        <v>1</v>
      </c>
      <c r="B1169" s="129">
        <v>1505007</v>
      </c>
      <c r="C1169" s="128" t="s">
        <v>940</v>
      </c>
      <c r="D1169" s="128" t="s">
        <v>1391</v>
      </c>
      <c r="E1169" s="147" t="s">
        <v>38</v>
      </c>
      <c r="F1169" s="138" t="s">
        <v>57</v>
      </c>
      <c r="G1169" s="147" t="s">
        <v>1731</v>
      </c>
      <c r="H1169" s="189">
        <f t="shared" si="19"/>
        <v>0</v>
      </c>
      <c r="I1169" s="213"/>
      <c r="J1169" s="149"/>
      <c r="K1169" s="147">
        <v>12</v>
      </c>
      <c r="L1169" s="147">
        <v>1</v>
      </c>
      <c r="M1169" s="147">
        <v>13</v>
      </c>
      <c r="N1169" s="275"/>
      <c r="O1169" s="194"/>
      <c r="P1169" s="179"/>
      <c r="Q1169" s="173"/>
      <c r="R1169" s="260">
        <v>0</v>
      </c>
      <c r="S1169" s="167"/>
      <c r="T1169" s="138" t="s">
        <v>57</v>
      </c>
      <c r="U1169" s="147" t="s">
        <v>37</v>
      </c>
      <c r="V1169" s="129"/>
      <c r="W1169" s="162" t="s">
        <v>54</v>
      </c>
      <c r="X1169" s="205"/>
      <c r="Y1169" s="251"/>
      <c r="Z1169" s="155"/>
      <c r="AA1169" s="230"/>
      <c r="XFB1169" s="155"/>
    </row>
    <row r="1170" spans="1:27 16382:16382" s="181" customFormat="1" hidden="1" x14ac:dyDescent="0.25">
      <c r="A1170" s="155">
        <v>1</v>
      </c>
      <c r="B1170" s="129">
        <v>1505008</v>
      </c>
      <c r="C1170" s="128" t="s">
        <v>940</v>
      </c>
      <c r="D1170" s="128" t="s">
        <v>1392</v>
      </c>
      <c r="E1170" s="147" t="s">
        <v>38</v>
      </c>
      <c r="F1170" s="138" t="s">
        <v>57</v>
      </c>
      <c r="G1170" s="147" t="s">
        <v>1731</v>
      </c>
      <c r="H1170" s="189">
        <f t="shared" si="19"/>
        <v>0</v>
      </c>
      <c r="I1170" s="213"/>
      <c r="J1170" s="149"/>
      <c r="K1170" s="147">
        <v>12</v>
      </c>
      <c r="L1170" s="147">
        <v>1</v>
      </c>
      <c r="M1170" s="147">
        <v>13</v>
      </c>
      <c r="N1170" s="275"/>
      <c r="O1170" s="194"/>
      <c r="P1170" s="179"/>
      <c r="Q1170" s="173"/>
      <c r="R1170" s="260">
        <v>0</v>
      </c>
      <c r="S1170" s="167"/>
      <c r="T1170" s="138" t="s">
        <v>57</v>
      </c>
      <c r="U1170" s="147" t="s">
        <v>37</v>
      </c>
      <c r="V1170" s="129"/>
      <c r="W1170" s="162" t="s">
        <v>54</v>
      </c>
      <c r="X1170" s="205"/>
      <c r="Y1170" s="251"/>
      <c r="Z1170" s="155"/>
      <c r="AA1170" s="230"/>
      <c r="XFB1170" s="155"/>
    </row>
    <row r="1171" spans="1:27 16382:16382" s="181" customFormat="1" hidden="1" x14ac:dyDescent="0.25">
      <c r="A1171" s="155">
        <v>1</v>
      </c>
      <c r="B1171" s="129">
        <v>1505009</v>
      </c>
      <c r="C1171" s="128" t="s">
        <v>940</v>
      </c>
      <c r="D1171" s="128" t="s">
        <v>1393</v>
      </c>
      <c r="E1171" s="147" t="s">
        <v>38</v>
      </c>
      <c r="F1171" s="138" t="s">
        <v>57</v>
      </c>
      <c r="G1171" s="147" t="s">
        <v>1731</v>
      </c>
      <c r="H1171" s="189">
        <f t="shared" si="19"/>
        <v>0</v>
      </c>
      <c r="I1171" s="213"/>
      <c r="J1171" s="149"/>
      <c r="K1171" s="147">
        <v>12</v>
      </c>
      <c r="L1171" s="147">
        <v>1</v>
      </c>
      <c r="M1171" s="147">
        <v>13</v>
      </c>
      <c r="N1171" s="275"/>
      <c r="O1171" s="194"/>
      <c r="P1171" s="179"/>
      <c r="Q1171" s="173"/>
      <c r="R1171" s="260">
        <v>0</v>
      </c>
      <c r="S1171" s="167"/>
      <c r="T1171" s="138" t="s">
        <v>57</v>
      </c>
      <c r="U1171" s="147" t="s">
        <v>37</v>
      </c>
      <c r="V1171" s="129"/>
      <c r="W1171" s="162" t="s">
        <v>54</v>
      </c>
      <c r="X1171" s="205"/>
      <c r="Y1171" s="251"/>
      <c r="Z1171" s="155"/>
      <c r="AA1171" s="230"/>
      <c r="XFB1171" s="155"/>
    </row>
    <row r="1172" spans="1:27 16382:16382" s="181" customFormat="1" hidden="1" x14ac:dyDescent="0.25">
      <c r="A1172" s="155">
        <v>1</v>
      </c>
      <c r="B1172" s="129">
        <v>1505010</v>
      </c>
      <c r="C1172" s="128" t="s">
        <v>940</v>
      </c>
      <c r="D1172" s="128" t="s">
        <v>1394</v>
      </c>
      <c r="E1172" s="147" t="s">
        <v>38</v>
      </c>
      <c r="F1172" s="138" t="s">
        <v>57</v>
      </c>
      <c r="G1172" s="147" t="s">
        <v>1731</v>
      </c>
      <c r="H1172" s="189">
        <f t="shared" si="19"/>
        <v>0</v>
      </c>
      <c r="I1172" s="213"/>
      <c r="J1172" s="149"/>
      <c r="K1172" s="147">
        <v>12</v>
      </c>
      <c r="L1172" s="147">
        <v>1</v>
      </c>
      <c r="M1172" s="147">
        <v>13</v>
      </c>
      <c r="N1172" s="275"/>
      <c r="O1172" s="194"/>
      <c r="P1172" s="179"/>
      <c r="Q1172" s="173"/>
      <c r="R1172" s="260">
        <v>0</v>
      </c>
      <c r="S1172" s="167"/>
      <c r="T1172" s="138" t="s">
        <v>57</v>
      </c>
      <c r="U1172" s="147" t="s">
        <v>37</v>
      </c>
      <c r="V1172" s="129"/>
      <c r="W1172" s="162" t="s">
        <v>54</v>
      </c>
      <c r="X1172" s="205"/>
      <c r="Y1172" s="251"/>
      <c r="Z1172" s="155"/>
      <c r="AA1172" s="230"/>
      <c r="XFB1172" s="155"/>
    </row>
    <row r="1173" spans="1:27 16382:16382" s="181" customFormat="1" hidden="1" x14ac:dyDescent="0.25">
      <c r="A1173" s="155">
        <v>1</v>
      </c>
      <c r="B1173" s="129">
        <v>1505011</v>
      </c>
      <c r="C1173" s="128" t="s">
        <v>940</v>
      </c>
      <c r="D1173" s="128" t="s">
        <v>1395</v>
      </c>
      <c r="E1173" s="147" t="s">
        <v>38</v>
      </c>
      <c r="F1173" s="129" t="s">
        <v>1396</v>
      </c>
      <c r="G1173" s="147" t="s">
        <v>1731</v>
      </c>
      <c r="H1173" s="189">
        <f t="shared" si="19"/>
        <v>0</v>
      </c>
      <c r="I1173" s="213"/>
      <c r="J1173" s="149"/>
      <c r="K1173" s="147"/>
      <c r="L1173" s="147"/>
      <c r="M1173" s="147">
        <v>3</v>
      </c>
      <c r="N1173" s="275"/>
      <c r="O1173" s="194"/>
      <c r="P1173" s="179"/>
      <c r="Q1173" s="173"/>
      <c r="R1173" s="260">
        <v>0</v>
      </c>
      <c r="S1173" s="167"/>
      <c r="T1173" s="129" t="s">
        <v>517</v>
      </c>
      <c r="U1173" s="147" t="s">
        <v>35</v>
      </c>
      <c r="V1173" s="129"/>
      <c r="W1173" s="162" t="s">
        <v>54</v>
      </c>
      <c r="X1173" s="205"/>
      <c r="Y1173" s="251"/>
      <c r="Z1173" s="155"/>
      <c r="AA1173" s="230"/>
      <c r="XFB1173" s="155"/>
    </row>
    <row r="1174" spans="1:27 16382:16382" s="181" customFormat="1" hidden="1" x14ac:dyDescent="0.25">
      <c r="A1174" s="155">
        <v>1</v>
      </c>
      <c r="B1174" s="129">
        <v>1505012</v>
      </c>
      <c r="C1174" s="128" t="s">
        <v>940</v>
      </c>
      <c r="D1174" s="128" t="s">
        <v>1401</v>
      </c>
      <c r="E1174" s="147" t="s">
        <v>38</v>
      </c>
      <c r="F1174" s="129" t="s">
        <v>1396</v>
      </c>
      <c r="G1174" s="147" t="s">
        <v>1731</v>
      </c>
      <c r="H1174" s="189">
        <f t="shared" si="19"/>
        <v>0</v>
      </c>
      <c r="I1174" s="213"/>
      <c r="J1174" s="149"/>
      <c r="K1174" s="147"/>
      <c r="L1174" s="147"/>
      <c r="M1174" s="147">
        <v>2</v>
      </c>
      <c r="N1174" s="275">
        <v>400000</v>
      </c>
      <c r="O1174" s="194"/>
      <c r="P1174" s="179"/>
      <c r="Q1174" s="173"/>
      <c r="R1174" s="260">
        <v>0</v>
      </c>
      <c r="S1174" s="164"/>
      <c r="T1174" s="129" t="s">
        <v>517</v>
      </c>
      <c r="U1174" s="147" t="s">
        <v>35</v>
      </c>
      <c r="V1174" s="129"/>
      <c r="W1174" s="162" t="s">
        <v>54</v>
      </c>
      <c r="X1174" s="205"/>
      <c r="Y1174" s="251"/>
      <c r="Z1174" s="155"/>
      <c r="AA1174" s="230"/>
      <c r="XFB1174" s="155"/>
    </row>
    <row r="1175" spans="1:27 16382:16382" s="181" customFormat="1" hidden="1" x14ac:dyDescent="0.25">
      <c r="A1175" s="155">
        <v>1</v>
      </c>
      <c r="B1175" s="129">
        <v>1506001</v>
      </c>
      <c r="C1175" s="127" t="s">
        <v>2020</v>
      </c>
      <c r="D1175" s="128" t="s">
        <v>1406</v>
      </c>
      <c r="E1175" s="147" t="s">
        <v>38</v>
      </c>
      <c r="F1175" s="129" t="s">
        <v>1231</v>
      </c>
      <c r="G1175" s="147" t="s">
        <v>1731</v>
      </c>
      <c r="H1175" s="189">
        <f t="shared" si="19"/>
        <v>9.1999999999999998E-2</v>
      </c>
      <c r="I1175" s="134" t="s">
        <v>2086</v>
      </c>
      <c r="J1175" s="146">
        <v>30</v>
      </c>
      <c r="K1175" s="147">
        <v>1</v>
      </c>
      <c r="L1175" s="147">
        <v>1</v>
      </c>
      <c r="M1175" s="147">
        <v>2</v>
      </c>
      <c r="N1175" s="275">
        <v>201</v>
      </c>
      <c r="O1175" s="194"/>
      <c r="P1175" s="179"/>
      <c r="Q1175" s="173">
        <v>9.1999999999999998E-2</v>
      </c>
      <c r="R1175" s="271">
        <v>0</v>
      </c>
      <c r="S1175" s="167"/>
      <c r="T1175" s="129" t="s">
        <v>263</v>
      </c>
      <c r="U1175" s="147" t="s">
        <v>37</v>
      </c>
      <c r="V1175" s="129"/>
      <c r="W1175" s="147" t="s">
        <v>2209</v>
      </c>
      <c r="X1175" s="205"/>
      <c r="Y1175" s="251"/>
      <c r="Z1175" s="155"/>
      <c r="AA1175" s="230"/>
      <c r="XFB1175" s="155"/>
    </row>
    <row r="1176" spans="1:27 16382:16382" s="181" customFormat="1" hidden="1" x14ac:dyDescent="0.25">
      <c r="A1176" s="155">
        <v>1</v>
      </c>
      <c r="B1176" s="129">
        <v>1506002</v>
      </c>
      <c r="C1176" s="127" t="s">
        <v>2020</v>
      </c>
      <c r="D1176" s="128" t="s">
        <v>1407</v>
      </c>
      <c r="E1176" s="147" t="s">
        <v>38</v>
      </c>
      <c r="F1176" s="129" t="s">
        <v>1231</v>
      </c>
      <c r="G1176" s="147" t="s">
        <v>1731</v>
      </c>
      <c r="H1176" s="189">
        <f t="shared" si="19"/>
        <v>6.2E-2</v>
      </c>
      <c r="I1176" s="134" t="s">
        <v>2086</v>
      </c>
      <c r="J1176" s="146">
        <v>30</v>
      </c>
      <c r="K1176" s="147">
        <v>1</v>
      </c>
      <c r="L1176" s="147">
        <v>1</v>
      </c>
      <c r="M1176" s="147">
        <v>2</v>
      </c>
      <c r="N1176" s="275">
        <v>403</v>
      </c>
      <c r="O1176" s="194"/>
      <c r="P1176" s="179"/>
      <c r="Q1176" s="173">
        <v>6.2E-2</v>
      </c>
      <c r="R1176" s="271">
        <v>0</v>
      </c>
      <c r="S1176" s="167"/>
      <c r="T1176" s="129" t="s">
        <v>263</v>
      </c>
      <c r="U1176" s="147" t="s">
        <v>37</v>
      </c>
      <c r="V1176" s="129"/>
      <c r="W1176" s="147" t="s">
        <v>2209</v>
      </c>
      <c r="X1176" s="205"/>
      <c r="Y1176" s="251"/>
      <c r="Z1176" s="155"/>
      <c r="AA1176" s="230"/>
      <c r="XFB1176" s="155"/>
    </row>
    <row r="1177" spans="1:27 16382:16382" s="181" customFormat="1" hidden="1" x14ac:dyDescent="0.25">
      <c r="A1177" s="155">
        <v>1</v>
      </c>
      <c r="B1177" s="129">
        <v>1506003</v>
      </c>
      <c r="C1177" s="127" t="s">
        <v>2020</v>
      </c>
      <c r="D1177" s="128" t="s">
        <v>1408</v>
      </c>
      <c r="E1177" s="147" t="s">
        <v>38</v>
      </c>
      <c r="F1177" s="129" t="s">
        <v>1275</v>
      </c>
      <c r="G1177" s="147" t="s">
        <v>1731</v>
      </c>
      <c r="H1177" s="189">
        <f t="shared" si="19"/>
        <v>0.01</v>
      </c>
      <c r="I1177" s="134"/>
      <c r="J1177" s="146">
        <v>60</v>
      </c>
      <c r="K1177" s="147">
        <v>2</v>
      </c>
      <c r="L1177" s="147">
        <v>1</v>
      </c>
      <c r="M1177" s="147">
        <v>3</v>
      </c>
      <c r="N1177" s="275"/>
      <c r="O1177" s="194"/>
      <c r="P1177" s="179"/>
      <c r="Q1177" s="173">
        <v>0.01</v>
      </c>
      <c r="R1177" s="271">
        <v>0</v>
      </c>
      <c r="S1177" s="164"/>
      <c r="T1177" s="129" t="s">
        <v>36</v>
      </c>
      <c r="U1177" s="147" t="s">
        <v>37</v>
      </c>
      <c r="V1177" s="129"/>
      <c r="W1177" s="216" t="s">
        <v>54</v>
      </c>
      <c r="X1177" s="205"/>
      <c r="Y1177" s="251"/>
      <c r="Z1177" s="155"/>
      <c r="AA1177" s="230"/>
      <c r="XFB1177" s="155"/>
    </row>
    <row r="1178" spans="1:27 16382:16382" s="181" customFormat="1" x14ac:dyDescent="0.25">
      <c r="A1178" s="155">
        <v>1</v>
      </c>
      <c r="B1178" s="129">
        <v>1506004</v>
      </c>
      <c r="C1178" s="127" t="s">
        <v>934</v>
      </c>
      <c r="D1178" s="128" t="s">
        <v>1409</v>
      </c>
      <c r="E1178" s="147" t="s">
        <v>38</v>
      </c>
      <c r="F1178" s="129" t="s">
        <v>36</v>
      </c>
      <c r="G1178" s="147" t="s">
        <v>1731</v>
      </c>
      <c r="H1178" s="189">
        <f t="shared" si="19"/>
        <v>0.38500000000000001</v>
      </c>
      <c r="I1178" s="180" t="s">
        <v>2213</v>
      </c>
      <c r="J1178" s="150"/>
      <c r="K1178" s="147">
        <v>1</v>
      </c>
      <c r="L1178" s="147">
        <v>1</v>
      </c>
      <c r="M1178" s="147">
        <v>2</v>
      </c>
      <c r="N1178" s="275"/>
      <c r="O1178" s="193"/>
      <c r="P1178" s="179"/>
      <c r="Q1178" s="173">
        <v>0.38500000000000001</v>
      </c>
      <c r="R1178" s="260">
        <v>0</v>
      </c>
      <c r="S1178" s="164"/>
      <c r="T1178" s="129" t="s">
        <v>36</v>
      </c>
      <c r="U1178" s="147" t="s">
        <v>37</v>
      </c>
      <c r="V1178" s="129"/>
      <c r="W1178" s="147" t="s">
        <v>2450</v>
      </c>
      <c r="X1178" s="205" t="s">
        <v>1904</v>
      </c>
      <c r="Y1178" s="251"/>
      <c r="Z1178" s="290"/>
      <c r="AA1178" s="286"/>
      <c r="XFB1178" s="155"/>
    </row>
    <row r="1179" spans="1:27 16382:16382" hidden="1" x14ac:dyDescent="0.25">
      <c r="A1179" s="155">
        <v>1</v>
      </c>
      <c r="B1179" s="129">
        <v>1506005</v>
      </c>
      <c r="C1179" s="127" t="s">
        <v>956</v>
      </c>
      <c r="D1179" s="128" t="s">
        <v>1410</v>
      </c>
      <c r="E1179" s="147" t="s">
        <v>38</v>
      </c>
      <c r="F1179" s="129" t="s">
        <v>36</v>
      </c>
      <c r="G1179" s="147" t="s">
        <v>1731</v>
      </c>
      <c r="H1179" s="189">
        <f t="shared" si="19"/>
        <v>0</v>
      </c>
      <c r="I1179" s="180" t="s">
        <v>2213</v>
      </c>
      <c r="J1179" s="150"/>
      <c r="K1179" s="147">
        <v>2</v>
      </c>
      <c r="L1179" s="147">
        <v>1</v>
      </c>
      <c r="M1179" s="147">
        <v>3</v>
      </c>
      <c r="N1179" s="275"/>
      <c r="O1179" s="194"/>
      <c r="P1179" s="179"/>
      <c r="Q1179" s="173"/>
      <c r="R1179" s="260">
        <v>0</v>
      </c>
      <c r="S1179" s="164"/>
      <c r="T1179" s="129" t="s">
        <v>36</v>
      </c>
      <c r="U1179" s="147" t="s">
        <v>37</v>
      </c>
      <c r="V1179" s="129"/>
      <c r="W1179" s="162" t="s">
        <v>2519</v>
      </c>
      <c r="X1179" s="205"/>
      <c r="Y1179" s="251"/>
      <c r="Z1179" s="290"/>
      <c r="AA1179" s="286"/>
      <c r="XFB1179" s="230"/>
    </row>
    <row r="1180" spans="1:27 16382:16382" ht="36" hidden="1" x14ac:dyDescent="0.25">
      <c r="A1180" s="155">
        <v>1</v>
      </c>
      <c r="B1180" s="129">
        <v>1506006</v>
      </c>
      <c r="C1180" s="127" t="s">
        <v>2020</v>
      </c>
      <c r="D1180" s="128" t="s">
        <v>1564</v>
      </c>
      <c r="E1180" s="147" t="s">
        <v>38</v>
      </c>
      <c r="F1180" s="129" t="s">
        <v>1563</v>
      </c>
      <c r="G1180" s="147" t="s">
        <v>1731</v>
      </c>
      <c r="H1180" s="189">
        <f t="shared" si="19"/>
        <v>7.4999999999999997E-2</v>
      </c>
      <c r="I1180" s="210"/>
      <c r="J1180" s="150"/>
      <c r="K1180" s="147"/>
      <c r="L1180" s="147"/>
      <c r="M1180" s="147">
        <v>10</v>
      </c>
      <c r="N1180" s="275">
        <v>12000</v>
      </c>
      <c r="O1180" s="194"/>
      <c r="P1180" s="179"/>
      <c r="Q1180" s="173">
        <v>7.4999999999999997E-2</v>
      </c>
      <c r="R1180" s="271">
        <v>0</v>
      </c>
      <c r="S1180" s="164"/>
      <c r="T1180" s="129" t="s">
        <v>284</v>
      </c>
      <c r="U1180" s="147" t="s">
        <v>37</v>
      </c>
      <c r="V1180" s="129"/>
      <c r="W1180" s="147" t="s">
        <v>2209</v>
      </c>
      <c r="X1180" s="205"/>
      <c r="Y1180" s="251"/>
      <c r="Z1180" s="155"/>
      <c r="AA1180" s="230"/>
      <c r="XFB1180" s="230"/>
    </row>
    <row r="1181" spans="1:27 16382:16382" s="181" customFormat="1" hidden="1" x14ac:dyDescent="0.25">
      <c r="A1181" s="155">
        <v>1</v>
      </c>
      <c r="B1181" s="129">
        <v>1506007</v>
      </c>
      <c r="C1181" s="127" t="s">
        <v>956</v>
      </c>
      <c r="D1181" s="128" t="s">
        <v>1617</v>
      </c>
      <c r="E1181" s="147" t="s">
        <v>38</v>
      </c>
      <c r="F1181" s="129" t="s">
        <v>36</v>
      </c>
      <c r="G1181" s="147" t="s">
        <v>1731</v>
      </c>
      <c r="H1181" s="189">
        <f t="shared" si="19"/>
        <v>0</v>
      </c>
      <c r="I1181" s="180" t="s">
        <v>2213</v>
      </c>
      <c r="J1181" s="160"/>
      <c r="K1181" s="147">
        <v>2</v>
      </c>
      <c r="L1181" s="147">
        <v>1</v>
      </c>
      <c r="M1181" s="147">
        <v>3</v>
      </c>
      <c r="N1181" s="275"/>
      <c r="O1181" s="194"/>
      <c r="P1181" s="179"/>
      <c r="Q1181" s="173"/>
      <c r="R1181" s="260">
        <v>0</v>
      </c>
      <c r="S1181" s="164"/>
      <c r="T1181" s="129" t="s">
        <v>36</v>
      </c>
      <c r="U1181" s="147" t="s">
        <v>37</v>
      </c>
      <c r="V1181" s="129"/>
      <c r="W1181" s="162" t="s">
        <v>2519</v>
      </c>
      <c r="X1181" s="205"/>
      <c r="Y1181" s="251"/>
      <c r="Z1181" s="290"/>
      <c r="AA1181" s="286"/>
      <c r="XFB1181" s="155"/>
    </row>
    <row r="1182" spans="1:27 16382:16382" s="181" customFormat="1" x14ac:dyDescent="0.25">
      <c r="A1182" s="155"/>
      <c r="B1182" s="136">
        <v>1506008</v>
      </c>
      <c r="C1182" s="127" t="s">
        <v>2020</v>
      </c>
      <c r="D1182" s="128" t="s">
        <v>1959</v>
      </c>
      <c r="E1182" s="282" t="s">
        <v>38</v>
      </c>
      <c r="F1182" s="129" t="s">
        <v>1961</v>
      </c>
      <c r="G1182" s="147" t="s">
        <v>1731</v>
      </c>
      <c r="H1182" s="189">
        <f t="shared" si="19"/>
        <v>517.4</v>
      </c>
      <c r="I1182" s="210" t="s">
        <v>2167</v>
      </c>
      <c r="J1182" s="146">
        <v>30</v>
      </c>
      <c r="K1182" s="147">
        <v>1</v>
      </c>
      <c r="L1182" s="147">
        <v>1</v>
      </c>
      <c r="M1182" s="147">
        <v>2</v>
      </c>
      <c r="N1182" s="275">
        <v>10</v>
      </c>
      <c r="O1182" s="193"/>
      <c r="P1182" s="179"/>
      <c r="Q1182" s="173">
        <v>517.4</v>
      </c>
      <c r="R1182" s="271">
        <v>0</v>
      </c>
      <c r="S1182" s="147"/>
      <c r="T1182" s="129" t="s">
        <v>242</v>
      </c>
      <c r="U1182" s="147" t="s">
        <v>35</v>
      </c>
      <c r="V1182" s="129"/>
      <c r="W1182" s="147" t="s">
        <v>2208</v>
      </c>
      <c r="X1182" s="205" t="s">
        <v>1904</v>
      </c>
      <c r="Y1182" s="251"/>
      <c r="Z1182" s="155"/>
      <c r="AA1182" s="230"/>
      <c r="XFB1182" s="155"/>
    </row>
    <row r="1183" spans="1:27 16382:16382" ht="24" hidden="1" x14ac:dyDescent="0.25">
      <c r="A1183" s="155">
        <v>1</v>
      </c>
      <c r="B1183" s="129">
        <v>1507001</v>
      </c>
      <c r="C1183" s="127" t="s">
        <v>2020</v>
      </c>
      <c r="D1183" s="128" t="s">
        <v>1412</v>
      </c>
      <c r="E1183" s="147" t="s">
        <v>38</v>
      </c>
      <c r="F1183" s="129" t="s">
        <v>1231</v>
      </c>
      <c r="G1183" s="147" t="s">
        <v>1731</v>
      </c>
      <c r="H1183" s="189">
        <f t="shared" si="19"/>
        <v>9.9</v>
      </c>
      <c r="I1183" s="134" t="s">
        <v>2086</v>
      </c>
      <c r="J1183" s="146">
        <v>30</v>
      </c>
      <c r="K1183" s="147">
        <v>1</v>
      </c>
      <c r="L1183" s="147">
        <v>1</v>
      </c>
      <c r="M1183" s="147">
        <v>2</v>
      </c>
      <c r="N1183" s="275"/>
      <c r="O1183" s="194"/>
      <c r="P1183" s="179"/>
      <c r="Q1183" s="173">
        <v>9.9</v>
      </c>
      <c r="R1183" s="271">
        <v>0</v>
      </c>
      <c r="S1183" s="167"/>
      <c r="T1183" s="129" t="s">
        <v>263</v>
      </c>
      <c r="U1183" s="147" t="s">
        <v>37</v>
      </c>
      <c r="V1183" s="129"/>
      <c r="W1183" s="147" t="s">
        <v>2209</v>
      </c>
      <c r="X1183" s="205"/>
      <c r="Y1183" s="251"/>
      <c r="Z1183" s="155"/>
      <c r="AA1183" s="230"/>
      <c r="XFB1183" s="230"/>
    </row>
    <row r="1184" spans="1:27 16382:16382" ht="24" hidden="1" x14ac:dyDescent="0.25">
      <c r="A1184" s="155">
        <v>1</v>
      </c>
      <c r="B1184" s="129">
        <v>1507002</v>
      </c>
      <c r="C1184" s="127" t="s">
        <v>2020</v>
      </c>
      <c r="D1184" s="128" t="s">
        <v>1413</v>
      </c>
      <c r="E1184" s="147" t="s">
        <v>38</v>
      </c>
      <c r="F1184" s="129" t="s">
        <v>1231</v>
      </c>
      <c r="G1184" s="147" t="s">
        <v>1731</v>
      </c>
      <c r="H1184" s="189">
        <f t="shared" si="19"/>
        <v>5.95</v>
      </c>
      <c r="I1184" s="134" t="s">
        <v>2086</v>
      </c>
      <c r="J1184" s="146">
        <v>30</v>
      </c>
      <c r="K1184" s="147">
        <v>1</v>
      </c>
      <c r="L1184" s="147">
        <v>1</v>
      </c>
      <c r="M1184" s="147">
        <v>2</v>
      </c>
      <c r="N1184" s="275"/>
      <c r="O1184" s="194"/>
      <c r="P1184" s="179"/>
      <c r="Q1184" s="173">
        <v>5.95</v>
      </c>
      <c r="R1184" s="271">
        <v>0</v>
      </c>
      <c r="S1184" s="167"/>
      <c r="T1184" s="129" t="s">
        <v>263</v>
      </c>
      <c r="U1184" s="147" t="s">
        <v>37</v>
      </c>
      <c r="V1184" s="129"/>
      <c r="W1184" s="147" t="s">
        <v>2209</v>
      </c>
      <c r="X1184" s="205"/>
      <c r="Y1184" s="251"/>
      <c r="Z1184" s="155"/>
      <c r="AA1184" s="230"/>
      <c r="XFB1184" s="230"/>
    </row>
    <row r="1185" spans="1:27 16381:16382" hidden="1" x14ac:dyDescent="0.25">
      <c r="A1185" s="155">
        <v>1</v>
      </c>
      <c r="B1185" s="129">
        <v>1508001</v>
      </c>
      <c r="C1185" s="127" t="s">
        <v>2020</v>
      </c>
      <c r="D1185" s="128" t="s">
        <v>1414</v>
      </c>
      <c r="E1185" s="147" t="s">
        <v>38</v>
      </c>
      <c r="F1185" s="138" t="s">
        <v>57</v>
      </c>
      <c r="G1185" s="147" t="s">
        <v>1731</v>
      </c>
      <c r="H1185" s="189">
        <f t="shared" si="19"/>
        <v>0</v>
      </c>
      <c r="I1185" s="213"/>
      <c r="J1185" s="149"/>
      <c r="K1185" s="147">
        <v>12</v>
      </c>
      <c r="L1185" s="147">
        <v>1</v>
      </c>
      <c r="M1185" s="147">
        <v>13</v>
      </c>
      <c r="N1185" s="275"/>
      <c r="O1185" s="194"/>
      <c r="P1185" s="179"/>
      <c r="Q1185" s="173"/>
      <c r="R1185" s="260">
        <v>0</v>
      </c>
      <c r="S1185" s="167"/>
      <c r="T1185" s="129" t="s">
        <v>1415</v>
      </c>
      <c r="U1185" s="147" t="s">
        <v>37</v>
      </c>
      <c r="V1185" s="129"/>
      <c r="W1185" s="162" t="s">
        <v>54</v>
      </c>
      <c r="X1185" s="205"/>
      <c r="Y1185" s="251"/>
      <c r="Z1185" s="155"/>
      <c r="AA1185" s="230"/>
      <c r="XFB1185" s="230"/>
    </row>
    <row r="1186" spans="1:27 16381:16382" hidden="1" x14ac:dyDescent="0.25">
      <c r="A1186" s="155">
        <v>1</v>
      </c>
      <c r="B1186" s="129">
        <v>1509001</v>
      </c>
      <c r="C1186" s="127" t="s">
        <v>956</v>
      </c>
      <c r="D1186" s="128" t="s">
        <v>1416</v>
      </c>
      <c r="E1186" s="147" t="s">
        <v>38</v>
      </c>
      <c r="F1186" s="129" t="s">
        <v>55</v>
      </c>
      <c r="G1186" s="147" t="s">
        <v>1731</v>
      </c>
      <c r="H1186" s="189">
        <f t="shared" si="19"/>
        <v>0</v>
      </c>
      <c r="I1186" s="213"/>
      <c r="J1186" s="148">
        <v>30</v>
      </c>
      <c r="K1186" s="147"/>
      <c r="L1186" s="147"/>
      <c r="M1186" s="147">
        <v>1</v>
      </c>
      <c r="N1186" s="275"/>
      <c r="O1186" s="194"/>
      <c r="P1186" s="179"/>
      <c r="Q1186" s="173"/>
      <c r="R1186" s="260">
        <v>0</v>
      </c>
      <c r="S1186" s="167"/>
      <c r="T1186" s="129" t="s">
        <v>55</v>
      </c>
      <c r="U1186" s="147" t="s">
        <v>37</v>
      </c>
      <c r="V1186" s="129"/>
      <c r="W1186" s="176" t="s">
        <v>2519</v>
      </c>
      <c r="X1186" s="205"/>
      <c r="Y1186" s="251"/>
      <c r="Z1186" s="155"/>
      <c r="AA1186" s="230"/>
      <c r="XFB1186" s="230"/>
    </row>
    <row r="1187" spans="1:27 16381:16382" ht="24" x14ac:dyDescent="0.25">
      <c r="A1187" s="155">
        <v>1</v>
      </c>
      <c r="B1187" s="129">
        <v>1509005</v>
      </c>
      <c r="C1187" s="127" t="s">
        <v>2020</v>
      </c>
      <c r="D1187" s="128" t="s">
        <v>2473</v>
      </c>
      <c r="E1187" s="147" t="s">
        <v>38</v>
      </c>
      <c r="F1187" s="129" t="s">
        <v>1360</v>
      </c>
      <c r="G1187" s="147" t="s">
        <v>1731</v>
      </c>
      <c r="H1187" s="189">
        <f t="shared" si="19"/>
        <v>0.12709999999999999</v>
      </c>
      <c r="I1187" s="210" t="s">
        <v>2223</v>
      </c>
      <c r="J1187" s="146">
        <v>30</v>
      </c>
      <c r="K1187" s="147">
        <v>6</v>
      </c>
      <c r="L1187" s="147">
        <v>4</v>
      </c>
      <c r="M1187" s="147">
        <v>10</v>
      </c>
      <c r="N1187" s="275">
        <v>10000</v>
      </c>
      <c r="O1187" s="193"/>
      <c r="P1187" s="179">
        <v>45804</v>
      </c>
      <c r="Q1187" s="173">
        <v>0.12709999999999999</v>
      </c>
      <c r="R1187" s="271">
        <v>0</v>
      </c>
      <c r="S1187" s="164"/>
      <c r="T1187" s="129" t="s">
        <v>1448</v>
      </c>
      <c r="U1187" s="147" t="s">
        <v>37</v>
      </c>
      <c r="V1187" s="129"/>
      <c r="W1187" s="147" t="s">
        <v>2208</v>
      </c>
      <c r="X1187" s="205" t="s">
        <v>1904</v>
      </c>
      <c r="Y1187" s="251"/>
      <c r="Z1187" s="290"/>
      <c r="AA1187" s="286"/>
      <c r="XFB1187" s="230"/>
    </row>
    <row r="1188" spans="1:27 16381:16382" hidden="1" x14ac:dyDescent="0.25">
      <c r="A1188" s="155">
        <v>1</v>
      </c>
      <c r="B1188" s="129">
        <v>1509006</v>
      </c>
      <c r="C1188" s="127" t="s">
        <v>2020</v>
      </c>
      <c r="D1188" s="128" t="s">
        <v>1419</v>
      </c>
      <c r="E1188" s="147" t="s">
        <v>38</v>
      </c>
      <c r="F1188" s="129" t="s">
        <v>1231</v>
      </c>
      <c r="G1188" s="147" t="s">
        <v>1731</v>
      </c>
      <c r="H1188" s="189">
        <f t="shared" si="19"/>
        <v>0.01</v>
      </c>
      <c r="I1188" s="134" t="s">
        <v>2086</v>
      </c>
      <c r="J1188" s="146">
        <v>30</v>
      </c>
      <c r="K1188" s="147">
        <v>1</v>
      </c>
      <c r="L1188" s="147">
        <v>1</v>
      </c>
      <c r="M1188" s="147">
        <v>2</v>
      </c>
      <c r="N1188" s="275">
        <v>25</v>
      </c>
      <c r="O1188" s="194"/>
      <c r="P1188" s="179"/>
      <c r="Q1188" s="173">
        <v>0.01</v>
      </c>
      <c r="R1188" s="271">
        <v>0</v>
      </c>
      <c r="S1188" s="167"/>
      <c r="T1188" s="129" t="s">
        <v>36</v>
      </c>
      <c r="U1188" s="147" t="s">
        <v>37</v>
      </c>
      <c r="V1188" s="129"/>
      <c r="W1188" s="147" t="s">
        <v>2209</v>
      </c>
      <c r="X1188" s="205"/>
      <c r="Y1188" s="251"/>
      <c r="Z1188" s="155"/>
      <c r="AA1188" s="230"/>
      <c r="XFB1188" s="230"/>
    </row>
    <row r="1189" spans="1:27 16381:16382" ht="24" x14ac:dyDescent="0.25">
      <c r="A1189" s="155">
        <v>1</v>
      </c>
      <c r="B1189" s="129">
        <v>1509007</v>
      </c>
      <c r="C1189" s="127" t="s">
        <v>940</v>
      </c>
      <c r="D1189" s="128" t="s">
        <v>1421</v>
      </c>
      <c r="E1189" s="147" t="s">
        <v>38</v>
      </c>
      <c r="F1189" s="129" t="s">
        <v>1422</v>
      </c>
      <c r="G1189" s="147" t="s">
        <v>1731</v>
      </c>
      <c r="H1189" s="189">
        <f t="shared" si="19"/>
        <v>0.40367999999999998</v>
      </c>
      <c r="I1189" s="210" t="s">
        <v>2167</v>
      </c>
      <c r="J1189" s="150"/>
      <c r="K1189" s="147">
        <v>2</v>
      </c>
      <c r="L1189" s="147">
        <v>1</v>
      </c>
      <c r="M1189" s="147">
        <v>3</v>
      </c>
      <c r="N1189" s="275">
        <v>1000</v>
      </c>
      <c r="O1189" s="194"/>
      <c r="P1189" s="179">
        <v>46175</v>
      </c>
      <c r="Q1189" s="173">
        <f>348/1000</f>
        <v>0.34799999999999998</v>
      </c>
      <c r="R1189" s="271">
        <f>Q1189*0.16</f>
        <v>5.568E-2</v>
      </c>
      <c r="S1189" s="167"/>
      <c r="T1189" s="129" t="s">
        <v>2310</v>
      </c>
      <c r="U1189" s="147" t="s">
        <v>37</v>
      </c>
      <c r="V1189" s="129"/>
      <c r="W1189" s="147" t="s">
        <v>2208</v>
      </c>
      <c r="X1189" s="205" t="s">
        <v>1904</v>
      </c>
      <c r="Y1189" s="251"/>
      <c r="Z1189" s="155"/>
      <c r="AA1189" s="230"/>
      <c r="XFB1189" s="230"/>
    </row>
    <row r="1190" spans="1:27 16381:16382" ht="36" hidden="1" x14ac:dyDescent="0.25">
      <c r="A1190" s="155">
        <v>1</v>
      </c>
      <c r="B1190" s="129">
        <v>1509008</v>
      </c>
      <c r="C1190" s="127" t="s">
        <v>934</v>
      </c>
      <c r="D1190" s="128" t="s">
        <v>1427</v>
      </c>
      <c r="E1190" s="147" t="s">
        <v>38</v>
      </c>
      <c r="F1190" s="129" t="s">
        <v>36</v>
      </c>
      <c r="G1190" s="147" t="s">
        <v>1731</v>
      </c>
      <c r="H1190" s="189">
        <f t="shared" si="19"/>
        <v>0.27560000000000001</v>
      </c>
      <c r="I1190" s="180" t="s">
        <v>2213</v>
      </c>
      <c r="J1190" s="150"/>
      <c r="K1190" s="147"/>
      <c r="L1190" s="147"/>
      <c r="M1190" s="147">
        <v>4</v>
      </c>
      <c r="N1190" s="275">
        <v>4000</v>
      </c>
      <c r="O1190" s="194"/>
      <c r="P1190" s="179"/>
      <c r="Q1190" s="173">
        <v>0.27560000000000001</v>
      </c>
      <c r="R1190" s="260">
        <v>0</v>
      </c>
      <c r="S1190" s="164"/>
      <c r="T1190" s="129" t="s">
        <v>36</v>
      </c>
      <c r="U1190" s="147" t="s">
        <v>37</v>
      </c>
      <c r="V1190" s="129"/>
      <c r="W1190" s="162" t="s">
        <v>2519</v>
      </c>
      <c r="X1190" s="205"/>
      <c r="Y1190" s="251"/>
      <c r="Z1190" s="290"/>
      <c r="AA1190" s="286"/>
      <c r="XFB1190" s="230"/>
    </row>
    <row r="1191" spans="1:27 16381:16382" ht="36" hidden="1" x14ac:dyDescent="0.25">
      <c r="A1191" s="155">
        <v>1</v>
      </c>
      <c r="B1191" s="136">
        <v>1509009</v>
      </c>
      <c r="C1191" s="128" t="s">
        <v>934</v>
      </c>
      <c r="D1191" s="128" t="s">
        <v>1428</v>
      </c>
      <c r="E1191" s="147" t="s">
        <v>38</v>
      </c>
      <c r="F1191" s="129" t="s">
        <v>1429</v>
      </c>
      <c r="G1191" s="147" t="s">
        <v>1731</v>
      </c>
      <c r="H1191" s="189">
        <f t="shared" si="19"/>
        <v>0</v>
      </c>
      <c r="I1191" s="213"/>
      <c r="J1191" s="149"/>
      <c r="K1191" s="147">
        <v>11</v>
      </c>
      <c r="L1191" s="147">
        <v>1</v>
      </c>
      <c r="M1191" s="147">
        <v>12</v>
      </c>
      <c r="N1191" s="275"/>
      <c r="O1191" s="194"/>
      <c r="P1191" s="179"/>
      <c r="Q1191" s="173"/>
      <c r="R1191" s="260">
        <v>0</v>
      </c>
      <c r="S1191" s="167"/>
      <c r="T1191" s="129"/>
      <c r="U1191" s="147" t="s">
        <v>37</v>
      </c>
      <c r="V1191" s="129"/>
      <c r="W1191" s="162" t="s">
        <v>54</v>
      </c>
      <c r="X1191" s="205"/>
      <c r="Y1191" s="251"/>
      <c r="Z1191" s="155"/>
      <c r="AA1191" s="230"/>
      <c r="XFB1191" s="230"/>
    </row>
    <row r="1192" spans="1:27 16381:16382" x14ac:dyDescent="0.25">
      <c r="A1192" s="155">
        <v>1</v>
      </c>
      <c r="B1192" s="136">
        <v>1509010</v>
      </c>
      <c r="C1192" s="128" t="s">
        <v>934</v>
      </c>
      <c r="D1192" s="128" t="s">
        <v>1430</v>
      </c>
      <c r="E1192" s="147" t="s">
        <v>38</v>
      </c>
      <c r="F1192" s="129" t="s">
        <v>36</v>
      </c>
      <c r="G1192" s="147" t="s">
        <v>1731</v>
      </c>
      <c r="H1192" s="189">
        <f t="shared" si="19"/>
        <v>0.38200000000000001</v>
      </c>
      <c r="I1192" s="180" t="s">
        <v>2213</v>
      </c>
      <c r="J1192" s="150"/>
      <c r="K1192" s="147">
        <v>9</v>
      </c>
      <c r="L1192" s="147">
        <v>1</v>
      </c>
      <c r="M1192" s="147">
        <v>10</v>
      </c>
      <c r="N1192" s="275">
        <v>9000</v>
      </c>
      <c r="O1192" s="193"/>
      <c r="P1192" s="179"/>
      <c r="Q1192" s="173">
        <v>0.38200000000000001</v>
      </c>
      <c r="R1192" s="260">
        <v>0</v>
      </c>
      <c r="S1192" s="164"/>
      <c r="T1192" s="129" t="s">
        <v>36</v>
      </c>
      <c r="U1192" s="147" t="s">
        <v>37</v>
      </c>
      <c r="V1192" s="129"/>
      <c r="W1192" s="147" t="s">
        <v>2450</v>
      </c>
      <c r="X1192" s="205" t="s">
        <v>1904</v>
      </c>
      <c r="Y1192" s="251"/>
      <c r="Z1192" s="290"/>
      <c r="AA1192" s="286"/>
      <c r="XFB1192" s="230"/>
    </row>
    <row r="1193" spans="1:27 16381:16382" hidden="1" x14ac:dyDescent="0.25">
      <c r="A1193" s="155">
        <v>1</v>
      </c>
      <c r="B1193" s="136">
        <v>1509011</v>
      </c>
      <c r="C1193" s="128" t="s">
        <v>934</v>
      </c>
      <c r="D1193" s="128" t="s">
        <v>1434</v>
      </c>
      <c r="E1193" s="147" t="s">
        <v>38</v>
      </c>
      <c r="F1193" s="129" t="s">
        <v>1435</v>
      </c>
      <c r="G1193" s="147" t="s">
        <v>1731</v>
      </c>
      <c r="H1193" s="189">
        <f t="shared" si="19"/>
        <v>1.2476500000000001</v>
      </c>
      <c r="I1193" s="134"/>
      <c r="J1193" s="150"/>
      <c r="K1193" s="147"/>
      <c r="L1193" s="147"/>
      <c r="M1193" s="147">
        <v>10</v>
      </c>
      <c r="N1193" s="275">
        <v>3000</v>
      </c>
      <c r="O1193" s="194"/>
      <c r="P1193" s="179"/>
      <c r="Q1193" s="173">
        <v>1.2110000000000001</v>
      </c>
      <c r="R1193" s="271">
        <v>3.6650000000000002E-2</v>
      </c>
      <c r="S1193" s="164" t="s">
        <v>35</v>
      </c>
      <c r="T1193" s="129" t="s">
        <v>36</v>
      </c>
      <c r="U1193" s="147" t="s">
        <v>37</v>
      </c>
      <c r="V1193" s="129"/>
      <c r="W1193" s="147" t="s">
        <v>2209</v>
      </c>
      <c r="X1193" s="205"/>
      <c r="Y1193" s="251"/>
      <c r="Z1193" s="155"/>
      <c r="AA1193" s="230"/>
      <c r="XFB1193" s="230"/>
    </row>
    <row r="1194" spans="1:27 16381:16382" hidden="1" x14ac:dyDescent="0.25">
      <c r="A1194" s="155"/>
      <c r="B1194" s="136">
        <v>1509012</v>
      </c>
      <c r="C1194" s="127" t="s">
        <v>2020</v>
      </c>
      <c r="D1194" s="128" t="s">
        <v>1729</v>
      </c>
      <c r="E1194" s="147" t="s">
        <v>38</v>
      </c>
      <c r="F1194" s="129" t="s">
        <v>2456</v>
      </c>
      <c r="G1194" s="147" t="s">
        <v>1731</v>
      </c>
      <c r="H1194" s="189">
        <f t="shared" si="19"/>
        <v>0</v>
      </c>
      <c r="I1194" s="180" t="s">
        <v>2213</v>
      </c>
      <c r="J1194" s="148">
        <v>60</v>
      </c>
      <c r="K1194" s="147">
        <v>1</v>
      </c>
      <c r="L1194" s="147">
        <v>1</v>
      </c>
      <c r="M1194" s="147">
        <v>2</v>
      </c>
      <c r="N1194" s="275"/>
      <c r="O1194" s="193"/>
      <c r="P1194" s="179"/>
      <c r="Q1194" s="173"/>
      <c r="R1194" s="271">
        <v>0</v>
      </c>
      <c r="S1194" s="164"/>
      <c r="T1194" s="129" t="s">
        <v>1850</v>
      </c>
      <c r="U1194" s="147" t="s">
        <v>35</v>
      </c>
      <c r="V1194" s="129"/>
      <c r="W1194" s="147" t="s">
        <v>2455</v>
      </c>
      <c r="X1194" s="205" t="s">
        <v>1904</v>
      </c>
      <c r="Y1194" s="251"/>
      <c r="Z1194" s="290"/>
      <c r="AA1194" s="286"/>
      <c r="XFB1194" s="230"/>
    </row>
    <row r="1195" spans="1:27 16381:16382" ht="24" hidden="1" x14ac:dyDescent="0.25">
      <c r="A1195" s="155"/>
      <c r="B1195" s="136">
        <v>1509013</v>
      </c>
      <c r="C1195" s="127" t="s">
        <v>2020</v>
      </c>
      <c r="D1195" s="128" t="s">
        <v>1730</v>
      </c>
      <c r="E1195" s="147" t="s">
        <v>38</v>
      </c>
      <c r="F1195" s="129" t="s">
        <v>2456</v>
      </c>
      <c r="G1195" s="147" t="s">
        <v>1731</v>
      </c>
      <c r="H1195" s="189">
        <f t="shared" si="19"/>
        <v>0</v>
      </c>
      <c r="I1195" s="180" t="s">
        <v>2213</v>
      </c>
      <c r="J1195" s="148">
        <v>60</v>
      </c>
      <c r="K1195" s="147">
        <v>1</v>
      </c>
      <c r="L1195" s="147">
        <v>1</v>
      </c>
      <c r="M1195" s="147">
        <v>2</v>
      </c>
      <c r="N1195" s="275"/>
      <c r="O1195" s="193"/>
      <c r="P1195" s="179"/>
      <c r="Q1195" s="173"/>
      <c r="R1195" s="271">
        <v>0</v>
      </c>
      <c r="S1195" s="164"/>
      <c r="T1195" s="129" t="s">
        <v>1850</v>
      </c>
      <c r="U1195" s="147" t="s">
        <v>35</v>
      </c>
      <c r="V1195" s="129"/>
      <c r="W1195" s="147" t="s">
        <v>2455</v>
      </c>
      <c r="X1195" s="205" t="s">
        <v>1904</v>
      </c>
      <c r="Y1195" s="251"/>
      <c r="Z1195" s="290"/>
      <c r="AA1195" s="286"/>
      <c r="XFB1195" s="230"/>
    </row>
    <row r="1196" spans="1:27 16381:16382" x14ac:dyDescent="0.25">
      <c r="A1196" s="155"/>
      <c r="B1196" s="129">
        <v>1509014</v>
      </c>
      <c r="C1196" s="129" t="s">
        <v>940</v>
      </c>
      <c r="D1196" s="136" t="s">
        <v>1874</v>
      </c>
      <c r="E1196" s="147" t="s">
        <v>38</v>
      </c>
      <c r="F1196" s="129" t="s">
        <v>1889</v>
      </c>
      <c r="G1196" s="147" t="s">
        <v>1731</v>
      </c>
      <c r="H1196" s="189">
        <f t="shared" si="19"/>
        <v>0</v>
      </c>
      <c r="I1196" s="227"/>
      <c r="J1196" s="151"/>
      <c r="K1196" s="147">
        <v>11</v>
      </c>
      <c r="L1196" s="147">
        <v>1</v>
      </c>
      <c r="M1196" s="147">
        <v>12</v>
      </c>
      <c r="N1196" s="275"/>
      <c r="O1196" s="196"/>
      <c r="P1196" s="179"/>
      <c r="Q1196" s="185"/>
      <c r="R1196" s="271">
        <v>0</v>
      </c>
      <c r="S1196" s="164"/>
      <c r="T1196" s="129" t="s">
        <v>2206</v>
      </c>
      <c r="U1196" s="147" t="s">
        <v>37</v>
      </c>
      <c r="V1196" s="147" t="s">
        <v>1801</v>
      </c>
      <c r="W1196" s="147" t="s">
        <v>2208</v>
      </c>
      <c r="X1196" s="205"/>
      <c r="Y1196" s="251"/>
      <c r="Z1196" s="155"/>
      <c r="AA1196" s="230"/>
      <c r="XFB1196" s="230"/>
    </row>
    <row r="1197" spans="1:27 16381:16382" hidden="1" x14ac:dyDescent="0.25">
      <c r="A1197" s="155">
        <v>1</v>
      </c>
      <c r="B1197" s="136">
        <v>1509015</v>
      </c>
      <c r="C1197" s="128" t="s">
        <v>934</v>
      </c>
      <c r="D1197" s="128" t="s">
        <v>1436</v>
      </c>
      <c r="E1197" s="147" t="s">
        <v>38</v>
      </c>
      <c r="F1197" s="129" t="s">
        <v>1437</v>
      </c>
      <c r="G1197" s="147" t="s">
        <v>1731</v>
      </c>
      <c r="H1197" s="189">
        <f t="shared" si="19"/>
        <v>0</v>
      </c>
      <c r="I1197" s="213"/>
      <c r="J1197" s="149"/>
      <c r="K1197" s="147"/>
      <c r="L1197" s="147"/>
      <c r="M1197" s="147">
        <v>3</v>
      </c>
      <c r="N1197" s="275">
        <v>650</v>
      </c>
      <c r="O1197" s="194"/>
      <c r="P1197" s="179"/>
      <c r="Q1197" s="173"/>
      <c r="R1197" s="260">
        <v>0</v>
      </c>
      <c r="S1197" s="167"/>
      <c r="T1197" s="129" t="s">
        <v>36</v>
      </c>
      <c r="U1197" s="147" t="s">
        <v>37</v>
      </c>
      <c r="V1197" s="129"/>
      <c r="W1197" s="162" t="s">
        <v>54</v>
      </c>
      <c r="X1197" s="205"/>
      <c r="Y1197" s="251"/>
      <c r="Z1197" s="155"/>
      <c r="AA1197" s="230"/>
      <c r="XFB1197" s="230"/>
    </row>
    <row r="1198" spans="1:27 16381:16382" ht="24" hidden="1" x14ac:dyDescent="0.25">
      <c r="A1198" s="155"/>
      <c r="B1198" s="136">
        <v>1509016</v>
      </c>
      <c r="C1198" s="127" t="s">
        <v>2020</v>
      </c>
      <c r="D1198" s="128" t="s">
        <v>2012</v>
      </c>
      <c r="E1198" s="147" t="s">
        <v>38</v>
      </c>
      <c r="F1198" s="129" t="s">
        <v>2456</v>
      </c>
      <c r="G1198" s="147" t="s">
        <v>1731</v>
      </c>
      <c r="H1198" s="189">
        <f t="shared" si="19"/>
        <v>0</v>
      </c>
      <c r="I1198" s="180" t="s">
        <v>2213</v>
      </c>
      <c r="J1198" s="148">
        <v>60</v>
      </c>
      <c r="K1198" s="147">
        <v>1</v>
      </c>
      <c r="L1198" s="147">
        <v>1</v>
      </c>
      <c r="M1198" s="147">
        <v>2</v>
      </c>
      <c r="N1198" s="275"/>
      <c r="O1198" s="193"/>
      <c r="P1198" s="179"/>
      <c r="Q1198" s="173"/>
      <c r="R1198" s="271"/>
      <c r="S1198" s="147"/>
      <c r="T1198" s="129" t="s">
        <v>1850</v>
      </c>
      <c r="U1198" s="147" t="s">
        <v>35</v>
      </c>
      <c r="V1198" s="129"/>
      <c r="W1198" s="147" t="s">
        <v>2455</v>
      </c>
      <c r="X1198" s="205" t="s">
        <v>1904</v>
      </c>
      <c r="Y1198" s="251"/>
      <c r="Z1198" s="290"/>
      <c r="AA1198" s="286"/>
      <c r="XFB1198" s="230"/>
    </row>
    <row r="1199" spans="1:27 16381:16382" ht="24" x14ac:dyDescent="0.25">
      <c r="A1199" s="155"/>
      <c r="B1199" s="136">
        <v>1509017</v>
      </c>
      <c r="C1199" s="127" t="s">
        <v>2020</v>
      </c>
      <c r="D1199" s="128" t="s">
        <v>2037</v>
      </c>
      <c r="E1199" s="147" t="s">
        <v>38</v>
      </c>
      <c r="F1199" s="129" t="s">
        <v>2018</v>
      </c>
      <c r="G1199" s="147" t="s">
        <v>1731</v>
      </c>
      <c r="H1199" s="189">
        <f t="shared" si="19"/>
        <v>1.5486</v>
      </c>
      <c r="I1199" s="210" t="s">
        <v>2223</v>
      </c>
      <c r="J1199" s="146">
        <v>30</v>
      </c>
      <c r="K1199" s="147">
        <v>2</v>
      </c>
      <c r="L1199" s="147">
        <v>1</v>
      </c>
      <c r="M1199" s="147">
        <v>3</v>
      </c>
      <c r="N1199" s="275">
        <v>1</v>
      </c>
      <c r="O1199" s="193"/>
      <c r="P1199" s="179">
        <v>45685</v>
      </c>
      <c r="Q1199" s="173">
        <v>1.5486</v>
      </c>
      <c r="R1199" s="271">
        <v>0</v>
      </c>
      <c r="S1199" s="147"/>
      <c r="T1199" s="129" t="s">
        <v>2206</v>
      </c>
      <c r="U1199" s="147" t="s">
        <v>37</v>
      </c>
      <c r="V1199" s="129"/>
      <c r="W1199" s="147" t="s">
        <v>2208</v>
      </c>
      <c r="X1199" s="205" t="s">
        <v>1936</v>
      </c>
      <c r="Y1199" s="251"/>
      <c r="Z1199" s="290"/>
      <c r="AA1199" s="286"/>
      <c r="XFB1199" s="230"/>
    </row>
    <row r="1200" spans="1:27 16381:16382" ht="24" x14ac:dyDescent="0.25">
      <c r="A1200" s="155"/>
      <c r="B1200" s="136">
        <v>1509018</v>
      </c>
      <c r="C1200" s="127" t="s">
        <v>2020</v>
      </c>
      <c r="D1200" s="128" t="s">
        <v>2039</v>
      </c>
      <c r="E1200" s="147" t="s">
        <v>38</v>
      </c>
      <c r="F1200" s="129" t="s">
        <v>2018</v>
      </c>
      <c r="G1200" s="147" t="s">
        <v>1731</v>
      </c>
      <c r="H1200" s="189">
        <f t="shared" si="19"/>
        <v>0.1046</v>
      </c>
      <c r="I1200" s="210" t="s">
        <v>2223</v>
      </c>
      <c r="J1200" s="146">
        <v>30</v>
      </c>
      <c r="K1200" s="147">
        <v>2</v>
      </c>
      <c r="L1200" s="147">
        <v>1</v>
      </c>
      <c r="M1200" s="147">
        <v>3</v>
      </c>
      <c r="N1200" s="275">
        <v>1</v>
      </c>
      <c r="O1200" s="193"/>
      <c r="P1200" s="179">
        <v>45685</v>
      </c>
      <c r="Q1200" s="173">
        <v>0.1046</v>
      </c>
      <c r="R1200" s="271">
        <v>0</v>
      </c>
      <c r="S1200" s="147"/>
      <c r="T1200" s="129" t="s">
        <v>2206</v>
      </c>
      <c r="U1200" s="147" t="s">
        <v>37</v>
      </c>
      <c r="V1200" s="129"/>
      <c r="W1200" s="147" t="s">
        <v>2208</v>
      </c>
      <c r="X1200" s="205" t="s">
        <v>1936</v>
      </c>
      <c r="Y1200" s="251"/>
      <c r="Z1200" s="290"/>
      <c r="AA1200" s="286"/>
      <c r="XFA1200" s="230"/>
      <c r="XFB1200" s="230"/>
    </row>
    <row r="1201" spans="1:27 16378:16382" ht="24" x14ac:dyDescent="0.25">
      <c r="A1201" s="155"/>
      <c r="B1201" s="136">
        <v>1509019</v>
      </c>
      <c r="C1201" s="127" t="s">
        <v>2020</v>
      </c>
      <c r="D1201" s="128" t="s">
        <v>2038</v>
      </c>
      <c r="E1201" s="147" t="s">
        <v>38</v>
      </c>
      <c r="F1201" s="129" t="s">
        <v>2018</v>
      </c>
      <c r="G1201" s="147" t="s">
        <v>1731</v>
      </c>
      <c r="H1201" s="189">
        <f t="shared" si="19"/>
        <v>0.15179999999999999</v>
      </c>
      <c r="I1201" s="210" t="s">
        <v>2223</v>
      </c>
      <c r="J1201" s="146">
        <v>30</v>
      </c>
      <c r="K1201" s="147">
        <v>2</v>
      </c>
      <c r="L1201" s="147">
        <v>1</v>
      </c>
      <c r="M1201" s="147">
        <v>3</v>
      </c>
      <c r="N1201" s="275">
        <v>1</v>
      </c>
      <c r="O1201" s="193"/>
      <c r="P1201" s="179">
        <v>45685</v>
      </c>
      <c r="Q1201" s="173">
        <v>0.15179999999999999</v>
      </c>
      <c r="R1201" s="271">
        <v>0</v>
      </c>
      <c r="S1201" s="147"/>
      <c r="T1201" s="129" t="s">
        <v>2206</v>
      </c>
      <c r="U1201" s="147" t="s">
        <v>37</v>
      </c>
      <c r="V1201" s="129"/>
      <c r="W1201" s="147" t="s">
        <v>2208</v>
      </c>
      <c r="X1201" s="205" t="s">
        <v>1936</v>
      </c>
      <c r="Y1201" s="251"/>
      <c r="Z1201" s="290"/>
      <c r="AA1201" s="286"/>
      <c r="XFA1201" s="230"/>
      <c r="XFB1201" s="230"/>
    </row>
    <row r="1202" spans="1:27 16378:16382" ht="24" hidden="1" x14ac:dyDescent="0.25">
      <c r="A1202" s="155">
        <v>1</v>
      </c>
      <c r="B1202" s="136">
        <v>1509020</v>
      </c>
      <c r="C1202" s="128" t="s">
        <v>934</v>
      </c>
      <c r="D1202" s="128" t="s">
        <v>1438</v>
      </c>
      <c r="E1202" s="147" t="s">
        <v>38</v>
      </c>
      <c r="F1202" s="129" t="s">
        <v>36</v>
      </c>
      <c r="G1202" s="147" t="s">
        <v>1731</v>
      </c>
      <c r="H1202" s="189">
        <f t="shared" si="19"/>
        <v>0.62</v>
      </c>
      <c r="I1202" s="180" t="s">
        <v>2213</v>
      </c>
      <c r="J1202" s="150"/>
      <c r="K1202" s="147"/>
      <c r="L1202" s="147"/>
      <c r="M1202" s="147">
        <v>4</v>
      </c>
      <c r="N1202" s="275">
        <v>560</v>
      </c>
      <c r="O1202" s="194"/>
      <c r="P1202" s="179"/>
      <c r="Q1202" s="173">
        <v>0.62</v>
      </c>
      <c r="R1202" s="260">
        <v>0</v>
      </c>
      <c r="S1202" s="164"/>
      <c r="T1202" s="129" t="s">
        <v>36</v>
      </c>
      <c r="U1202" s="147" t="s">
        <v>37</v>
      </c>
      <c r="V1202" s="129"/>
      <c r="W1202" s="162" t="s">
        <v>2519</v>
      </c>
      <c r="X1202" s="205"/>
      <c r="Y1202" s="251"/>
      <c r="Z1202" s="290"/>
      <c r="AA1202" s="286"/>
      <c r="XFA1202" s="230"/>
      <c r="XFB1202" s="230"/>
    </row>
    <row r="1203" spans="1:27 16378:16382" ht="24" x14ac:dyDescent="0.25">
      <c r="A1203" s="155"/>
      <c r="B1203" s="136">
        <v>1509021</v>
      </c>
      <c r="C1203" s="129" t="s">
        <v>940</v>
      </c>
      <c r="D1203" s="128" t="s">
        <v>2096</v>
      </c>
      <c r="E1203" s="147" t="s">
        <v>38</v>
      </c>
      <c r="F1203" s="129" t="s">
        <v>2097</v>
      </c>
      <c r="G1203" s="147" t="s">
        <v>1731</v>
      </c>
      <c r="H1203" s="189">
        <f t="shared" si="19"/>
        <v>6.8599999999999994E-2</v>
      </c>
      <c r="I1203" s="210" t="s">
        <v>2223</v>
      </c>
      <c r="J1203" s="146">
        <v>30</v>
      </c>
      <c r="K1203" s="147">
        <v>2</v>
      </c>
      <c r="L1203" s="147">
        <v>1</v>
      </c>
      <c r="M1203" s="147">
        <v>3</v>
      </c>
      <c r="N1203" s="275">
        <v>36000</v>
      </c>
      <c r="O1203" s="193"/>
      <c r="P1203" s="179">
        <v>45740</v>
      </c>
      <c r="Q1203" s="173">
        <v>6.8599999999999994E-2</v>
      </c>
      <c r="R1203" s="271">
        <v>0</v>
      </c>
      <c r="S1203" s="147"/>
      <c r="T1203" s="129" t="s">
        <v>1873</v>
      </c>
      <c r="U1203" s="147" t="s">
        <v>37</v>
      </c>
      <c r="V1203" s="147"/>
      <c r="W1203" s="147" t="s">
        <v>2208</v>
      </c>
      <c r="X1203" s="205" t="s">
        <v>1904</v>
      </c>
      <c r="Y1203" s="251"/>
      <c r="Z1203" s="155"/>
      <c r="AA1203" s="230"/>
      <c r="XFA1203" s="230"/>
      <c r="XFB1203" s="230"/>
    </row>
    <row r="1204" spans="1:27 16378:16382" ht="48" x14ac:dyDescent="0.25">
      <c r="A1204" s="158"/>
      <c r="B1204" s="158">
        <v>1509022</v>
      </c>
      <c r="C1204" s="129" t="s">
        <v>940</v>
      </c>
      <c r="D1204" s="136" t="s">
        <v>2528</v>
      </c>
      <c r="E1204" s="147" t="s">
        <v>38</v>
      </c>
      <c r="F1204" s="129" t="s">
        <v>2097</v>
      </c>
      <c r="G1204" s="147" t="s">
        <v>1731</v>
      </c>
      <c r="H1204" s="189">
        <f t="shared" si="19"/>
        <v>0.13500000000000001</v>
      </c>
      <c r="I1204" s="210" t="s">
        <v>2465</v>
      </c>
      <c r="J1204" s="146">
        <v>30</v>
      </c>
      <c r="K1204" s="147">
        <v>7</v>
      </c>
      <c r="L1204" s="147">
        <v>1</v>
      </c>
      <c r="M1204" s="217">
        <v>8</v>
      </c>
      <c r="N1204" s="275">
        <v>50000</v>
      </c>
      <c r="O1204" s="200">
        <v>0.12</v>
      </c>
      <c r="P1204" s="179">
        <v>46057</v>
      </c>
      <c r="Q1204" s="294">
        <v>0.13500000000000001</v>
      </c>
      <c r="R1204" s="346">
        <v>0</v>
      </c>
      <c r="S1204" s="129"/>
      <c r="T1204" s="129" t="s">
        <v>2089</v>
      </c>
      <c r="U1204" s="147" t="s">
        <v>37</v>
      </c>
      <c r="V1204" s="147"/>
      <c r="W1204" s="147" t="s">
        <v>2208</v>
      </c>
      <c r="X1204" s="206"/>
      <c r="Y1204" s="251"/>
      <c r="Z1204" s="290"/>
      <c r="AA1204" s="230"/>
      <c r="XFA1204" s="230"/>
      <c r="XFB1204" s="158"/>
    </row>
    <row r="1205" spans="1:27 16378:16382" ht="60" x14ac:dyDescent="0.25">
      <c r="A1205" s="155"/>
      <c r="B1205" s="158">
        <v>1509023</v>
      </c>
      <c r="C1205" s="129" t="s">
        <v>940</v>
      </c>
      <c r="D1205" s="136" t="s">
        <v>2538</v>
      </c>
      <c r="E1205" s="147" t="s">
        <v>38</v>
      </c>
      <c r="F1205" s="129" t="s">
        <v>2539</v>
      </c>
      <c r="G1205" s="147" t="s">
        <v>2474</v>
      </c>
      <c r="H1205" s="189">
        <f t="shared" si="19"/>
        <v>37.6</v>
      </c>
      <c r="I1205" s="210" t="s">
        <v>2542</v>
      </c>
      <c r="J1205" s="146">
        <v>30</v>
      </c>
      <c r="K1205" s="147">
        <v>2</v>
      </c>
      <c r="L1205" s="147">
        <v>1</v>
      </c>
      <c r="M1205" s="147">
        <v>3</v>
      </c>
      <c r="N1205" s="275">
        <v>6</v>
      </c>
      <c r="O1205" s="173">
        <v>39.47</v>
      </c>
      <c r="P1205" s="179">
        <v>46062</v>
      </c>
      <c r="Q1205" s="173">
        <v>37.6</v>
      </c>
      <c r="R1205" s="260">
        <v>0</v>
      </c>
      <c r="S1205" s="147"/>
      <c r="T1205" s="129" t="s">
        <v>2089</v>
      </c>
      <c r="U1205" s="147" t="s">
        <v>37</v>
      </c>
      <c r="V1205" s="129"/>
      <c r="W1205" s="147" t="s">
        <v>2208</v>
      </c>
      <c r="X1205" s="205"/>
      <c r="Y1205" s="251"/>
      <c r="Z1205" s="290"/>
      <c r="AA1205" s="230"/>
      <c r="XFA1205" s="230"/>
      <c r="XFB1205" s="230"/>
    </row>
    <row r="1206" spans="1:27 16378:16382" ht="24" hidden="1" x14ac:dyDescent="0.25">
      <c r="A1206" s="155"/>
      <c r="B1206" s="158">
        <v>1509030</v>
      </c>
      <c r="C1206" s="127" t="s">
        <v>2020</v>
      </c>
      <c r="D1206" s="136" t="s">
        <v>2543</v>
      </c>
      <c r="E1206" s="147" t="s">
        <v>38</v>
      </c>
      <c r="F1206" s="129" t="s">
        <v>2018</v>
      </c>
      <c r="G1206" s="147" t="s">
        <v>1731</v>
      </c>
      <c r="H1206" s="189">
        <f t="shared" si="19"/>
        <v>0.36109999999999998</v>
      </c>
      <c r="I1206" s="210" t="s">
        <v>2223</v>
      </c>
      <c r="J1206" s="146">
        <v>30</v>
      </c>
      <c r="K1206" s="147">
        <v>6</v>
      </c>
      <c r="L1206" s="147">
        <v>1</v>
      </c>
      <c r="M1206" s="147">
        <v>7</v>
      </c>
      <c r="N1206" s="275">
        <v>5000</v>
      </c>
      <c r="O1206" s="193">
        <v>0.1</v>
      </c>
      <c r="P1206" s="179">
        <v>45639</v>
      </c>
      <c r="Q1206" s="173">
        <v>0.36109999999999998</v>
      </c>
      <c r="R1206" s="271"/>
      <c r="S1206" s="167"/>
      <c r="T1206" s="129" t="s">
        <v>1846</v>
      </c>
      <c r="U1206" s="147" t="s">
        <v>35</v>
      </c>
      <c r="V1206" s="129"/>
      <c r="W1206" s="147" t="s">
        <v>2209</v>
      </c>
      <c r="X1206" s="205" t="s">
        <v>1936</v>
      </c>
      <c r="Y1206" s="251"/>
      <c r="Z1206" s="290"/>
      <c r="AA1206" s="230"/>
      <c r="XFA1206" s="230"/>
      <c r="XFB1206" s="230"/>
    </row>
    <row r="1207" spans="1:27 16378:16382" hidden="1" x14ac:dyDescent="0.25">
      <c r="A1207" s="155">
        <v>1</v>
      </c>
      <c r="B1207" s="129">
        <v>1510001</v>
      </c>
      <c r="C1207" s="127" t="s">
        <v>2020</v>
      </c>
      <c r="D1207" s="136" t="s">
        <v>1442</v>
      </c>
      <c r="E1207" s="147" t="s">
        <v>38</v>
      </c>
      <c r="F1207" s="129" t="s">
        <v>1267</v>
      </c>
      <c r="G1207" s="147" t="s">
        <v>1731</v>
      </c>
      <c r="H1207" s="189">
        <f t="shared" si="19"/>
        <v>0.23</v>
      </c>
      <c r="I1207" s="134"/>
      <c r="J1207" s="150"/>
      <c r="K1207" s="147"/>
      <c r="L1207" s="147"/>
      <c r="M1207" s="147">
        <v>2</v>
      </c>
      <c r="N1207" s="275"/>
      <c r="O1207" s="194"/>
      <c r="P1207" s="179"/>
      <c r="Q1207" s="173">
        <v>0.23</v>
      </c>
      <c r="R1207" s="271">
        <v>0</v>
      </c>
      <c r="S1207" s="164"/>
      <c r="T1207" s="129" t="s">
        <v>36</v>
      </c>
      <c r="U1207" s="147" t="s">
        <v>37</v>
      </c>
      <c r="V1207" s="129"/>
      <c r="W1207" s="162" t="s">
        <v>54</v>
      </c>
      <c r="X1207" s="205"/>
      <c r="Y1207" s="251"/>
      <c r="Z1207" s="155"/>
      <c r="AA1207" s="230"/>
      <c r="XFA1207" s="230"/>
      <c r="XFB1207" s="230"/>
    </row>
    <row r="1208" spans="1:27 16378:16382" ht="24" hidden="1" x14ac:dyDescent="0.25">
      <c r="A1208" s="155">
        <v>1</v>
      </c>
      <c r="B1208" s="129">
        <v>1510002</v>
      </c>
      <c r="C1208" s="127" t="s">
        <v>2020</v>
      </c>
      <c r="D1208" s="136" t="s">
        <v>1443</v>
      </c>
      <c r="E1208" s="147" t="s">
        <v>38</v>
      </c>
      <c r="F1208" s="129" t="s">
        <v>1275</v>
      </c>
      <c r="G1208" s="147" t="s">
        <v>1731</v>
      </c>
      <c r="H1208" s="189">
        <f t="shared" si="19"/>
        <v>0.5</v>
      </c>
      <c r="I1208" s="134"/>
      <c r="J1208" s="146">
        <v>60</v>
      </c>
      <c r="K1208" s="147"/>
      <c r="L1208" s="147"/>
      <c r="M1208" s="147">
        <v>2</v>
      </c>
      <c r="N1208" s="275"/>
      <c r="O1208" s="194"/>
      <c r="P1208" s="179"/>
      <c r="Q1208" s="173">
        <v>0.5</v>
      </c>
      <c r="R1208" s="271">
        <v>0</v>
      </c>
      <c r="S1208" s="164"/>
      <c r="T1208" s="129" t="s">
        <v>365</v>
      </c>
      <c r="U1208" s="147" t="s">
        <v>35</v>
      </c>
      <c r="V1208" s="129"/>
      <c r="W1208" s="162" t="s">
        <v>54</v>
      </c>
      <c r="X1208" s="205"/>
      <c r="Y1208" s="251"/>
      <c r="Z1208" s="155"/>
      <c r="AA1208" s="230"/>
      <c r="XFA1208" s="230"/>
      <c r="XFB1208" s="230"/>
    </row>
    <row r="1209" spans="1:27 16378:16382" ht="24" x14ac:dyDescent="0.25">
      <c r="A1209" s="155">
        <v>1</v>
      </c>
      <c r="B1209" s="129">
        <v>1510003</v>
      </c>
      <c r="C1209" s="127" t="s">
        <v>2020</v>
      </c>
      <c r="D1209" s="136" t="s">
        <v>1444</v>
      </c>
      <c r="E1209" s="147" t="s">
        <v>38</v>
      </c>
      <c r="F1209" s="129" t="s">
        <v>2018</v>
      </c>
      <c r="G1209" s="147" t="s">
        <v>1731</v>
      </c>
      <c r="H1209" s="189">
        <f t="shared" si="19"/>
        <v>0.5</v>
      </c>
      <c r="I1209" s="210" t="s">
        <v>2223</v>
      </c>
      <c r="J1209" s="146">
        <v>30</v>
      </c>
      <c r="K1209" s="147">
        <v>2</v>
      </c>
      <c r="L1209" s="147">
        <v>1</v>
      </c>
      <c r="M1209" s="147">
        <v>3</v>
      </c>
      <c r="N1209" s="275">
        <v>2500</v>
      </c>
      <c r="O1209" s="193">
        <v>0.31</v>
      </c>
      <c r="P1209" s="179">
        <v>45639</v>
      </c>
      <c r="Q1209" s="173">
        <v>0.5</v>
      </c>
      <c r="R1209" s="271">
        <v>0</v>
      </c>
      <c r="S1209" s="164"/>
      <c r="T1209" s="129" t="s">
        <v>36</v>
      </c>
      <c r="U1209" s="147" t="s">
        <v>37</v>
      </c>
      <c r="V1209" s="129"/>
      <c r="W1209" s="147" t="s">
        <v>2208</v>
      </c>
      <c r="X1209" s="205" t="s">
        <v>1936</v>
      </c>
      <c r="Y1209" s="251"/>
      <c r="Z1209" s="290"/>
      <c r="AA1209" s="286"/>
      <c r="XEZ1209" s="230"/>
      <c r="XFA1209" s="230"/>
      <c r="XFB1209" s="230"/>
    </row>
    <row r="1210" spans="1:27 16378:16382" hidden="1" x14ac:dyDescent="0.25">
      <c r="A1210" s="155"/>
      <c r="B1210" s="143">
        <v>1510004</v>
      </c>
      <c r="C1210" s="127" t="s">
        <v>2020</v>
      </c>
      <c r="D1210" s="143" t="s">
        <v>1727</v>
      </c>
      <c r="E1210" s="147" t="s">
        <v>38</v>
      </c>
      <c r="F1210" s="129" t="s">
        <v>2456</v>
      </c>
      <c r="G1210" s="147" t="s">
        <v>1731</v>
      </c>
      <c r="H1210" s="189">
        <f t="shared" ref="H1210:H1273" si="20">Q1210+R1210</f>
        <v>0</v>
      </c>
      <c r="I1210" s="180" t="s">
        <v>2213</v>
      </c>
      <c r="J1210" s="148">
        <v>60</v>
      </c>
      <c r="K1210" s="147">
        <v>1</v>
      </c>
      <c r="L1210" s="147">
        <v>1</v>
      </c>
      <c r="M1210" s="147">
        <v>2</v>
      </c>
      <c r="N1210" s="275"/>
      <c r="O1210" s="193"/>
      <c r="P1210" s="179"/>
      <c r="Q1210" s="173"/>
      <c r="R1210" s="271">
        <v>0</v>
      </c>
      <c r="S1210" s="167"/>
      <c r="T1210" s="129" t="s">
        <v>1850</v>
      </c>
      <c r="U1210" s="147" t="s">
        <v>35</v>
      </c>
      <c r="V1210" s="129"/>
      <c r="W1210" s="147" t="s">
        <v>2455</v>
      </c>
      <c r="X1210" s="205" t="s">
        <v>1904</v>
      </c>
      <c r="Y1210" s="251"/>
      <c r="Z1210" s="290"/>
      <c r="AA1210" s="286"/>
      <c r="XEZ1210" s="230"/>
      <c r="XFA1210" s="230"/>
      <c r="XFB1210" s="230"/>
    </row>
    <row r="1211" spans="1:27 16378:16382" ht="36" x14ac:dyDescent="0.25">
      <c r="A1211" s="155"/>
      <c r="B1211" s="136">
        <v>1510005</v>
      </c>
      <c r="C1211" s="127" t="s">
        <v>2020</v>
      </c>
      <c r="D1211" s="136" t="s">
        <v>1899</v>
      </c>
      <c r="E1211" s="147" t="s">
        <v>38</v>
      </c>
      <c r="F1211" s="129" t="s">
        <v>2018</v>
      </c>
      <c r="G1211" s="147" t="s">
        <v>1731</v>
      </c>
      <c r="H1211" s="189">
        <f t="shared" si="20"/>
        <v>16.329999999999998</v>
      </c>
      <c r="I1211" s="210" t="s">
        <v>2223</v>
      </c>
      <c r="J1211" s="146">
        <v>30</v>
      </c>
      <c r="K1211" s="147">
        <v>2</v>
      </c>
      <c r="L1211" s="147">
        <v>1</v>
      </c>
      <c r="M1211" s="147">
        <v>3</v>
      </c>
      <c r="N1211" s="275">
        <v>50</v>
      </c>
      <c r="O1211" s="193">
        <v>32.1</v>
      </c>
      <c r="P1211" s="179">
        <v>45639</v>
      </c>
      <c r="Q1211" s="173">
        <v>16.329999999999998</v>
      </c>
      <c r="R1211" s="271">
        <v>0</v>
      </c>
      <c r="S1211" s="167"/>
      <c r="T1211" s="129" t="s">
        <v>1711</v>
      </c>
      <c r="U1211" s="147" t="s">
        <v>37</v>
      </c>
      <c r="V1211" s="129"/>
      <c r="W1211" s="147" t="s">
        <v>2208</v>
      </c>
      <c r="X1211" s="205" t="s">
        <v>1936</v>
      </c>
      <c r="Y1211" s="251"/>
      <c r="Z1211" s="290"/>
      <c r="AA1211" s="286"/>
      <c r="XEZ1211" s="230"/>
      <c r="XFA1211" s="230"/>
      <c r="XFB1211" s="230"/>
    </row>
    <row r="1212" spans="1:27 16378:16382" ht="24" x14ac:dyDescent="0.25">
      <c r="A1212" s="155"/>
      <c r="B1212" s="143">
        <v>1510006</v>
      </c>
      <c r="C1212" s="127" t="s">
        <v>2020</v>
      </c>
      <c r="D1212" s="143" t="s">
        <v>1890</v>
      </c>
      <c r="E1212" s="147" t="s">
        <v>38</v>
      </c>
      <c r="F1212" s="129" t="s">
        <v>2018</v>
      </c>
      <c r="G1212" s="147" t="s">
        <v>1731</v>
      </c>
      <c r="H1212" s="189">
        <f t="shared" si="20"/>
        <v>0.59460000000000002</v>
      </c>
      <c r="I1212" s="210" t="s">
        <v>2223</v>
      </c>
      <c r="J1212" s="146">
        <v>30</v>
      </c>
      <c r="K1212" s="147">
        <v>2</v>
      </c>
      <c r="L1212" s="147">
        <v>1</v>
      </c>
      <c r="M1212" s="147">
        <v>3</v>
      </c>
      <c r="N1212" s="275">
        <v>600</v>
      </c>
      <c r="O1212" s="175">
        <v>1.92</v>
      </c>
      <c r="P1212" s="179">
        <v>45639</v>
      </c>
      <c r="Q1212" s="175">
        <v>0.59460000000000002</v>
      </c>
      <c r="R1212" s="271">
        <v>0</v>
      </c>
      <c r="S1212" s="167"/>
      <c r="T1212" s="129" t="s">
        <v>1846</v>
      </c>
      <c r="U1212" s="147" t="s">
        <v>35</v>
      </c>
      <c r="V1212" s="129"/>
      <c r="W1212" s="147" t="s">
        <v>2208</v>
      </c>
      <c r="X1212" s="205" t="s">
        <v>1936</v>
      </c>
      <c r="Y1212" s="251"/>
      <c r="Z1212" s="290"/>
      <c r="AA1212" s="286"/>
      <c r="XEZ1212" s="230"/>
      <c r="XFA1212" s="230"/>
      <c r="XFB1212" s="230"/>
    </row>
    <row r="1213" spans="1:27 16378:16382" x14ac:dyDescent="0.25">
      <c r="A1213" s="155"/>
      <c r="B1213" s="143">
        <v>1510007</v>
      </c>
      <c r="C1213" s="127" t="s">
        <v>2020</v>
      </c>
      <c r="D1213" s="143" t="s">
        <v>1960</v>
      </c>
      <c r="E1213" s="147" t="s">
        <v>38</v>
      </c>
      <c r="F1213" s="129" t="s">
        <v>1889</v>
      </c>
      <c r="G1213" s="147" t="s">
        <v>1731</v>
      </c>
      <c r="H1213" s="189">
        <f t="shared" si="20"/>
        <v>0</v>
      </c>
      <c r="I1213" s="172"/>
      <c r="J1213" s="146">
        <v>30</v>
      </c>
      <c r="K1213" s="147">
        <v>2</v>
      </c>
      <c r="L1213" s="147">
        <v>1</v>
      </c>
      <c r="M1213" s="147">
        <v>3</v>
      </c>
      <c r="N1213" s="275">
        <v>500</v>
      </c>
      <c r="O1213" s="193"/>
      <c r="P1213" s="179"/>
      <c r="Q1213" s="173"/>
      <c r="R1213" s="271">
        <v>0</v>
      </c>
      <c r="S1213" s="167"/>
      <c r="T1213" s="129" t="s">
        <v>242</v>
      </c>
      <c r="U1213" s="147" t="s">
        <v>35</v>
      </c>
      <c r="V1213" s="129"/>
      <c r="W1213" s="147" t="s">
        <v>2208</v>
      </c>
      <c r="X1213" s="205"/>
      <c r="Y1213" s="251"/>
      <c r="Z1213" s="155"/>
      <c r="AA1213" s="230"/>
      <c r="XEZ1213" s="230"/>
      <c r="XFA1213" s="230"/>
      <c r="XFB1213" s="230"/>
    </row>
    <row r="1214" spans="1:27 16378:16382" ht="24" x14ac:dyDescent="0.25">
      <c r="A1214" s="129"/>
      <c r="B1214" s="301">
        <v>1510008</v>
      </c>
      <c r="C1214" s="302" t="s">
        <v>2020</v>
      </c>
      <c r="D1214" s="342" t="s">
        <v>2476</v>
      </c>
      <c r="E1214" s="147" t="s">
        <v>38</v>
      </c>
      <c r="F1214" s="129" t="s">
        <v>2444</v>
      </c>
      <c r="G1214" s="147" t="s">
        <v>1731</v>
      </c>
      <c r="H1214" s="189">
        <f t="shared" si="20"/>
        <v>2.15</v>
      </c>
      <c r="I1214" s="210" t="s">
        <v>2452</v>
      </c>
      <c r="J1214" s="146">
        <v>0</v>
      </c>
      <c r="K1214" s="147">
        <v>3</v>
      </c>
      <c r="L1214" s="147">
        <v>1</v>
      </c>
      <c r="M1214" s="147">
        <v>4</v>
      </c>
      <c r="N1214" s="326">
        <v>53</v>
      </c>
      <c r="O1214" s="179"/>
      <c r="P1214" s="179">
        <v>45981</v>
      </c>
      <c r="Q1214" s="175">
        <v>2.15</v>
      </c>
      <c r="R1214" s="276">
        <v>0</v>
      </c>
      <c r="S1214" s="147"/>
      <c r="T1214" s="129" t="s">
        <v>2332</v>
      </c>
      <c r="U1214" s="147" t="s">
        <v>37</v>
      </c>
      <c r="V1214" s="206"/>
      <c r="W1214" s="147" t="s">
        <v>2451</v>
      </c>
      <c r="X1214" s="251"/>
      <c r="Y1214" s="251"/>
      <c r="Z1214" s="230"/>
      <c r="AA1214" s="230"/>
      <c r="XEY1214" s="259"/>
      <c r="XEZ1214" s="128"/>
      <c r="XFA1214" s="128"/>
      <c r="XFB1214" s="129"/>
    </row>
    <row r="1215" spans="1:27 16378:16382" ht="24" hidden="1" x14ac:dyDescent="0.25">
      <c r="A1215" s="129"/>
      <c r="B1215" s="129">
        <v>1510009</v>
      </c>
      <c r="C1215" s="127" t="s">
        <v>2020</v>
      </c>
      <c r="D1215" s="136" t="s">
        <v>2477</v>
      </c>
      <c r="E1215" s="147" t="s">
        <v>38</v>
      </c>
      <c r="F1215" s="129" t="s">
        <v>2444</v>
      </c>
      <c r="G1215" s="147" t="s">
        <v>1731</v>
      </c>
      <c r="H1215" s="189">
        <f t="shared" si="20"/>
        <v>8.14</v>
      </c>
      <c r="I1215" s="210" t="s">
        <v>2452</v>
      </c>
      <c r="J1215" s="146">
        <v>0</v>
      </c>
      <c r="K1215" s="147">
        <v>3</v>
      </c>
      <c r="L1215" s="147">
        <v>1</v>
      </c>
      <c r="M1215" s="147">
        <v>4</v>
      </c>
      <c r="N1215" s="326">
        <v>71</v>
      </c>
      <c r="O1215" s="175"/>
      <c r="P1215" s="179">
        <v>45981</v>
      </c>
      <c r="Q1215" s="175">
        <v>8.09</v>
      </c>
      <c r="R1215" s="276">
        <v>0.05</v>
      </c>
      <c r="S1215" s="205"/>
      <c r="T1215" s="129" t="s">
        <v>2332</v>
      </c>
      <c r="U1215" s="147" t="s">
        <v>37</v>
      </c>
      <c r="V1215" s="251"/>
      <c r="W1215" s="147" t="s">
        <v>2455</v>
      </c>
      <c r="X1215" s="251"/>
      <c r="Y1215" s="230"/>
      <c r="Z1215" s="230"/>
      <c r="AA1215" s="230"/>
      <c r="XEX1215" s="259"/>
      <c r="XEY1215" s="128"/>
      <c r="XEZ1215" s="128"/>
      <c r="XFA1215" s="129"/>
      <c r="XFB1215" s="129"/>
    </row>
    <row r="1216" spans="1:27 16378:16382" ht="24" x14ac:dyDescent="0.25">
      <c r="A1216" s="129"/>
      <c r="B1216" s="301">
        <v>1510010</v>
      </c>
      <c r="C1216" s="302" t="s">
        <v>2020</v>
      </c>
      <c r="D1216" s="342" t="s">
        <v>2490</v>
      </c>
      <c r="E1216" s="147" t="s">
        <v>38</v>
      </c>
      <c r="F1216" s="129" t="s">
        <v>2444</v>
      </c>
      <c r="G1216" s="147" t="s">
        <v>1731</v>
      </c>
      <c r="H1216" s="189">
        <f t="shared" si="20"/>
        <v>3.11</v>
      </c>
      <c r="I1216" s="210" t="s">
        <v>2452</v>
      </c>
      <c r="J1216" s="146">
        <v>0</v>
      </c>
      <c r="K1216" s="147">
        <v>3</v>
      </c>
      <c r="L1216" s="147">
        <v>1</v>
      </c>
      <c r="M1216" s="147">
        <v>4</v>
      </c>
      <c r="N1216" s="326">
        <v>33</v>
      </c>
      <c r="O1216" s="175"/>
      <c r="P1216" s="179">
        <v>45981</v>
      </c>
      <c r="Q1216" s="175">
        <v>3.11</v>
      </c>
      <c r="R1216" s="276">
        <v>0</v>
      </c>
      <c r="S1216" s="205"/>
      <c r="T1216" s="129" t="s">
        <v>2332</v>
      </c>
      <c r="U1216" s="147" t="s">
        <v>37</v>
      </c>
      <c r="V1216" s="251"/>
      <c r="W1216" s="147" t="s">
        <v>2451</v>
      </c>
      <c r="X1216" s="251"/>
      <c r="Y1216" s="230"/>
      <c r="Z1216" s="230"/>
      <c r="AA1216" s="230"/>
      <c r="XEX1216" s="259"/>
      <c r="XEY1216" s="128"/>
      <c r="XEZ1216" s="128"/>
      <c r="XFA1216" s="129"/>
      <c r="XFB1216" s="129"/>
    </row>
    <row r="1217" spans="1:27 16379:16382" ht="24" hidden="1" x14ac:dyDescent="0.25">
      <c r="A1217" s="155"/>
      <c r="B1217" s="136">
        <v>1510011</v>
      </c>
      <c r="C1217" s="127" t="s">
        <v>2020</v>
      </c>
      <c r="D1217" s="128" t="s">
        <v>2447</v>
      </c>
      <c r="E1217" s="147" t="s">
        <v>38</v>
      </c>
      <c r="F1217" s="129" t="s">
        <v>2456</v>
      </c>
      <c r="G1217" s="147" t="s">
        <v>1731</v>
      </c>
      <c r="H1217" s="189">
        <f t="shared" si="20"/>
        <v>0</v>
      </c>
      <c r="I1217" s="180" t="s">
        <v>2213</v>
      </c>
      <c r="J1217" s="148">
        <v>60</v>
      </c>
      <c r="K1217" s="147">
        <v>1</v>
      </c>
      <c r="L1217" s="147">
        <v>1</v>
      </c>
      <c r="M1217" s="147">
        <v>2</v>
      </c>
      <c r="N1217" s="275"/>
      <c r="O1217" s="193"/>
      <c r="P1217" s="179"/>
      <c r="Q1217" s="173"/>
      <c r="R1217" s="271"/>
      <c r="S1217" s="147"/>
      <c r="T1217" s="129" t="s">
        <v>1850</v>
      </c>
      <c r="U1217" s="147" t="s">
        <v>35</v>
      </c>
      <c r="V1217" s="129"/>
      <c r="W1217" s="176" t="s">
        <v>2519</v>
      </c>
      <c r="X1217" s="205" t="s">
        <v>1904</v>
      </c>
      <c r="Y1217" s="251"/>
      <c r="Z1217" s="155"/>
      <c r="AA1217" s="230"/>
      <c r="XEY1217" s="230"/>
      <c r="XEZ1217" s="230"/>
      <c r="XFA1217" s="230"/>
      <c r="XFB1217" s="230"/>
    </row>
    <row r="1218" spans="1:27 16379:16382" ht="24" hidden="1" x14ac:dyDescent="0.25">
      <c r="A1218" s="155"/>
      <c r="B1218" s="136">
        <v>1510012</v>
      </c>
      <c r="C1218" s="127" t="s">
        <v>2020</v>
      </c>
      <c r="D1218" s="128" t="s">
        <v>2448</v>
      </c>
      <c r="E1218" s="147" t="s">
        <v>38</v>
      </c>
      <c r="F1218" s="129" t="s">
        <v>2456</v>
      </c>
      <c r="G1218" s="147" t="s">
        <v>1731</v>
      </c>
      <c r="H1218" s="189">
        <f t="shared" si="20"/>
        <v>0</v>
      </c>
      <c r="I1218" s="180" t="s">
        <v>2213</v>
      </c>
      <c r="J1218" s="148">
        <v>60</v>
      </c>
      <c r="K1218" s="147">
        <v>1</v>
      </c>
      <c r="L1218" s="147">
        <v>1</v>
      </c>
      <c r="M1218" s="147">
        <v>2</v>
      </c>
      <c r="N1218" s="275"/>
      <c r="O1218" s="193"/>
      <c r="P1218" s="179"/>
      <c r="Q1218" s="173"/>
      <c r="R1218" s="271"/>
      <c r="S1218" s="147"/>
      <c r="T1218" s="129" t="s">
        <v>1850</v>
      </c>
      <c r="U1218" s="147" t="s">
        <v>35</v>
      </c>
      <c r="V1218" s="129"/>
      <c r="W1218" s="176" t="s">
        <v>2519</v>
      </c>
      <c r="X1218" s="205" t="s">
        <v>1904</v>
      </c>
      <c r="Y1218" s="251"/>
      <c r="Z1218" s="155"/>
      <c r="AA1218" s="230"/>
      <c r="XEY1218" s="230"/>
      <c r="XEZ1218" s="230"/>
      <c r="XFA1218" s="230"/>
      <c r="XFB1218" s="230"/>
    </row>
    <row r="1219" spans="1:27 16379:16382" ht="24" hidden="1" x14ac:dyDescent="0.25">
      <c r="A1219" s="155"/>
      <c r="B1219" s="136">
        <v>1510013</v>
      </c>
      <c r="C1219" s="127" t="s">
        <v>2020</v>
      </c>
      <c r="D1219" s="128" t="s">
        <v>2449</v>
      </c>
      <c r="E1219" s="147" t="s">
        <v>38</v>
      </c>
      <c r="F1219" s="129" t="s">
        <v>2456</v>
      </c>
      <c r="G1219" s="147" t="s">
        <v>1731</v>
      </c>
      <c r="H1219" s="189">
        <f t="shared" si="20"/>
        <v>0</v>
      </c>
      <c r="I1219" s="180" t="s">
        <v>2213</v>
      </c>
      <c r="J1219" s="148">
        <v>60</v>
      </c>
      <c r="K1219" s="147">
        <v>1</v>
      </c>
      <c r="L1219" s="147">
        <v>1</v>
      </c>
      <c r="M1219" s="147">
        <v>2</v>
      </c>
      <c r="N1219" s="275"/>
      <c r="O1219" s="193"/>
      <c r="P1219" s="179"/>
      <c r="Q1219" s="173"/>
      <c r="R1219" s="271"/>
      <c r="S1219" s="147"/>
      <c r="T1219" s="129" t="s">
        <v>1850</v>
      </c>
      <c r="U1219" s="147" t="s">
        <v>35</v>
      </c>
      <c r="V1219" s="129"/>
      <c r="W1219" s="176" t="s">
        <v>2519</v>
      </c>
      <c r="X1219" s="205" t="s">
        <v>1904</v>
      </c>
      <c r="Y1219" s="251"/>
      <c r="Z1219" s="155"/>
      <c r="AA1219" s="230"/>
      <c r="XEY1219" s="230"/>
      <c r="XEZ1219" s="230"/>
      <c r="XFA1219" s="230"/>
      <c r="XFB1219" s="230"/>
    </row>
    <row r="1220" spans="1:27 16379:16382" ht="24" x14ac:dyDescent="0.25">
      <c r="A1220" s="155"/>
      <c r="B1220" s="136">
        <v>1510014</v>
      </c>
      <c r="C1220" s="127" t="s">
        <v>2020</v>
      </c>
      <c r="D1220" s="128" t="s">
        <v>2600</v>
      </c>
      <c r="E1220" s="147" t="s">
        <v>38</v>
      </c>
      <c r="F1220" s="129" t="s">
        <v>2595</v>
      </c>
      <c r="G1220" s="147" t="s">
        <v>1731</v>
      </c>
      <c r="H1220" s="189">
        <f t="shared" si="20"/>
        <v>0.4</v>
      </c>
      <c r="I1220" s="210" t="s">
        <v>2082</v>
      </c>
      <c r="J1220" s="146">
        <v>0</v>
      </c>
      <c r="K1220" s="147">
        <v>3</v>
      </c>
      <c r="L1220" s="147">
        <v>1</v>
      </c>
      <c r="M1220" s="147">
        <v>4</v>
      </c>
      <c r="N1220" s="275"/>
      <c r="O1220" s="193"/>
      <c r="P1220" s="179"/>
      <c r="Q1220" s="175">
        <v>0.4</v>
      </c>
      <c r="R1220" s="271">
        <v>0</v>
      </c>
      <c r="S1220" s="147"/>
      <c r="T1220" s="129" t="s">
        <v>2332</v>
      </c>
      <c r="U1220" s="147" t="s">
        <v>37</v>
      </c>
      <c r="V1220" s="129"/>
      <c r="W1220" s="147" t="s">
        <v>2208</v>
      </c>
      <c r="X1220" s="205"/>
      <c r="Y1220" s="251"/>
      <c r="Z1220" s="155"/>
      <c r="AA1220" s="230"/>
      <c r="XEY1220" s="230"/>
      <c r="XEZ1220" s="230"/>
      <c r="XFA1220" s="230"/>
      <c r="XFB1220" s="230"/>
    </row>
    <row r="1221" spans="1:27 16379:16382" ht="24" hidden="1" x14ac:dyDescent="0.25">
      <c r="A1221" s="155"/>
      <c r="B1221" s="136">
        <v>1510015</v>
      </c>
      <c r="C1221" s="127" t="s">
        <v>2020</v>
      </c>
      <c r="D1221" s="128" t="s">
        <v>2479</v>
      </c>
      <c r="E1221" s="147" t="s">
        <v>38</v>
      </c>
      <c r="F1221" s="129" t="s">
        <v>2444</v>
      </c>
      <c r="G1221" s="147" t="s">
        <v>1731</v>
      </c>
      <c r="H1221" s="189">
        <f t="shared" si="20"/>
        <v>0</v>
      </c>
      <c r="I1221" s="210" t="s">
        <v>2452</v>
      </c>
      <c r="J1221" s="146">
        <v>0</v>
      </c>
      <c r="K1221" s="147">
        <v>3</v>
      </c>
      <c r="L1221" s="147">
        <v>1</v>
      </c>
      <c r="M1221" s="147">
        <v>4</v>
      </c>
      <c r="N1221" s="275"/>
      <c r="O1221" s="193"/>
      <c r="P1221" s="179"/>
      <c r="Q1221" s="173"/>
      <c r="R1221" s="271"/>
      <c r="S1221" s="147"/>
      <c r="T1221" s="129" t="s">
        <v>2332</v>
      </c>
      <c r="U1221" s="147" t="s">
        <v>37</v>
      </c>
      <c r="V1221" s="129"/>
      <c r="W1221" s="147" t="s">
        <v>2455</v>
      </c>
      <c r="X1221" s="205"/>
      <c r="Y1221" s="251"/>
      <c r="Z1221" s="155"/>
      <c r="AA1221" s="230"/>
      <c r="XEY1221" s="230"/>
      <c r="XEZ1221" s="230"/>
      <c r="XFA1221" s="230"/>
      <c r="XFB1221" s="230"/>
    </row>
    <row r="1222" spans="1:27 16379:16382" ht="24" hidden="1" x14ac:dyDescent="0.25">
      <c r="A1222" s="155"/>
      <c r="B1222" s="136">
        <v>1510016</v>
      </c>
      <c r="C1222" s="127" t="s">
        <v>2020</v>
      </c>
      <c r="D1222" s="128" t="s">
        <v>2480</v>
      </c>
      <c r="E1222" s="147" t="s">
        <v>38</v>
      </c>
      <c r="F1222" s="129" t="s">
        <v>2444</v>
      </c>
      <c r="G1222" s="147" t="s">
        <v>1731</v>
      </c>
      <c r="H1222" s="189">
        <f t="shared" si="20"/>
        <v>0</v>
      </c>
      <c r="I1222" s="210" t="s">
        <v>2452</v>
      </c>
      <c r="J1222" s="146">
        <v>0</v>
      </c>
      <c r="K1222" s="147">
        <v>3</v>
      </c>
      <c r="L1222" s="147">
        <v>1</v>
      </c>
      <c r="M1222" s="147">
        <v>4</v>
      </c>
      <c r="N1222" s="275"/>
      <c r="O1222" s="193"/>
      <c r="P1222" s="179"/>
      <c r="Q1222" s="173"/>
      <c r="R1222" s="271"/>
      <c r="S1222" s="147"/>
      <c r="T1222" s="129" t="s">
        <v>2332</v>
      </c>
      <c r="U1222" s="147" t="s">
        <v>37</v>
      </c>
      <c r="V1222" s="129"/>
      <c r="W1222" s="147" t="s">
        <v>2455</v>
      </c>
      <c r="X1222" s="205"/>
      <c r="Y1222" s="251"/>
      <c r="Z1222" s="155"/>
      <c r="AA1222" s="230"/>
      <c r="XEY1222" s="230"/>
      <c r="XEZ1222" s="230"/>
      <c r="XFA1222" s="230"/>
      <c r="XFB1222" s="230"/>
    </row>
    <row r="1223" spans="1:27 16379:16382" ht="24" x14ac:dyDescent="0.25">
      <c r="A1223" s="155"/>
      <c r="B1223" s="301">
        <v>1510017</v>
      </c>
      <c r="C1223" s="302" t="s">
        <v>2020</v>
      </c>
      <c r="D1223" s="342" t="s">
        <v>2478</v>
      </c>
      <c r="E1223" s="147" t="s">
        <v>38</v>
      </c>
      <c r="F1223" s="129" t="s">
        <v>2444</v>
      </c>
      <c r="G1223" s="147" t="s">
        <v>1731</v>
      </c>
      <c r="H1223" s="189">
        <f t="shared" si="20"/>
        <v>0</v>
      </c>
      <c r="I1223" s="210" t="s">
        <v>2452</v>
      </c>
      <c r="J1223" s="146">
        <v>0</v>
      </c>
      <c r="K1223" s="147">
        <v>3</v>
      </c>
      <c r="L1223" s="147">
        <v>1</v>
      </c>
      <c r="M1223" s="147">
        <v>4</v>
      </c>
      <c r="N1223" s="275"/>
      <c r="O1223" s="185"/>
      <c r="P1223" s="179"/>
      <c r="Q1223" s="175"/>
      <c r="R1223" s="276">
        <v>0</v>
      </c>
      <c r="S1223" s="164"/>
      <c r="T1223" s="129" t="s">
        <v>2332</v>
      </c>
      <c r="U1223" s="147" t="s">
        <v>37</v>
      </c>
      <c r="V1223" s="129"/>
      <c r="W1223" s="147" t="s">
        <v>2451</v>
      </c>
      <c r="X1223" s="205"/>
      <c r="Y1223" s="251"/>
      <c r="Z1223" s="290"/>
      <c r="AA1223" s="286"/>
      <c r="XEY1223" s="230"/>
      <c r="XEZ1223" s="230"/>
      <c r="XFA1223" s="230"/>
      <c r="XFB1223" s="230"/>
    </row>
    <row r="1224" spans="1:27 16379:16382" ht="36" x14ac:dyDescent="0.25">
      <c r="A1224" s="155"/>
      <c r="B1224" s="129">
        <v>1510018</v>
      </c>
      <c r="C1224" s="127" t="s">
        <v>2020</v>
      </c>
      <c r="D1224" s="136" t="s">
        <v>2498</v>
      </c>
      <c r="E1224" s="147" t="s">
        <v>38</v>
      </c>
      <c r="F1224" s="129" t="s">
        <v>1360</v>
      </c>
      <c r="G1224" s="147" t="s">
        <v>1731</v>
      </c>
      <c r="H1224" s="189">
        <f t="shared" si="20"/>
        <v>6.7500000000000004E-2</v>
      </c>
      <c r="I1224" s="210" t="s">
        <v>2499</v>
      </c>
      <c r="J1224" s="146">
        <v>30</v>
      </c>
      <c r="K1224" s="147">
        <v>4</v>
      </c>
      <c r="L1224" s="147">
        <v>1</v>
      </c>
      <c r="M1224" s="147">
        <v>5</v>
      </c>
      <c r="N1224" s="275">
        <f>16666/25</f>
        <v>666.64</v>
      </c>
      <c r="O1224" s="185"/>
      <c r="P1224" s="179">
        <v>46038</v>
      </c>
      <c r="Q1224" s="175">
        <f>5.4/80</f>
        <v>6.7500000000000004E-2</v>
      </c>
      <c r="R1224" s="271">
        <v>0</v>
      </c>
      <c r="S1224" s="164"/>
      <c r="T1224" s="129" t="s">
        <v>2089</v>
      </c>
      <c r="U1224" s="147" t="s">
        <v>37</v>
      </c>
      <c r="V1224" s="129"/>
      <c r="W1224" s="147" t="s">
        <v>2208</v>
      </c>
      <c r="X1224" s="205" t="s">
        <v>1904</v>
      </c>
      <c r="Y1224" s="251"/>
      <c r="Z1224" s="290"/>
      <c r="AA1224" s="286"/>
      <c r="XEY1224" s="230"/>
      <c r="XEZ1224" s="230"/>
      <c r="XFA1224" s="230"/>
      <c r="XFB1224" s="230"/>
    </row>
    <row r="1225" spans="1:27 16379:16382" ht="36" x14ac:dyDescent="0.25">
      <c r="A1225" s="155"/>
      <c r="B1225" s="129">
        <v>1510019</v>
      </c>
      <c r="C1225" s="127" t="s">
        <v>2020</v>
      </c>
      <c r="D1225" s="136" t="s">
        <v>2594</v>
      </c>
      <c r="E1225" s="147" t="s">
        <v>38</v>
      </c>
      <c r="F1225" s="129" t="s">
        <v>2595</v>
      </c>
      <c r="G1225" s="147" t="s">
        <v>1731</v>
      </c>
      <c r="H1225" s="189">
        <f t="shared" si="20"/>
        <v>3.79</v>
      </c>
      <c r="I1225" s="210" t="s">
        <v>2569</v>
      </c>
      <c r="J1225" s="146">
        <v>0</v>
      </c>
      <c r="K1225" s="147">
        <v>3</v>
      </c>
      <c r="L1225" s="147">
        <v>1</v>
      </c>
      <c r="M1225" s="147">
        <v>4</v>
      </c>
      <c r="N1225" s="275"/>
      <c r="O1225" s="175">
        <v>7.35</v>
      </c>
      <c r="P1225" s="179">
        <v>46076</v>
      </c>
      <c r="Q1225" s="175">
        <v>3.79</v>
      </c>
      <c r="R1225" s="271">
        <v>0</v>
      </c>
      <c r="S1225" s="164"/>
      <c r="T1225" s="129" t="s">
        <v>2332</v>
      </c>
      <c r="U1225" s="147" t="s">
        <v>37</v>
      </c>
      <c r="V1225" s="129"/>
      <c r="W1225" s="147" t="s">
        <v>2208</v>
      </c>
      <c r="X1225" s="205"/>
      <c r="Y1225" s="251"/>
      <c r="Z1225" s="290"/>
      <c r="AA1225" s="286"/>
      <c r="XEY1225" s="230"/>
      <c r="XEZ1225" s="230"/>
      <c r="XFA1225" s="230"/>
      <c r="XFB1225" s="230"/>
    </row>
    <row r="1226" spans="1:27 16379:16382" ht="36" x14ac:dyDescent="0.25">
      <c r="A1226" s="155"/>
      <c r="B1226" s="129">
        <v>1510020</v>
      </c>
      <c r="C1226" s="127" t="s">
        <v>2020</v>
      </c>
      <c r="D1226" s="136" t="s">
        <v>2596</v>
      </c>
      <c r="E1226" s="147" t="s">
        <v>38</v>
      </c>
      <c r="F1226" s="129" t="s">
        <v>2595</v>
      </c>
      <c r="G1226" s="147" t="s">
        <v>1731</v>
      </c>
      <c r="H1226" s="189">
        <f t="shared" si="20"/>
        <v>3.65</v>
      </c>
      <c r="I1226" s="210" t="s">
        <v>2521</v>
      </c>
      <c r="J1226" s="146">
        <v>0</v>
      </c>
      <c r="K1226" s="147">
        <v>3</v>
      </c>
      <c r="L1226" s="147">
        <v>1</v>
      </c>
      <c r="M1226" s="147">
        <v>4</v>
      </c>
      <c r="N1226" s="275"/>
      <c r="O1226" s="185"/>
      <c r="P1226" s="179"/>
      <c r="Q1226" s="175">
        <v>3.65</v>
      </c>
      <c r="R1226" s="271">
        <v>0</v>
      </c>
      <c r="S1226" s="164"/>
      <c r="T1226" s="129" t="s">
        <v>2332</v>
      </c>
      <c r="U1226" s="147" t="s">
        <v>37</v>
      </c>
      <c r="V1226" s="129"/>
      <c r="W1226" s="147" t="s">
        <v>2208</v>
      </c>
      <c r="X1226" s="205"/>
      <c r="Y1226" s="251"/>
      <c r="Z1226" s="290"/>
      <c r="AA1226" s="286"/>
      <c r="XEY1226" s="230"/>
      <c r="XEZ1226" s="230"/>
      <c r="XFA1226" s="230"/>
      <c r="XFB1226" s="230"/>
    </row>
    <row r="1227" spans="1:27 16379:16382" ht="36" x14ac:dyDescent="0.25">
      <c r="A1227" s="155"/>
      <c r="B1227" s="129">
        <v>1510021</v>
      </c>
      <c r="C1227" s="127" t="s">
        <v>2020</v>
      </c>
      <c r="D1227" s="136" t="s">
        <v>2597</v>
      </c>
      <c r="E1227" s="147" t="s">
        <v>38</v>
      </c>
      <c r="F1227" s="129" t="s">
        <v>2595</v>
      </c>
      <c r="G1227" s="147" t="s">
        <v>1731</v>
      </c>
      <c r="H1227" s="189">
        <f t="shared" si="20"/>
        <v>8.35</v>
      </c>
      <c r="I1227" s="210" t="s">
        <v>2570</v>
      </c>
      <c r="J1227" s="146">
        <v>0</v>
      </c>
      <c r="K1227" s="147">
        <v>3</v>
      </c>
      <c r="L1227" s="147">
        <v>1</v>
      </c>
      <c r="M1227" s="147">
        <v>4</v>
      </c>
      <c r="N1227" s="275"/>
      <c r="O1227" s="175">
        <v>7.75</v>
      </c>
      <c r="P1227" s="179">
        <v>46076</v>
      </c>
      <c r="Q1227" s="175">
        <v>8.35</v>
      </c>
      <c r="R1227" s="271">
        <v>0</v>
      </c>
      <c r="S1227" s="164"/>
      <c r="T1227" s="129" t="s">
        <v>2332</v>
      </c>
      <c r="U1227" s="147" t="s">
        <v>37</v>
      </c>
      <c r="V1227" s="129"/>
      <c r="W1227" s="147" t="s">
        <v>2208</v>
      </c>
      <c r="X1227" s="205"/>
      <c r="Y1227" s="251"/>
      <c r="Z1227" s="290"/>
      <c r="AA1227" s="286"/>
      <c r="XEY1227" s="230"/>
      <c r="XEZ1227" s="230"/>
      <c r="XFA1227" s="230"/>
      <c r="XFB1227" s="230"/>
    </row>
    <row r="1228" spans="1:27 16379:16382" ht="36" x14ac:dyDescent="0.25">
      <c r="A1228" s="155"/>
      <c r="B1228" s="129">
        <v>1510022</v>
      </c>
      <c r="C1228" s="127" t="s">
        <v>2020</v>
      </c>
      <c r="D1228" s="136" t="s">
        <v>2598</v>
      </c>
      <c r="E1228" s="147" t="s">
        <v>38</v>
      </c>
      <c r="F1228" s="129" t="s">
        <v>2595</v>
      </c>
      <c r="G1228" s="147" t="s">
        <v>1731</v>
      </c>
      <c r="H1228" s="189">
        <f t="shared" si="20"/>
        <v>10.86</v>
      </c>
      <c r="I1228" s="210" t="s">
        <v>2522</v>
      </c>
      <c r="J1228" s="146">
        <v>0</v>
      </c>
      <c r="K1228" s="147">
        <v>3</v>
      </c>
      <c r="L1228" s="147">
        <v>1</v>
      </c>
      <c r="M1228" s="147">
        <v>4</v>
      </c>
      <c r="N1228" s="275"/>
      <c r="O1228" s="185"/>
      <c r="P1228" s="179"/>
      <c r="Q1228" s="175">
        <v>10.86</v>
      </c>
      <c r="R1228" s="271">
        <v>0</v>
      </c>
      <c r="S1228" s="164"/>
      <c r="T1228" s="129" t="s">
        <v>2332</v>
      </c>
      <c r="U1228" s="147" t="s">
        <v>37</v>
      </c>
      <c r="V1228" s="129"/>
      <c r="W1228" s="147" t="s">
        <v>2208</v>
      </c>
      <c r="X1228" s="205"/>
      <c r="Y1228" s="251"/>
      <c r="Z1228" s="290"/>
      <c r="AA1228" s="286"/>
      <c r="XEY1228" s="230"/>
      <c r="XEZ1228" s="230"/>
      <c r="XFA1228" s="230"/>
      <c r="XFB1228" s="230"/>
    </row>
    <row r="1229" spans="1:27 16379:16382" ht="36" x14ac:dyDescent="0.25">
      <c r="A1229" s="155"/>
      <c r="B1229" s="129">
        <v>1510023</v>
      </c>
      <c r="C1229" s="127" t="s">
        <v>2020</v>
      </c>
      <c r="D1229" s="136" t="s">
        <v>2599</v>
      </c>
      <c r="E1229" s="147" t="s">
        <v>38</v>
      </c>
      <c r="F1229" s="129" t="s">
        <v>2595</v>
      </c>
      <c r="G1229" s="147" t="s">
        <v>1731</v>
      </c>
      <c r="H1229" s="189">
        <f t="shared" si="20"/>
        <v>8.4</v>
      </c>
      <c r="I1229" s="210" t="s">
        <v>2523</v>
      </c>
      <c r="J1229" s="146">
        <v>0</v>
      </c>
      <c r="K1229" s="147">
        <v>3</v>
      </c>
      <c r="L1229" s="147">
        <v>1</v>
      </c>
      <c r="M1229" s="147">
        <v>4</v>
      </c>
      <c r="N1229" s="275"/>
      <c r="O1229" s="185"/>
      <c r="P1229" s="179"/>
      <c r="Q1229" s="175">
        <v>8.4</v>
      </c>
      <c r="R1229" s="271">
        <v>0</v>
      </c>
      <c r="S1229" s="164"/>
      <c r="T1229" s="129" t="s">
        <v>2332</v>
      </c>
      <c r="U1229" s="147" t="s">
        <v>37</v>
      </c>
      <c r="V1229" s="129"/>
      <c r="W1229" s="147" t="s">
        <v>2208</v>
      </c>
      <c r="X1229" s="205"/>
      <c r="Y1229" s="251"/>
      <c r="Z1229" s="290"/>
      <c r="AA1229" s="286"/>
      <c r="XEY1229" s="230"/>
      <c r="XEZ1229" s="230"/>
      <c r="XFA1229" s="230"/>
      <c r="XFB1229" s="230"/>
    </row>
    <row r="1230" spans="1:27 16379:16382" hidden="1" x14ac:dyDescent="0.25">
      <c r="A1230" s="143"/>
      <c r="B1230" s="129">
        <v>1510024</v>
      </c>
      <c r="C1230" s="127" t="s">
        <v>2020</v>
      </c>
      <c r="D1230" s="136" t="s">
        <v>2571</v>
      </c>
      <c r="E1230" s="147" t="s">
        <v>38</v>
      </c>
      <c r="F1230" s="129" t="s">
        <v>1889</v>
      </c>
      <c r="G1230" s="147" t="s">
        <v>1731</v>
      </c>
      <c r="H1230" s="189">
        <f t="shared" si="20"/>
        <v>0</v>
      </c>
      <c r="I1230" s="146"/>
      <c r="J1230" s="146">
        <v>0</v>
      </c>
      <c r="K1230" s="147">
        <v>11</v>
      </c>
      <c r="L1230" s="147">
        <v>1</v>
      </c>
      <c r="M1230" s="147">
        <v>12</v>
      </c>
      <c r="N1230" s="268"/>
      <c r="O1230" s="179"/>
      <c r="P1230" s="173"/>
      <c r="Q1230" s="201"/>
      <c r="R1230" s="269"/>
      <c r="S1230" s="129"/>
      <c r="T1230" s="129" t="s">
        <v>2332</v>
      </c>
      <c r="U1230" s="147" t="s">
        <v>37</v>
      </c>
      <c r="V1230" s="162"/>
      <c r="W1230" s="147" t="s">
        <v>2455</v>
      </c>
      <c r="X1230" s="206"/>
      <c r="Y1230" s="155"/>
      <c r="Z1230" s="230"/>
      <c r="AA1230" s="230"/>
      <c r="XEY1230" s="230"/>
      <c r="XEZ1230" s="230"/>
      <c r="XFA1230" s="230"/>
      <c r="XFB1230" s="143"/>
    </row>
    <row r="1231" spans="1:27 16379:16382" hidden="1" x14ac:dyDescent="0.25">
      <c r="A1231" s="155">
        <v>1</v>
      </c>
      <c r="B1231" s="129">
        <v>1601001</v>
      </c>
      <c r="C1231" s="127" t="s">
        <v>1445</v>
      </c>
      <c r="D1231" s="128" t="s">
        <v>1446</v>
      </c>
      <c r="E1231" s="147" t="s">
        <v>38</v>
      </c>
      <c r="F1231" s="129" t="s">
        <v>1447</v>
      </c>
      <c r="G1231" s="147" t="s">
        <v>34</v>
      </c>
      <c r="H1231" s="189">
        <f t="shared" si="20"/>
        <v>3.4</v>
      </c>
      <c r="I1231" s="134"/>
      <c r="J1231" s="150"/>
      <c r="K1231" s="147"/>
      <c r="L1231" s="147"/>
      <c r="M1231" s="147">
        <v>2</v>
      </c>
      <c r="N1231" s="275">
        <v>55</v>
      </c>
      <c r="O1231" s="194"/>
      <c r="P1231" s="179"/>
      <c r="Q1231" s="173">
        <v>2.8</v>
      </c>
      <c r="R1231" s="271">
        <v>0.6</v>
      </c>
      <c r="S1231" s="164"/>
      <c r="T1231" s="129" t="s">
        <v>1448</v>
      </c>
      <c r="U1231" s="147" t="s">
        <v>37</v>
      </c>
      <c r="V1231" s="129"/>
      <c r="W1231" s="147" t="s">
        <v>2209</v>
      </c>
      <c r="X1231" s="205"/>
      <c r="Y1231" s="251"/>
      <c r="Z1231" s="155"/>
      <c r="AA1231" s="230"/>
      <c r="XEY1231" s="230"/>
      <c r="XEZ1231" s="230"/>
      <c r="XFA1231" s="230"/>
      <c r="XFB1231" s="230"/>
    </row>
    <row r="1232" spans="1:27 16379:16382" hidden="1" x14ac:dyDescent="0.25">
      <c r="A1232" s="155">
        <v>1</v>
      </c>
      <c r="B1232" s="136">
        <v>1601001</v>
      </c>
      <c r="C1232" s="128" t="s">
        <v>956</v>
      </c>
      <c r="D1232" s="128" t="s">
        <v>1452</v>
      </c>
      <c r="E1232" s="147" t="s">
        <v>38</v>
      </c>
      <c r="F1232" s="138" t="s">
        <v>57</v>
      </c>
      <c r="G1232" s="147" t="s">
        <v>1731</v>
      </c>
      <c r="H1232" s="189">
        <f t="shared" si="20"/>
        <v>2.8</v>
      </c>
      <c r="I1232" s="213"/>
      <c r="J1232" s="149"/>
      <c r="K1232" s="147">
        <v>12</v>
      </c>
      <c r="L1232" s="147">
        <v>1</v>
      </c>
      <c r="M1232" s="147">
        <v>13</v>
      </c>
      <c r="N1232" s="275"/>
      <c r="O1232" s="194"/>
      <c r="P1232" s="179"/>
      <c r="Q1232" s="173">
        <v>2.8</v>
      </c>
      <c r="R1232" s="271"/>
      <c r="S1232" s="167"/>
      <c r="T1232" s="138" t="s">
        <v>57</v>
      </c>
      <c r="U1232" s="147" t="s">
        <v>37</v>
      </c>
      <c r="V1232" s="129"/>
      <c r="W1232" s="147" t="s">
        <v>2209</v>
      </c>
      <c r="X1232" s="205"/>
      <c r="Y1232" s="251"/>
      <c r="Z1232" s="155"/>
      <c r="AA1232" s="230"/>
      <c r="XEY1232" s="230"/>
      <c r="XEZ1232" s="230"/>
      <c r="XFA1232" s="230"/>
      <c r="XFB1232" s="230"/>
    </row>
    <row r="1233" spans="1:27 16378:16382" hidden="1" x14ac:dyDescent="0.25">
      <c r="A1233" s="155">
        <v>1</v>
      </c>
      <c r="B1233" s="129">
        <v>1601002</v>
      </c>
      <c r="C1233" s="127" t="s">
        <v>1445</v>
      </c>
      <c r="D1233" s="128" t="s">
        <v>1453</v>
      </c>
      <c r="E1233" s="147" t="s">
        <v>38</v>
      </c>
      <c r="F1233" s="129" t="s">
        <v>1447</v>
      </c>
      <c r="G1233" s="147" t="s">
        <v>34</v>
      </c>
      <c r="H1233" s="189">
        <f t="shared" si="20"/>
        <v>0</v>
      </c>
      <c r="I1233" s="213"/>
      <c r="J1233" s="149"/>
      <c r="K1233" s="147"/>
      <c r="L1233" s="147"/>
      <c r="M1233" s="147">
        <v>2</v>
      </c>
      <c r="N1233" s="275">
        <v>55</v>
      </c>
      <c r="O1233" s="194"/>
      <c r="P1233" s="179"/>
      <c r="Q1233" s="173"/>
      <c r="R1233" s="260">
        <v>0</v>
      </c>
      <c r="S1233" s="164"/>
      <c r="T1233" s="129" t="s">
        <v>1448</v>
      </c>
      <c r="U1233" s="147" t="s">
        <v>37</v>
      </c>
      <c r="V1233" s="129"/>
      <c r="W1233" s="162" t="s">
        <v>54</v>
      </c>
      <c r="X1233" s="205"/>
      <c r="Y1233" s="251"/>
      <c r="Z1233" s="155"/>
      <c r="AA1233" s="230"/>
      <c r="XEY1233" s="230"/>
      <c r="XEZ1233" s="230"/>
      <c r="XFA1233" s="230"/>
      <c r="XFB1233" s="230"/>
    </row>
    <row r="1234" spans="1:27 16378:16382" hidden="1" x14ac:dyDescent="0.25">
      <c r="A1234" s="155">
        <v>1</v>
      </c>
      <c r="B1234" s="136">
        <v>1601003</v>
      </c>
      <c r="C1234" s="127" t="s">
        <v>1445</v>
      </c>
      <c r="D1234" s="128" t="s">
        <v>1454</v>
      </c>
      <c r="E1234" s="147" t="s">
        <v>38</v>
      </c>
      <c r="F1234" s="129" t="s">
        <v>1725</v>
      </c>
      <c r="G1234" s="147" t="s">
        <v>34</v>
      </c>
      <c r="H1234" s="189">
        <f t="shared" si="20"/>
        <v>3.69</v>
      </c>
      <c r="I1234" s="210" t="s">
        <v>2082</v>
      </c>
      <c r="J1234" s="146">
        <v>30</v>
      </c>
      <c r="K1234" s="147">
        <v>1</v>
      </c>
      <c r="L1234" s="147">
        <v>1</v>
      </c>
      <c r="M1234" s="147">
        <v>2</v>
      </c>
      <c r="N1234" s="275">
        <v>55</v>
      </c>
      <c r="O1234" s="193">
        <v>3.7</v>
      </c>
      <c r="P1234" s="179">
        <v>45176</v>
      </c>
      <c r="Q1234" s="173">
        <v>3.64</v>
      </c>
      <c r="R1234" s="271">
        <v>0.05</v>
      </c>
      <c r="S1234" s="164"/>
      <c r="T1234" s="129" t="s">
        <v>1448</v>
      </c>
      <c r="U1234" s="147" t="s">
        <v>37</v>
      </c>
      <c r="V1234" s="129"/>
      <c r="W1234" s="147" t="s">
        <v>2209</v>
      </c>
      <c r="X1234" s="205" t="s">
        <v>1009</v>
      </c>
      <c r="Y1234" s="251"/>
      <c r="Z1234" s="155"/>
      <c r="AA1234" s="230"/>
      <c r="XEY1234" s="230"/>
      <c r="XEZ1234" s="230"/>
      <c r="XFA1234" s="230"/>
      <c r="XFB1234" s="230"/>
    </row>
    <row r="1235" spans="1:27 16378:16382" hidden="1" x14ac:dyDescent="0.25">
      <c r="A1235" s="155"/>
      <c r="B1235" s="156">
        <v>1601004</v>
      </c>
      <c r="C1235" s="127" t="s">
        <v>1445</v>
      </c>
      <c r="D1235" s="128" t="s">
        <v>1751</v>
      </c>
      <c r="E1235" s="147" t="s">
        <v>38</v>
      </c>
      <c r="F1235" s="129" t="s">
        <v>1752</v>
      </c>
      <c r="G1235" s="147" t="s">
        <v>607</v>
      </c>
      <c r="H1235" s="189">
        <f t="shared" si="20"/>
        <v>8.5</v>
      </c>
      <c r="I1235" s="210" t="s">
        <v>2082</v>
      </c>
      <c r="J1235" s="146">
        <v>30</v>
      </c>
      <c r="K1235" s="147"/>
      <c r="L1235" s="147"/>
      <c r="M1235" s="147">
        <v>2</v>
      </c>
      <c r="N1235" s="275">
        <v>100</v>
      </c>
      <c r="O1235" s="194"/>
      <c r="P1235" s="179">
        <v>45329</v>
      </c>
      <c r="Q1235" s="173">
        <v>8</v>
      </c>
      <c r="R1235" s="271">
        <v>0.5</v>
      </c>
      <c r="S1235" s="164"/>
      <c r="T1235" s="129" t="s">
        <v>1448</v>
      </c>
      <c r="U1235" s="147" t="s">
        <v>37</v>
      </c>
      <c r="V1235" s="129"/>
      <c r="W1235" s="147" t="s">
        <v>2209</v>
      </c>
      <c r="X1235" s="205" t="s">
        <v>1965</v>
      </c>
      <c r="Y1235" s="251"/>
      <c r="Z1235" s="155"/>
      <c r="AA1235" s="230"/>
      <c r="XEY1235" s="230"/>
      <c r="XEZ1235" s="230"/>
      <c r="XFA1235" s="230"/>
      <c r="XFB1235" s="230"/>
    </row>
    <row r="1236" spans="1:27 16378:16382" ht="36" x14ac:dyDescent="0.25">
      <c r="A1236" s="155"/>
      <c r="B1236" s="136">
        <v>1601005</v>
      </c>
      <c r="C1236" s="128" t="s">
        <v>1445</v>
      </c>
      <c r="D1236" s="128" t="s">
        <v>1986</v>
      </c>
      <c r="E1236" s="147" t="s">
        <v>38</v>
      </c>
      <c r="F1236" s="129" t="s">
        <v>1859</v>
      </c>
      <c r="G1236" s="147" t="s">
        <v>34</v>
      </c>
      <c r="H1236" s="189">
        <f t="shared" si="20"/>
        <v>5.8500000000000005</v>
      </c>
      <c r="I1236" s="210" t="s">
        <v>2229</v>
      </c>
      <c r="J1236" s="146">
        <v>30</v>
      </c>
      <c r="K1236" s="147">
        <v>6</v>
      </c>
      <c r="L1236" s="147">
        <v>1</v>
      </c>
      <c r="M1236" s="147">
        <v>7</v>
      </c>
      <c r="N1236" s="275">
        <v>250</v>
      </c>
      <c r="O1236" s="193"/>
      <c r="P1236" s="179"/>
      <c r="Q1236" s="173">
        <v>4.6500000000000004</v>
      </c>
      <c r="R1236" s="271">
        <f>300/N1236</f>
        <v>1.2</v>
      </c>
      <c r="S1236" s="147"/>
      <c r="T1236" s="129" t="s">
        <v>1448</v>
      </c>
      <c r="U1236" s="147" t="s">
        <v>37</v>
      </c>
      <c r="V1236" s="129"/>
      <c r="W1236" s="147" t="s">
        <v>2208</v>
      </c>
      <c r="X1236" s="205" t="s">
        <v>1987</v>
      </c>
      <c r="Y1236" s="251"/>
      <c r="Z1236" s="290"/>
      <c r="AA1236" s="286"/>
      <c r="XEY1236" s="230"/>
      <c r="XEZ1236" s="230"/>
      <c r="XFA1236" s="230"/>
      <c r="XFB1236" s="230"/>
    </row>
    <row r="1237" spans="1:27 16378:16382" ht="36" x14ac:dyDescent="0.25">
      <c r="A1237" s="155"/>
      <c r="B1237" s="158">
        <v>1601006</v>
      </c>
      <c r="C1237" s="128" t="s">
        <v>1445</v>
      </c>
      <c r="D1237" s="128" t="s">
        <v>2069</v>
      </c>
      <c r="E1237" s="147" t="s">
        <v>38</v>
      </c>
      <c r="F1237" s="129" t="s">
        <v>1859</v>
      </c>
      <c r="G1237" s="147" t="s">
        <v>34</v>
      </c>
      <c r="H1237" s="189">
        <f t="shared" si="20"/>
        <v>3.1999999999999997</v>
      </c>
      <c r="I1237" s="210" t="s">
        <v>2229</v>
      </c>
      <c r="J1237" s="146">
        <v>30</v>
      </c>
      <c r="K1237" s="147">
        <v>5</v>
      </c>
      <c r="L1237" s="147">
        <v>1</v>
      </c>
      <c r="M1237" s="147">
        <v>6</v>
      </c>
      <c r="N1237" s="275">
        <v>1000</v>
      </c>
      <c r="O1237" s="173">
        <v>2.7</v>
      </c>
      <c r="P1237" s="179">
        <v>46178</v>
      </c>
      <c r="Q1237" s="173">
        <v>2.9</v>
      </c>
      <c r="R1237" s="271">
        <f>300/N1237</f>
        <v>0.3</v>
      </c>
      <c r="S1237" s="147"/>
      <c r="T1237" s="129" t="s">
        <v>1448</v>
      </c>
      <c r="U1237" s="147" t="s">
        <v>37</v>
      </c>
      <c r="V1237" s="129"/>
      <c r="W1237" s="147" t="s">
        <v>2208</v>
      </c>
      <c r="X1237" s="205" t="s">
        <v>1987</v>
      </c>
      <c r="Y1237" s="251"/>
      <c r="Z1237" s="290"/>
      <c r="AA1237" s="286"/>
      <c r="XEX1237" s="230"/>
      <c r="XEY1237" s="230"/>
      <c r="XEZ1237" s="230"/>
      <c r="XFA1237" s="230"/>
      <c r="XFB1237" s="230"/>
    </row>
    <row r="1238" spans="1:27 16378:16382" hidden="1" x14ac:dyDescent="0.25">
      <c r="A1238" s="155">
        <v>1</v>
      </c>
      <c r="B1238" s="136">
        <v>1701001</v>
      </c>
      <c r="C1238" s="128" t="s">
        <v>956</v>
      </c>
      <c r="D1238" s="136" t="s">
        <v>1456</v>
      </c>
      <c r="E1238" s="147" t="s">
        <v>38</v>
      </c>
      <c r="F1238" s="129" t="s">
        <v>1457</v>
      </c>
      <c r="G1238" s="147" t="s">
        <v>1731</v>
      </c>
      <c r="H1238" s="189">
        <f t="shared" si="20"/>
        <v>0</v>
      </c>
      <c r="I1238" s="213"/>
      <c r="J1238" s="149"/>
      <c r="K1238" s="147">
        <v>11</v>
      </c>
      <c r="L1238" s="147">
        <v>1</v>
      </c>
      <c r="M1238" s="147">
        <v>12</v>
      </c>
      <c r="N1238" s="275"/>
      <c r="O1238" s="194"/>
      <c r="P1238" s="179"/>
      <c r="Q1238" s="173"/>
      <c r="R1238" s="260">
        <v>0</v>
      </c>
      <c r="S1238" s="167"/>
      <c r="T1238" s="129" t="s">
        <v>1457</v>
      </c>
      <c r="U1238" s="147" t="s">
        <v>37</v>
      </c>
      <c r="V1238" s="129"/>
      <c r="W1238" s="162" t="s">
        <v>2519</v>
      </c>
      <c r="X1238" s="205"/>
      <c r="Y1238" s="251"/>
      <c r="Z1238" s="155"/>
      <c r="AA1238" s="230"/>
      <c r="XEX1238" s="230"/>
      <c r="XEY1238" s="230"/>
      <c r="XEZ1238" s="230"/>
      <c r="XFA1238" s="230"/>
      <c r="XFB1238" s="230"/>
    </row>
    <row r="1239" spans="1:27 16378:16382" hidden="1" x14ac:dyDescent="0.25">
      <c r="A1239" s="155">
        <v>1</v>
      </c>
      <c r="B1239" s="136">
        <v>1701002</v>
      </c>
      <c r="C1239" s="128" t="s">
        <v>956</v>
      </c>
      <c r="D1239" s="136" t="s">
        <v>1458</v>
      </c>
      <c r="E1239" s="147" t="s">
        <v>38</v>
      </c>
      <c r="F1239" s="129" t="s">
        <v>1457</v>
      </c>
      <c r="G1239" s="147" t="s">
        <v>1731</v>
      </c>
      <c r="H1239" s="189">
        <f t="shared" si="20"/>
        <v>0</v>
      </c>
      <c r="I1239" s="213"/>
      <c r="J1239" s="149"/>
      <c r="K1239" s="147">
        <v>11</v>
      </c>
      <c r="L1239" s="147">
        <v>1</v>
      </c>
      <c r="M1239" s="147">
        <v>12</v>
      </c>
      <c r="N1239" s="275"/>
      <c r="O1239" s="194"/>
      <c r="P1239" s="179"/>
      <c r="Q1239" s="173"/>
      <c r="R1239" s="260">
        <v>0</v>
      </c>
      <c r="S1239" s="167"/>
      <c r="T1239" s="129" t="s">
        <v>1457</v>
      </c>
      <c r="U1239" s="147" t="s">
        <v>37</v>
      </c>
      <c r="V1239" s="129"/>
      <c r="W1239" s="162" t="s">
        <v>2519</v>
      </c>
      <c r="X1239" s="205"/>
      <c r="Y1239" s="251"/>
      <c r="Z1239" s="155"/>
      <c r="AA1239" s="230"/>
      <c r="XEX1239" s="230"/>
      <c r="XEY1239" s="230"/>
      <c r="XEZ1239" s="230"/>
      <c r="XFA1239" s="230"/>
      <c r="XFB1239" s="230"/>
    </row>
    <row r="1240" spans="1:27 16378:16382" hidden="1" x14ac:dyDescent="0.25">
      <c r="A1240" s="155">
        <v>1</v>
      </c>
      <c r="B1240" s="136">
        <v>1701003</v>
      </c>
      <c r="C1240" s="128" t="s">
        <v>956</v>
      </c>
      <c r="D1240" s="136" t="s">
        <v>1459</v>
      </c>
      <c r="E1240" s="147" t="s">
        <v>38</v>
      </c>
      <c r="F1240" s="129" t="s">
        <v>1457</v>
      </c>
      <c r="G1240" s="147" t="s">
        <v>1731</v>
      </c>
      <c r="H1240" s="189">
        <f t="shared" si="20"/>
        <v>0</v>
      </c>
      <c r="I1240" s="213"/>
      <c r="J1240" s="149"/>
      <c r="K1240" s="147">
        <v>11</v>
      </c>
      <c r="L1240" s="147">
        <v>1</v>
      </c>
      <c r="M1240" s="147">
        <v>12</v>
      </c>
      <c r="N1240" s="275"/>
      <c r="O1240" s="194"/>
      <c r="P1240" s="179"/>
      <c r="Q1240" s="173"/>
      <c r="R1240" s="260">
        <v>0</v>
      </c>
      <c r="S1240" s="167"/>
      <c r="T1240" s="129" t="s">
        <v>1457</v>
      </c>
      <c r="U1240" s="147" t="s">
        <v>37</v>
      </c>
      <c r="V1240" s="129"/>
      <c r="W1240" s="162" t="s">
        <v>2519</v>
      </c>
      <c r="X1240" s="205"/>
      <c r="Y1240" s="251"/>
      <c r="Z1240" s="155"/>
      <c r="AA1240" s="230"/>
      <c r="XFB1240" s="230"/>
    </row>
    <row r="1241" spans="1:27 16378:16382" hidden="1" x14ac:dyDescent="0.25">
      <c r="A1241" s="155">
        <v>1</v>
      </c>
      <c r="B1241" s="136">
        <v>1701004</v>
      </c>
      <c r="C1241" s="128" t="s">
        <v>956</v>
      </c>
      <c r="D1241" s="136" t="s">
        <v>1460</v>
      </c>
      <c r="E1241" s="147" t="s">
        <v>38</v>
      </c>
      <c r="F1241" s="129" t="s">
        <v>1457</v>
      </c>
      <c r="G1241" s="147" t="s">
        <v>1731</v>
      </c>
      <c r="H1241" s="189">
        <f t="shared" si="20"/>
        <v>0</v>
      </c>
      <c r="I1241" s="213"/>
      <c r="J1241" s="149"/>
      <c r="K1241" s="147">
        <v>11</v>
      </c>
      <c r="L1241" s="147">
        <v>1</v>
      </c>
      <c r="M1241" s="147">
        <v>12</v>
      </c>
      <c r="N1241" s="275"/>
      <c r="O1241" s="194"/>
      <c r="P1241" s="179"/>
      <c r="Q1241" s="173"/>
      <c r="R1241" s="260">
        <v>0</v>
      </c>
      <c r="S1241" s="167"/>
      <c r="T1241" s="129" t="s">
        <v>1457</v>
      </c>
      <c r="U1241" s="147" t="s">
        <v>37</v>
      </c>
      <c r="V1241" s="129"/>
      <c r="W1241" s="162" t="s">
        <v>2519</v>
      </c>
      <c r="X1241" s="205"/>
      <c r="Y1241" s="251"/>
      <c r="Z1241" s="155"/>
      <c r="AA1241" s="230"/>
      <c r="XFA1241" s="230"/>
      <c r="XFB1241" s="230"/>
    </row>
    <row r="1242" spans="1:27 16378:16382" hidden="1" x14ac:dyDescent="0.25">
      <c r="A1242" s="155">
        <v>1</v>
      </c>
      <c r="B1242" s="136">
        <v>1701005</v>
      </c>
      <c r="C1242" s="128" t="s">
        <v>956</v>
      </c>
      <c r="D1242" s="143" t="s">
        <v>1461</v>
      </c>
      <c r="E1242" s="147" t="s">
        <v>38</v>
      </c>
      <c r="F1242" s="129" t="s">
        <v>1457</v>
      </c>
      <c r="G1242" s="147" t="s">
        <v>1731</v>
      </c>
      <c r="H1242" s="189">
        <f t="shared" si="20"/>
        <v>0</v>
      </c>
      <c r="I1242" s="213"/>
      <c r="J1242" s="149"/>
      <c r="K1242" s="147">
        <v>11</v>
      </c>
      <c r="L1242" s="147">
        <v>1</v>
      </c>
      <c r="M1242" s="147">
        <v>12</v>
      </c>
      <c r="N1242" s="275"/>
      <c r="O1242" s="194"/>
      <c r="P1242" s="179"/>
      <c r="Q1242" s="173"/>
      <c r="R1242" s="260">
        <v>0</v>
      </c>
      <c r="S1242" s="167"/>
      <c r="T1242" s="129" t="s">
        <v>1457</v>
      </c>
      <c r="U1242" s="147" t="s">
        <v>37</v>
      </c>
      <c r="V1242" s="129"/>
      <c r="W1242" s="162" t="s">
        <v>2519</v>
      </c>
      <c r="X1242" s="205"/>
      <c r="Y1242" s="251"/>
      <c r="Z1242" s="155"/>
      <c r="AA1242" s="230"/>
      <c r="XFB1242" s="230"/>
    </row>
    <row r="1243" spans="1:27 16378:16382" hidden="1" x14ac:dyDescent="0.25">
      <c r="A1243" s="155">
        <v>1</v>
      </c>
      <c r="B1243" s="136">
        <v>1701006</v>
      </c>
      <c r="C1243" s="128" t="s">
        <v>956</v>
      </c>
      <c r="D1243" s="143" t="s">
        <v>1462</v>
      </c>
      <c r="E1243" s="147" t="s">
        <v>38</v>
      </c>
      <c r="F1243" s="129" t="s">
        <v>1457</v>
      </c>
      <c r="G1243" s="147" t="s">
        <v>1731</v>
      </c>
      <c r="H1243" s="189">
        <f t="shared" si="20"/>
        <v>0</v>
      </c>
      <c r="I1243" s="213"/>
      <c r="J1243" s="149"/>
      <c r="K1243" s="147">
        <v>11</v>
      </c>
      <c r="L1243" s="147">
        <v>1</v>
      </c>
      <c r="M1243" s="147">
        <v>12</v>
      </c>
      <c r="N1243" s="275"/>
      <c r="O1243" s="194"/>
      <c r="P1243" s="179"/>
      <c r="Q1243" s="173"/>
      <c r="R1243" s="260">
        <v>0</v>
      </c>
      <c r="S1243" s="167"/>
      <c r="T1243" s="129" t="s">
        <v>1457</v>
      </c>
      <c r="U1243" s="147" t="s">
        <v>37</v>
      </c>
      <c r="V1243" s="129"/>
      <c r="W1243" s="162" t="s">
        <v>2519</v>
      </c>
      <c r="X1243" s="205"/>
      <c r="Y1243" s="251"/>
      <c r="Z1243" s="155"/>
      <c r="AA1243" s="230"/>
      <c r="XFB1243" s="230"/>
    </row>
    <row r="1244" spans="1:27 16378:16382" hidden="1" x14ac:dyDescent="0.25">
      <c r="A1244" s="155">
        <v>1</v>
      </c>
      <c r="B1244" s="136">
        <v>1701007</v>
      </c>
      <c r="C1244" s="128" t="s">
        <v>956</v>
      </c>
      <c r="D1244" s="143" t="s">
        <v>1463</v>
      </c>
      <c r="E1244" s="147" t="s">
        <v>38</v>
      </c>
      <c r="F1244" s="129" t="s">
        <v>1457</v>
      </c>
      <c r="G1244" s="147" t="s">
        <v>1731</v>
      </c>
      <c r="H1244" s="189">
        <f t="shared" si="20"/>
        <v>0</v>
      </c>
      <c r="I1244" s="213"/>
      <c r="J1244" s="149"/>
      <c r="K1244" s="147">
        <v>11</v>
      </c>
      <c r="L1244" s="147">
        <v>1</v>
      </c>
      <c r="M1244" s="147">
        <v>12</v>
      </c>
      <c r="N1244" s="275"/>
      <c r="O1244" s="194"/>
      <c r="P1244" s="179"/>
      <c r="Q1244" s="173"/>
      <c r="R1244" s="260">
        <v>0</v>
      </c>
      <c r="S1244" s="167"/>
      <c r="T1244" s="129" t="s">
        <v>1457</v>
      </c>
      <c r="U1244" s="147" t="s">
        <v>37</v>
      </c>
      <c r="V1244" s="129"/>
      <c r="W1244" s="162" t="s">
        <v>2519</v>
      </c>
      <c r="X1244" s="205"/>
      <c r="Y1244" s="251"/>
      <c r="Z1244" s="155"/>
      <c r="AA1244" s="230"/>
      <c r="XFB1244" s="230"/>
    </row>
    <row r="1245" spans="1:27 16378:16382" hidden="1" x14ac:dyDescent="0.25">
      <c r="A1245" s="155">
        <v>1</v>
      </c>
      <c r="B1245" s="136">
        <v>1701008</v>
      </c>
      <c r="C1245" s="128" t="s">
        <v>956</v>
      </c>
      <c r="D1245" s="143" t="s">
        <v>1464</v>
      </c>
      <c r="E1245" s="147" t="s">
        <v>38</v>
      </c>
      <c r="F1245" s="129" t="s">
        <v>1457</v>
      </c>
      <c r="G1245" s="147" t="s">
        <v>1731</v>
      </c>
      <c r="H1245" s="189">
        <f t="shared" si="20"/>
        <v>0</v>
      </c>
      <c r="I1245" s="213"/>
      <c r="J1245" s="149"/>
      <c r="K1245" s="147">
        <v>11</v>
      </c>
      <c r="L1245" s="147">
        <v>1</v>
      </c>
      <c r="M1245" s="147">
        <v>12</v>
      </c>
      <c r="N1245" s="275"/>
      <c r="O1245" s="194"/>
      <c r="P1245" s="179"/>
      <c r="Q1245" s="173"/>
      <c r="R1245" s="260">
        <v>0</v>
      </c>
      <c r="S1245" s="167"/>
      <c r="T1245" s="129" t="s">
        <v>1457</v>
      </c>
      <c r="U1245" s="147" t="s">
        <v>37</v>
      </c>
      <c r="V1245" s="129"/>
      <c r="W1245" s="162" t="s">
        <v>2519</v>
      </c>
      <c r="X1245" s="205"/>
      <c r="Y1245" s="251"/>
      <c r="Z1245" s="155"/>
      <c r="AA1245" s="230"/>
      <c r="XFB1245" s="230"/>
    </row>
    <row r="1246" spans="1:27 16378:16382" hidden="1" x14ac:dyDescent="0.25">
      <c r="A1246" s="155">
        <v>1</v>
      </c>
      <c r="B1246" s="136">
        <v>1702001</v>
      </c>
      <c r="C1246" s="128" t="s">
        <v>956</v>
      </c>
      <c r="D1246" s="136" t="s">
        <v>1465</v>
      </c>
      <c r="E1246" s="147" t="s">
        <v>38</v>
      </c>
      <c r="F1246" s="129" t="s">
        <v>1457</v>
      </c>
      <c r="G1246" s="147" t="s">
        <v>1731</v>
      </c>
      <c r="H1246" s="189">
        <f t="shared" si="20"/>
        <v>0</v>
      </c>
      <c r="I1246" s="213"/>
      <c r="J1246" s="149"/>
      <c r="K1246" s="147">
        <v>11</v>
      </c>
      <c r="L1246" s="147">
        <v>1</v>
      </c>
      <c r="M1246" s="147">
        <v>12</v>
      </c>
      <c r="N1246" s="275"/>
      <c r="O1246" s="194"/>
      <c r="P1246" s="179"/>
      <c r="Q1246" s="173"/>
      <c r="R1246" s="260">
        <v>0</v>
      </c>
      <c r="S1246" s="167"/>
      <c r="T1246" s="129" t="s">
        <v>1457</v>
      </c>
      <c r="U1246" s="147" t="s">
        <v>37</v>
      </c>
      <c r="V1246" s="129"/>
      <c r="W1246" s="162" t="s">
        <v>2519</v>
      </c>
      <c r="X1246" s="205"/>
      <c r="Y1246" s="251"/>
      <c r="Z1246" s="155"/>
      <c r="AA1246" s="230"/>
      <c r="XFB1246" s="230"/>
    </row>
    <row r="1247" spans="1:27 16378:16382" hidden="1" x14ac:dyDescent="0.25">
      <c r="A1247" s="155">
        <v>1</v>
      </c>
      <c r="B1247" s="136">
        <v>1702002</v>
      </c>
      <c r="C1247" s="128" t="s">
        <v>956</v>
      </c>
      <c r="D1247" s="136" t="s">
        <v>1466</v>
      </c>
      <c r="E1247" s="147" t="s">
        <v>38</v>
      </c>
      <c r="F1247" s="129" t="s">
        <v>1457</v>
      </c>
      <c r="G1247" s="147" t="s">
        <v>1731</v>
      </c>
      <c r="H1247" s="189">
        <f t="shared" si="20"/>
        <v>0</v>
      </c>
      <c r="I1247" s="213"/>
      <c r="J1247" s="149"/>
      <c r="K1247" s="147">
        <v>11</v>
      </c>
      <c r="L1247" s="147">
        <v>1</v>
      </c>
      <c r="M1247" s="147">
        <v>12</v>
      </c>
      <c r="N1247" s="275"/>
      <c r="O1247" s="194"/>
      <c r="P1247" s="179"/>
      <c r="Q1247" s="173"/>
      <c r="R1247" s="260">
        <v>0</v>
      </c>
      <c r="S1247" s="167"/>
      <c r="T1247" s="129" t="s">
        <v>1457</v>
      </c>
      <c r="U1247" s="147" t="s">
        <v>37</v>
      </c>
      <c r="V1247" s="129"/>
      <c r="W1247" s="162" t="s">
        <v>2519</v>
      </c>
      <c r="X1247" s="205"/>
      <c r="Y1247" s="251"/>
      <c r="Z1247" s="155"/>
      <c r="AA1247" s="230"/>
      <c r="XEZ1247" s="230"/>
      <c r="XFA1247" s="230"/>
      <c r="XFB1247" s="230"/>
    </row>
    <row r="1248" spans="1:27 16378:16382" hidden="1" x14ac:dyDescent="0.25">
      <c r="A1248" s="155">
        <v>1</v>
      </c>
      <c r="B1248" s="136">
        <v>1702003</v>
      </c>
      <c r="C1248" s="128" t="s">
        <v>956</v>
      </c>
      <c r="D1248" s="136" t="s">
        <v>1467</v>
      </c>
      <c r="E1248" s="147" t="s">
        <v>38</v>
      </c>
      <c r="F1248" s="129" t="s">
        <v>1457</v>
      </c>
      <c r="G1248" s="147" t="s">
        <v>1731</v>
      </c>
      <c r="H1248" s="189">
        <f t="shared" si="20"/>
        <v>0</v>
      </c>
      <c r="I1248" s="213"/>
      <c r="J1248" s="149"/>
      <c r="K1248" s="147">
        <v>11</v>
      </c>
      <c r="L1248" s="147">
        <v>1</v>
      </c>
      <c r="M1248" s="147">
        <v>12</v>
      </c>
      <c r="N1248" s="275"/>
      <c r="O1248" s="194"/>
      <c r="P1248" s="179"/>
      <c r="Q1248" s="173"/>
      <c r="R1248" s="260">
        <v>0</v>
      </c>
      <c r="S1248" s="167"/>
      <c r="T1248" s="129" t="s">
        <v>1457</v>
      </c>
      <c r="U1248" s="147" t="s">
        <v>37</v>
      </c>
      <c r="V1248" s="129"/>
      <c r="W1248" s="162" t="s">
        <v>2519</v>
      </c>
      <c r="X1248" s="205"/>
      <c r="Y1248" s="251"/>
      <c r="Z1248" s="155"/>
      <c r="AA1248" s="230"/>
      <c r="XEZ1248" s="230"/>
      <c r="XFA1248" s="230"/>
      <c r="XFB1248" s="230"/>
    </row>
    <row r="1249" spans="1:27 16379:16382" hidden="1" x14ac:dyDescent="0.25">
      <c r="A1249" s="155">
        <v>1</v>
      </c>
      <c r="B1249" s="136">
        <v>1702004</v>
      </c>
      <c r="C1249" s="128" t="s">
        <v>956</v>
      </c>
      <c r="D1249" s="136" t="s">
        <v>1468</v>
      </c>
      <c r="E1249" s="147" t="s">
        <v>38</v>
      </c>
      <c r="F1249" s="129" t="s">
        <v>1457</v>
      </c>
      <c r="G1249" s="147" t="s">
        <v>1731</v>
      </c>
      <c r="H1249" s="189">
        <f t="shared" si="20"/>
        <v>0</v>
      </c>
      <c r="I1249" s="213"/>
      <c r="J1249" s="149"/>
      <c r="K1249" s="147">
        <v>11</v>
      </c>
      <c r="L1249" s="147">
        <v>1</v>
      </c>
      <c r="M1249" s="147">
        <v>12</v>
      </c>
      <c r="N1249" s="275"/>
      <c r="O1249" s="194"/>
      <c r="P1249" s="179"/>
      <c r="Q1249" s="173"/>
      <c r="R1249" s="260">
        <v>0</v>
      </c>
      <c r="S1249" s="167"/>
      <c r="T1249" s="129" t="s">
        <v>1457</v>
      </c>
      <c r="U1249" s="147" t="s">
        <v>37</v>
      </c>
      <c r="V1249" s="129"/>
      <c r="W1249" s="162" t="s">
        <v>2519</v>
      </c>
      <c r="X1249" s="205"/>
      <c r="Y1249" s="251"/>
      <c r="Z1249" s="155"/>
      <c r="AA1249" s="230"/>
      <c r="XEZ1249" s="230"/>
      <c r="XFA1249" s="230"/>
      <c r="XFB1249" s="230"/>
    </row>
    <row r="1250" spans="1:27 16379:16382" hidden="1" x14ac:dyDescent="0.25">
      <c r="A1250" s="155">
        <v>1</v>
      </c>
      <c r="B1250" s="136">
        <v>1702005</v>
      </c>
      <c r="C1250" s="128" t="s">
        <v>956</v>
      </c>
      <c r="D1250" s="136" t="s">
        <v>1469</v>
      </c>
      <c r="E1250" s="147" t="s">
        <v>38</v>
      </c>
      <c r="F1250" s="129" t="s">
        <v>1457</v>
      </c>
      <c r="G1250" s="147" t="s">
        <v>1731</v>
      </c>
      <c r="H1250" s="189">
        <f t="shared" si="20"/>
        <v>0</v>
      </c>
      <c r="I1250" s="213"/>
      <c r="J1250" s="149"/>
      <c r="K1250" s="147">
        <v>11</v>
      </c>
      <c r="L1250" s="147">
        <v>1</v>
      </c>
      <c r="M1250" s="147">
        <v>12</v>
      </c>
      <c r="N1250" s="275"/>
      <c r="O1250" s="194"/>
      <c r="P1250" s="179"/>
      <c r="Q1250" s="173"/>
      <c r="R1250" s="260">
        <v>0</v>
      </c>
      <c r="S1250" s="167"/>
      <c r="T1250" s="129" t="s">
        <v>1457</v>
      </c>
      <c r="U1250" s="147" t="s">
        <v>37</v>
      </c>
      <c r="V1250" s="129"/>
      <c r="W1250" s="162" t="s">
        <v>2519</v>
      </c>
      <c r="X1250" s="205"/>
      <c r="Y1250" s="251"/>
      <c r="Z1250" s="155"/>
      <c r="AA1250" s="230"/>
      <c r="XEY1250" s="230"/>
      <c r="XEZ1250" s="230"/>
      <c r="XFA1250" s="230"/>
      <c r="XFB1250" s="230"/>
    </row>
    <row r="1251" spans="1:27 16379:16382" hidden="1" x14ac:dyDescent="0.25">
      <c r="A1251" s="155">
        <v>1</v>
      </c>
      <c r="B1251" s="136">
        <v>1702006</v>
      </c>
      <c r="C1251" s="128" t="s">
        <v>956</v>
      </c>
      <c r="D1251" s="136" t="s">
        <v>1470</v>
      </c>
      <c r="E1251" s="147" t="s">
        <v>38</v>
      </c>
      <c r="F1251" s="129" t="s">
        <v>1457</v>
      </c>
      <c r="G1251" s="147" t="s">
        <v>1731</v>
      </c>
      <c r="H1251" s="189">
        <f t="shared" si="20"/>
        <v>0</v>
      </c>
      <c r="I1251" s="213"/>
      <c r="J1251" s="149"/>
      <c r="K1251" s="147">
        <v>11</v>
      </c>
      <c r="L1251" s="147">
        <v>1</v>
      </c>
      <c r="M1251" s="147">
        <v>12</v>
      </c>
      <c r="N1251" s="275"/>
      <c r="O1251" s="194"/>
      <c r="P1251" s="179"/>
      <c r="Q1251" s="173"/>
      <c r="R1251" s="260">
        <v>0</v>
      </c>
      <c r="S1251" s="167"/>
      <c r="T1251" s="129" t="s">
        <v>1457</v>
      </c>
      <c r="U1251" s="147" t="s">
        <v>37</v>
      </c>
      <c r="V1251" s="129"/>
      <c r="W1251" s="162" t="s">
        <v>2519</v>
      </c>
      <c r="X1251" s="205"/>
      <c r="Y1251" s="251"/>
      <c r="Z1251" s="155"/>
      <c r="AA1251" s="230"/>
      <c r="XEY1251" s="230"/>
      <c r="XEZ1251" s="230"/>
      <c r="XFA1251" s="230"/>
      <c r="XFB1251" s="230"/>
    </row>
    <row r="1252" spans="1:27 16379:16382" hidden="1" x14ac:dyDescent="0.25">
      <c r="A1252" s="155">
        <v>1</v>
      </c>
      <c r="B1252" s="136">
        <v>1702007</v>
      </c>
      <c r="C1252" s="128" t="s">
        <v>956</v>
      </c>
      <c r="D1252" s="136" t="s">
        <v>1471</v>
      </c>
      <c r="E1252" s="147" t="s">
        <v>38</v>
      </c>
      <c r="F1252" s="129" t="s">
        <v>1457</v>
      </c>
      <c r="G1252" s="147" t="s">
        <v>1731</v>
      </c>
      <c r="H1252" s="189">
        <f t="shared" si="20"/>
        <v>0</v>
      </c>
      <c r="I1252" s="213"/>
      <c r="J1252" s="149"/>
      <c r="K1252" s="147">
        <v>11</v>
      </c>
      <c r="L1252" s="147">
        <v>1</v>
      </c>
      <c r="M1252" s="147">
        <v>12</v>
      </c>
      <c r="N1252" s="275"/>
      <c r="O1252" s="194"/>
      <c r="P1252" s="179"/>
      <c r="Q1252" s="173"/>
      <c r="R1252" s="260">
        <v>0</v>
      </c>
      <c r="S1252" s="167"/>
      <c r="T1252" s="129" t="s">
        <v>1457</v>
      </c>
      <c r="U1252" s="147" t="s">
        <v>37</v>
      </c>
      <c r="V1252" s="129"/>
      <c r="W1252" s="162" t="s">
        <v>2519</v>
      </c>
      <c r="X1252" s="205"/>
      <c r="Y1252" s="251"/>
      <c r="Z1252" s="155"/>
      <c r="AA1252" s="230"/>
      <c r="XEY1252" s="230"/>
      <c r="XEZ1252" s="230"/>
      <c r="XFA1252" s="230"/>
      <c r="XFB1252" s="230"/>
    </row>
    <row r="1253" spans="1:27 16379:16382" hidden="1" x14ac:dyDescent="0.25">
      <c r="A1253" s="155">
        <v>1</v>
      </c>
      <c r="B1253" s="136">
        <v>1702008</v>
      </c>
      <c r="C1253" s="128" t="s">
        <v>956</v>
      </c>
      <c r="D1253" s="136" t="s">
        <v>1472</v>
      </c>
      <c r="E1253" s="147" t="s">
        <v>38</v>
      </c>
      <c r="F1253" s="129" t="s">
        <v>1457</v>
      </c>
      <c r="G1253" s="147" t="s">
        <v>1731</v>
      </c>
      <c r="H1253" s="189">
        <f t="shared" si="20"/>
        <v>0</v>
      </c>
      <c r="I1253" s="213"/>
      <c r="J1253" s="149"/>
      <c r="K1253" s="147">
        <v>11</v>
      </c>
      <c r="L1253" s="147">
        <v>1</v>
      </c>
      <c r="M1253" s="147">
        <v>12</v>
      </c>
      <c r="N1253" s="275"/>
      <c r="O1253" s="194"/>
      <c r="P1253" s="179"/>
      <c r="Q1253" s="173"/>
      <c r="R1253" s="260">
        <v>0</v>
      </c>
      <c r="S1253" s="167"/>
      <c r="T1253" s="129" t="s">
        <v>1457</v>
      </c>
      <c r="U1253" s="147" t="s">
        <v>37</v>
      </c>
      <c r="V1253" s="129"/>
      <c r="W1253" s="162" t="s">
        <v>2519</v>
      </c>
      <c r="X1253" s="205"/>
      <c r="Y1253" s="251"/>
      <c r="Z1253" s="155"/>
      <c r="AA1253" s="230"/>
      <c r="XEY1253" s="230"/>
      <c r="XEZ1253" s="230"/>
      <c r="XFA1253" s="230"/>
      <c r="XFB1253" s="230"/>
    </row>
    <row r="1254" spans="1:27 16379:16382" hidden="1" x14ac:dyDescent="0.25">
      <c r="A1254" s="155">
        <v>1</v>
      </c>
      <c r="B1254" s="136">
        <v>1702009</v>
      </c>
      <c r="C1254" s="128" t="s">
        <v>956</v>
      </c>
      <c r="D1254" s="143" t="s">
        <v>1473</v>
      </c>
      <c r="E1254" s="147" t="s">
        <v>38</v>
      </c>
      <c r="F1254" s="129" t="s">
        <v>1457</v>
      </c>
      <c r="G1254" s="147" t="s">
        <v>1731</v>
      </c>
      <c r="H1254" s="189">
        <f t="shared" si="20"/>
        <v>0</v>
      </c>
      <c r="I1254" s="213"/>
      <c r="J1254" s="149"/>
      <c r="K1254" s="147">
        <v>11</v>
      </c>
      <c r="L1254" s="147">
        <v>1</v>
      </c>
      <c r="M1254" s="147">
        <v>12</v>
      </c>
      <c r="N1254" s="275"/>
      <c r="O1254" s="194"/>
      <c r="P1254" s="179"/>
      <c r="Q1254" s="173"/>
      <c r="R1254" s="260">
        <v>0</v>
      </c>
      <c r="S1254" s="167"/>
      <c r="T1254" s="129" t="s">
        <v>1457</v>
      </c>
      <c r="U1254" s="147" t="s">
        <v>37</v>
      </c>
      <c r="V1254" s="129"/>
      <c r="W1254" s="162" t="s">
        <v>2519</v>
      </c>
      <c r="X1254" s="205"/>
      <c r="Y1254" s="251"/>
      <c r="Z1254" s="155"/>
      <c r="AA1254" s="230"/>
      <c r="XEY1254" s="230"/>
      <c r="XEZ1254" s="230"/>
      <c r="XFA1254" s="230"/>
      <c r="XFB1254" s="230"/>
    </row>
    <row r="1255" spans="1:27 16379:16382" hidden="1" x14ac:dyDescent="0.25">
      <c r="A1255" s="155">
        <v>1</v>
      </c>
      <c r="B1255" s="136">
        <v>1702010</v>
      </c>
      <c r="C1255" s="128" t="s">
        <v>956</v>
      </c>
      <c r="D1255" s="143" t="s">
        <v>1474</v>
      </c>
      <c r="E1255" s="147" t="s">
        <v>38</v>
      </c>
      <c r="F1255" s="129" t="s">
        <v>1457</v>
      </c>
      <c r="G1255" s="147" t="s">
        <v>1731</v>
      </c>
      <c r="H1255" s="189">
        <f t="shared" si="20"/>
        <v>0</v>
      </c>
      <c r="I1255" s="213"/>
      <c r="J1255" s="149"/>
      <c r="K1255" s="147">
        <v>11</v>
      </c>
      <c r="L1255" s="147">
        <v>1</v>
      </c>
      <c r="M1255" s="147">
        <v>12</v>
      </c>
      <c r="N1255" s="275"/>
      <c r="O1255" s="194"/>
      <c r="P1255" s="179"/>
      <c r="Q1255" s="173"/>
      <c r="R1255" s="260">
        <v>0</v>
      </c>
      <c r="S1255" s="167"/>
      <c r="T1255" s="129" t="s">
        <v>1457</v>
      </c>
      <c r="U1255" s="147" t="s">
        <v>37</v>
      </c>
      <c r="V1255" s="129"/>
      <c r="W1255" s="162" t="s">
        <v>2519</v>
      </c>
      <c r="X1255" s="205"/>
      <c r="Y1255" s="251"/>
      <c r="Z1255" s="155"/>
      <c r="AA1255" s="230"/>
      <c r="XEY1255" s="230"/>
      <c r="XEZ1255" s="230"/>
      <c r="XFA1255" s="230"/>
      <c r="XFB1255" s="230"/>
    </row>
    <row r="1256" spans="1:27 16379:16382" hidden="1" x14ac:dyDescent="0.25">
      <c r="A1256" s="155">
        <v>1</v>
      </c>
      <c r="B1256" s="136">
        <v>1702011</v>
      </c>
      <c r="C1256" s="128" t="s">
        <v>956</v>
      </c>
      <c r="D1256" s="143" t="s">
        <v>1475</v>
      </c>
      <c r="E1256" s="147" t="s">
        <v>38</v>
      </c>
      <c r="F1256" s="129" t="s">
        <v>1457</v>
      </c>
      <c r="G1256" s="147" t="s">
        <v>1731</v>
      </c>
      <c r="H1256" s="189">
        <f t="shared" si="20"/>
        <v>0</v>
      </c>
      <c r="I1256" s="213"/>
      <c r="J1256" s="149"/>
      <c r="K1256" s="147">
        <v>11</v>
      </c>
      <c r="L1256" s="147">
        <v>1</v>
      </c>
      <c r="M1256" s="147">
        <v>12</v>
      </c>
      <c r="N1256" s="275"/>
      <c r="O1256" s="194"/>
      <c r="P1256" s="179"/>
      <c r="Q1256" s="173"/>
      <c r="R1256" s="260">
        <v>0</v>
      </c>
      <c r="S1256" s="167"/>
      <c r="T1256" s="129" t="s">
        <v>1457</v>
      </c>
      <c r="U1256" s="147" t="s">
        <v>37</v>
      </c>
      <c r="V1256" s="129"/>
      <c r="W1256" s="162" t="s">
        <v>2519</v>
      </c>
      <c r="X1256" s="205"/>
      <c r="Y1256" s="251"/>
      <c r="Z1256" s="155"/>
      <c r="AA1256" s="230"/>
      <c r="XEY1256" s="230"/>
      <c r="XEZ1256" s="230"/>
      <c r="XFA1256" s="230"/>
      <c r="XFB1256" s="230"/>
    </row>
    <row r="1257" spans="1:27 16379:16382" hidden="1" x14ac:dyDescent="0.25">
      <c r="A1257" s="155">
        <v>1</v>
      </c>
      <c r="B1257" s="136">
        <v>1702012</v>
      </c>
      <c r="C1257" s="128" t="s">
        <v>956</v>
      </c>
      <c r="D1257" s="143" t="s">
        <v>1476</v>
      </c>
      <c r="E1257" s="147" t="s">
        <v>38</v>
      </c>
      <c r="F1257" s="129" t="s">
        <v>1457</v>
      </c>
      <c r="G1257" s="147" t="s">
        <v>1731</v>
      </c>
      <c r="H1257" s="189">
        <f t="shared" si="20"/>
        <v>0</v>
      </c>
      <c r="I1257" s="213"/>
      <c r="J1257" s="149"/>
      <c r="K1257" s="147">
        <v>11</v>
      </c>
      <c r="L1257" s="147">
        <v>1</v>
      </c>
      <c r="M1257" s="147">
        <v>12</v>
      </c>
      <c r="N1257" s="275"/>
      <c r="O1257" s="194"/>
      <c r="P1257" s="179"/>
      <c r="Q1257" s="173"/>
      <c r="R1257" s="260">
        <v>0</v>
      </c>
      <c r="S1257" s="167"/>
      <c r="T1257" s="129" t="s">
        <v>1457</v>
      </c>
      <c r="U1257" s="147" t="s">
        <v>37</v>
      </c>
      <c r="V1257" s="129"/>
      <c r="W1257" s="162" t="s">
        <v>2519</v>
      </c>
      <c r="X1257" s="205"/>
      <c r="Y1257" s="251"/>
      <c r="Z1257" s="155"/>
      <c r="AA1257" s="230"/>
      <c r="XEY1257" s="230"/>
      <c r="XEZ1257" s="230"/>
      <c r="XFA1257" s="230"/>
      <c r="XFB1257" s="230"/>
    </row>
    <row r="1258" spans="1:27 16379:16382" hidden="1" x14ac:dyDescent="0.25">
      <c r="A1258" s="155">
        <v>1</v>
      </c>
      <c r="B1258" s="136">
        <v>1702013</v>
      </c>
      <c r="C1258" s="128" t="s">
        <v>956</v>
      </c>
      <c r="D1258" s="143" t="s">
        <v>1477</v>
      </c>
      <c r="E1258" s="147" t="s">
        <v>38</v>
      </c>
      <c r="F1258" s="129" t="s">
        <v>1457</v>
      </c>
      <c r="G1258" s="147" t="s">
        <v>1731</v>
      </c>
      <c r="H1258" s="189">
        <f t="shared" si="20"/>
        <v>0</v>
      </c>
      <c r="I1258" s="213"/>
      <c r="J1258" s="149"/>
      <c r="K1258" s="147">
        <v>11</v>
      </c>
      <c r="L1258" s="147">
        <v>1</v>
      </c>
      <c r="M1258" s="147">
        <v>12</v>
      </c>
      <c r="N1258" s="275"/>
      <c r="O1258" s="194"/>
      <c r="P1258" s="179"/>
      <c r="Q1258" s="173"/>
      <c r="R1258" s="260">
        <v>0</v>
      </c>
      <c r="S1258" s="167"/>
      <c r="T1258" s="129" t="s">
        <v>1457</v>
      </c>
      <c r="U1258" s="147" t="s">
        <v>37</v>
      </c>
      <c r="V1258" s="129"/>
      <c r="W1258" s="162" t="s">
        <v>2519</v>
      </c>
      <c r="X1258" s="205"/>
      <c r="Y1258" s="251"/>
      <c r="Z1258" s="155"/>
      <c r="AA1258" s="230"/>
      <c r="XEY1258" s="230"/>
      <c r="XEZ1258" s="230"/>
      <c r="XFA1258" s="230"/>
      <c r="XFB1258" s="230"/>
    </row>
    <row r="1259" spans="1:27 16379:16382" hidden="1" x14ac:dyDescent="0.25">
      <c r="A1259" s="155">
        <v>1</v>
      </c>
      <c r="B1259" s="136">
        <v>1702014</v>
      </c>
      <c r="C1259" s="128" t="s">
        <v>956</v>
      </c>
      <c r="D1259" s="143" t="s">
        <v>1478</v>
      </c>
      <c r="E1259" s="147" t="s">
        <v>38</v>
      </c>
      <c r="F1259" s="129" t="s">
        <v>1457</v>
      </c>
      <c r="G1259" s="147" t="s">
        <v>1731</v>
      </c>
      <c r="H1259" s="189">
        <f t="shared" si="20"/>
        <v>0</v>
      </c>
      <c r="I1259" s="213"/>
      <c r="J1259" s="149"/>
      <c r="K1259" s="147">
        <v>11</v>
      </c>
      <c r="L1259" s="147">
        <v>1</v>
      </c>
      <c r="M1259" s="147">
        <v>12</v>
      </c>
      <c r="N1259" s="275"/>
      <c r="O1259" s="194"/>
      <c r="P1259" s="179"/>
      <c r="Q1259" s="173"/>
      <c r="R1259" s="260">
        <v>0</v>
      </c>
      <c r="S1259" s="167"/>
      <c r="T1259" s="129" t="s">
        <v>1457</v>
      </c>
      <c r="U1259" s="147" t="s">
        <v>37</v>
      </c>
      <c r="V1259" s="129"/>
      <c r="W1259" s="162" t="s">
        <v>2519</v>
      </c>
      <c r="X1259" s="205"/>
      <c r="Y1259" s="251"/>
      <c r="Z1259" s="155"/>
      <c r="AA1259" s="230"/>
      <c r="XEY1259" s="230"/>
      <c r="XEZ1259" s="230"/>
      <c r="XFA1259" s="230"/>
      <c r="XFB1259" s="230"/>
    </row>
    <row r="1260" spans="1:27 16379:16382" hidden="1" x14ac:dyDescent="0.25">
      <c r="A1260" s="155">
        <v>1</v>
      </c>
      <c r="B1260" s="136">
        <v>1702015</v>
      </c>
      <c r="C1260" s="128" t="s">
        <v>956</v>
      </c>
      <c r="D1260" s="143" t="s">
        <v>1479</v>
      </c>
      <c r="E1260" s="147" t="s">
        <v>38</v>
      </c>
      <c r="F1260" s="129" t="s">
        <v>1457</v>
      </c>
      <c r="G1260" s="147" t="s">
        <v>1731</v>
      </c>
      <c r="H1260" s="189">
        <f t="shared" si="20"/>
        <v>0</v>
      </c>
      <c r="I1260" s="213"/>
      <c r="J1260" s="149"/>
      <c r="K1260" s="147">
        <v>11</v>
      </c>
      <c r="L1260" s="147">
        <v>1</v>
      </c>
      <c r="M1260" s="147">
        <v>12</v>
      </c>
      <c r="N1260" s="275"/>
      <c r="O1260" s="194"/>
      <c r="P1260" s="179"/>
      <c r="Q1260" s="173"/>
      <c r="R1260" s="260">
        <v>0</v>
      </c>
      <c r="S1260" s="167"/>
      <c r="T1260" s="129" t="s">
        <v>1457</v>
      </c>
      <c r="U1260" s="147" t="s">
        <v>37</v>
      </c>
      <c r="V1260" s="129"/>
      <c r="W1260" s="162" t="s">
        <v>2519</v>
      </c>
      <c r="X1260" s="205"/>
      <c r="Y1260" s="251"/>
      <c r="Z1260" s="155"/>
      <c r="AA1260" s="230"/>
      <c r="XEY1260" s="230"/>
      <c r="XEZ1260" s="230"/>
      <c r="XFA1260" s="230"/>
      <c r="XFB1260" s="230"/>
    </row>
    <row r="1261" spans="1:27 16379:16382" hidden="1" x14ac:dyDescent="0.25">
      <c r="A1261" s="155">
        <v>1</v>
      </c>
      <c r="B1261" s="136">
        <v>1702016</v>
      </c>
      <c r="C1261" s="128" t="s">
        <v>956</v>
      </c>
      <c r="D1261" s="143" t="s">
        <v>1480</v>
      </c>
      <c r="E1261" s="147" t="s">
        <v>38</v>
      </c>
      <c r="F1261" s="129" t="s">
        <v>1457</v>
      </c>
      <c r="G1261" s="147" t="s">
        <v>1731</v>
      </c>
      <c r="H1261" s="189">
        <f t="shared" si="20"/>
        <v>0</v>
      </c>
      <c r="I1261" s="213"/>
      <c r="J1261" s="149"/>
      <c r="K1261" s="147">
        <v>11</v>
      </c>
      <c r="L1261" s="147">
        <v>1</v>
      </c>
      <c r="M1261" s="147">
        <v>12</v>
      </c>
      <c r="N1261" s="275"/>
      <c r="O1261" s="194"/>
      <c r="P1261" s="179"/>
      <c r="Q1261" s="173"/>
      <c r="R1261" s="260">
        <v>0</v>
      </c>
      <c r="S1261" s="167"/>
      <c r="T1261" s="129" t="s">
        <v>1457</v>
      </c>
      <c r="U1261" s="147" t="s">
        <v>37</v>
      </c>
      <c r="V1261" s="129"/>
      <c r="W1261" s="162" t="s">
        <v>2519</v>
      </c>
      <c r="X1261" s="205"/>
      <c r="Y1261" s="251"/>
      <c r="Z1261" s="155"/>
      <c r="AA1261" s="230"/>
      <c r="XEY1261" s="230"/>
      <c r="XEZ1261" s="230"/>
      <c r="XFA1261" s="230"/>
      <c r="XFB1261" s="230"/>
    </row>
    <row r="1262" spans="1:27 16379:16382" hidden="1" x14ac:dyDescent="0.25">
      <c r="A1262" s="155">
        <v>1</v>
      </c>
      <c r="B1262" s="136">
        <v>1702017</v>
      </c>
      <c r="C1262" s="128" t="s">
        <v>956</v>
      </c>
      <c r="D1262" s="143" t="s">
        <v>1481</v>
      </c>
      <c r="E1262" s="147" t="s">
        <v>38</v>
      </c>
      <c r="F1262" s="129" t="s">
        <v>1457</v>
      </c>
      <c r="G1262" s="147" t="s">
        <v>1731</v>
      </c>
      <c r="H1262" s="189">
        <f t="shared" si="20"/>
        <v>0</v>
      </c>
      <c r="I1262" s="213"/>
      <c r="J1262" s="149"/>
      <c r="K1262" s="147">
        <v>11</v>
      </c>
      <c r="L1262" s="147">
        <v>1</v>
      </c>
      <c r="M1262" s="147">
        <v>12</v>
      </c>
      <c r="N1262" s="275"/>
      <c r="O1262" s="194"/>
      <c r="P1262" s="179"/>
      <c r="Q1262" s="173"/>
      <c r="R1262" s="260">
        <v>0</v>
      </c>
      <c r="S1262" s="167"/>
      <c r="T1262" s="129" t="s">
        <v>1457</v>
      </c>
      <c r="U1262" s="147" t="s">
        <v>37</v>
      </c>
      <c r="V1262" s="129"/>
      <c r="W1262" s="162" t="s">
        <v>2519</v>
      </c>
      <c r="X1262" s="205"/>
      <c r="Y1262" s="251"/>
      <c r="Z1262" s="155"/>
      <c r="AA1262" s="230"/>
      <c r="XFA1262" s="230"/>
      <c r="XFB1262" s="230"/>
    </row>
    <row r="1263" spans="1:27 16379:16382" hidden="1" x14ac:dyDescent="0.25">
      <c r="A1263" s="155">
        <v>1</v>
      </c>
      <c r="B1263" s="136">
        <v>1702018</v>
      </c>
      <c r="C1263" s="128" t="s">
        <v>956</v>
      </c>
      <c r="D1263" s="143" t="s">
        <v>1482</v>
      </c>
      <c r="E1263" s="147" t="s">
        <v>38</v>
      </c>
      <c r="F1263" s="129" t="s">
        <v>1457</v>
      </c>
      <c r="G1263" s="147" t="s">
        <v>1731</v>
      </c>
      <c r="H1263" s="189">
        <f t="shared" si="20"/>
        <v>0</v>
      </c>
      <c r="I1263" s="213"/>
      <c r="J1263" s="149"/>
      <c r="K1263" s="147">
        <v>11</v>
      </c>
      <c r="L1263" s="147">
        <v>1</v>
      </c>
      <c r="M1263" s="147">
        <v>12</v>
      </c>
      <c r="N1263" s="275"/>
      <c r="O1263" s="194"/>
      <c r="P1263" s="179"/>
      <c r="Q1263" s="173"/>
      <c r="R1263" s="260">
        <v>0</v>
      </c>
      <c r="S1263" s="167"/>
      <c r="T1263" s="129" t="s">
        <v>1457</v>
      </c>
      <c r="U1263" s="147" t="s">
        <v>37</v>
      </c>
      <c r="V1263" s="129" t="s">
        <v>29</v>
      </c>
      <c r="W1263" s="162" t="s">
        <v>2519</v>
      </c>
      <c r="X1263" s="205"/>
      <c r="Y1263" s="251"/>
      <c r="Z1263" s="155"/>
      <c r="AA1263" s="230"/>
      <c r="XFA1263" s="230"/>
      <c r="XFB1263" s="230"/>
    </row>
    <row r="1264" spans="1:27 16379:16382" hidden="1" x14ac:dyDescent="0.25">
      <c r="A1264" s="155">
        <v>1</v>
      </c>
      <c r="B1264" s="136">
        <v>1702019</v>
      </c>
      <c r="C1264" s="128" t="s">
        <v>956</v>
      </c>
      <c r="D1264" s="143" t="s">
        <v>1483</v>
      </c>
      <c r="E1264" s="147" t="s">
        <v>38</v>
      </c>
      <c r="F1264" s="129" t="s">
        <v>1457</v>
      </c>
      <c r="G1264" s="147" t="s">
        <v>1731</v>
      </c>
      <c r="H1264" s="189">
        <f t="shared" si="20"/>
        <v>0</v>
      </c>
      <c r="I1264" s="213"/>
      <c r="J1264" s="149"/>
      <c r="K1264" s="147">
        <v>11</v>
      </c>
      <c r="L1264" s="147">
        <v>1</v>
      </c>
      <c r="M1264" s="147">
        <v>12</v>
      </c>
      <c r="N1264" s="275"/>
      <c r="O1264" s="194"/>
      <c r="P1264" s="179"/>
      <c r="Q1264" s="173"/>
      <c r="R1264" s="260">
        <v>0</v>
      </c>
      <c r="S1264" s="167"/>
      <c r="T1264" s="129" t="s">
        <v>1457</v>
      </c>
      <c r="U1264" s="147" t="s">
        <v>37</v>
      </c>
      <c r="V1264" s="129" t="s">
        <v>29</v>
      </c>
      <c r="W1264" s="162" t="s">
        <v>2519</v>
      </c>
      <c r="X1264" s="205"/>
      <c r="Y1264" s="251"/>
      <c r="Z1264" s="155"/>
      <c r="AA1264" s="230"/>
      <c r="XFA1264" s="230"/>
      <c r="XFB1264" s="230"/>
    </row>
    <row r="1265" spans="1:27 16380:16382" hidden="1" x14ac:dyDescent="0.25">
      <c r="A1265" s="155">
        <v>1</v>
      </c>
      <c r="B1265" s="136">
        <v>1702020</v>
      </c>
      <c r="C1265" s="128" t="s">
        <v>956</v>
      </c>
      <c r="D1265" s="143" t="s">
        <v>1484</v>
      </c>
      <c r="E1265" s="147" t="s">
        <v>38</v>
      </c>
      <c r="F1265" s="129" t="s">
        <v>1457</v>
      </c>
      <c r="G1265" s="147" t="s">
        <v>1731</v>
      </c>
      <c r="H1265" s="189">
        <f t="shared" si="20"/>
        <v>0</v>
      </c>
      <c r="I1265" s="213"/>
      <c r="J1265" s="149"/>
      <c r="K1265" s="147">
        <v>11</v>
      </c>
      <c r="L1265" s="147">
        <v>1</v>
      </c>
      <c r="M1265" s="147">
        <v>12</v>
      </c>
      <c r="N1265" s="275"/>
      <c r="O1265" s="194"/>
      <c r="P1265" s="179"/>
      <c r="Q1265" s="173"/>
      <c r="R1265" s="260">
        <v>0</v>
      </c>
      <c r="S1265" s="167"/>
      <c r="T1265" s="129" t="s">
        <v>1457</v>
      </c>
      <c r="U1265" s="147" t="s">
        <v>37</v>
      </c>
      <c r="V1265" s="129"/>
      <c r="W1265" s="162" t="s">
        <v>2519</v>
      </c>
      <c r="X1265" s="205"/>
      <c r="Y1265" s="251"/>
      <c r="Z1265" s="155"/>
      <c r="AA1265" s="230"/>
      <c r="XFA1265" s="230"/>
      <c r="XFB1265" s="230"/>
    </row>
    <row r="1266" spans="1:27 16380:16382" hidden="1" x14ac:dyDescent="0.25">
      <c r="A1266" s="155">
        <v>1</v>
      </c>
      <c r="B1266" s="136">
        <v>1702021</v>
      </c>
      <c r="C1266" s="128" t="s">
        <v>956</v>
      </c>
      <c r="D1266" s="143" t="s">
        <v>1485</v>
      </c>
      <c r="E1266" s="147" t="s">
        <v>38</v>
      </c>
      <c r="F1266" s="129" t="s">
        <v>1457</v>
      </c>
      <c r="G1266" s="147" t="s">
        <v>1731</v>
      </c>
      <c r="H1266" s="189">
        <f t="shared" si="20"/>
        <v>0</v>
      </c>
      <c r="I1266" s="213"/>
      <c r="J1266" s="149"/>
      <c r="K1266" s="147">
        <v>11</v>
      </c>
      <c r="L1266" s="147">
        <v>1</v>
      </c>
      <c r="M1266" s="147">
        <v>12</v>
      </c>
      <c r="N1266" s="275"/>
      <c r="O1266" s="194"/>
      <c r="P1266" s="179"/>
      <c r="Q1266" s="173"/>
      <c r="R1266" s="260">
        <v>0</v>
      </c>
      <c r="S1266" s="167"/>
      <c r="T1266" s="129" t="s">
        <v>1457</v>
      </c>
      <c r="U1266" s="147" t="s">
        <v>37</v>
      </c>
      <c r="V1266" s="129"/>
      <c r="W1266" s="162" t="s">
        <v>2519</v>
      </c>
      <c r="X1266" s="205"/>
      <c r="Y1266" s="251"/>
      <c r="Z1266" s="155"/>
      <c r="AA1266" s="230"/>
      <c r="XFA1266" s="230"/>
      <c r="XFB1266" s="230"/>
    </row>
    <row r="1267" spans="1:27 16380:16382" hidden="1" x14ac:dyDescent="0.25">
      <c r="A1267" s="155">
        <v>1</v>
      </c>
      <c r="B1267" s="136">
        <v>1702022</v>
      </c>
      <c r="C1267" s="128" t="s">
        <v>956</v>
      </c>
      <c r="D1267" s="143" t="s">
        <v>1486</v>
      </c>
      <c r="E1267" s="147" t="s">
        <v>38</v>
      </c>
      <c r="F1267" s="129" t="s">
        <v>1457</v>
      </c>
      <c r="G1267" s="147" t="s">
        <v>1731</v>
      </c>
      <c r="H1267" s="189">
        <f t="shared" si="20"/>
        <v>0</v>
      </c>
      <c r="I1267" s="213"/>
      <c r="J1267" s="149"/>
      <c r="K1267" s="147">
        <v>11</v>
      </c>
      <c r="L1267" s="147">
        <v>1</v>
      </c>
      <c r="M1267" s="147">
        <v>12</v>
      </c>
      <c r="N1267" s="275"/>
      <c r="O1267" s="194"/>
      <c r="P1267" s="179"/>
      <c r="Q1267" s="173"/>
      <c r="R1267" s="260">
        <v>0</v>
      </c>
      <c r="S1267" s="167"/>
      <c r="T1267" s="129" t="s">
        <v>1457</v>
      </c>
      <c r="U1267" s="147" t="s">
        <v>37</v>
      </c>
      <c r="V1267" s="129"/>
      <c r="W1267" s="162" t="s">
        <v>2519</v>
      </c>
      <c r="X1267" s="205"/>
      <c r="Y1267" s="251"/>
      <c r="Z1267" s="155"/>
      <c r="AA1267" s="230"/>
      <c r="XFA1267" s="230"/>
      <c r="XFB1267" s="230"/>
    </row>
    <row r="1268" spans="1:27 16380:16382" hidden="1" x14ac:dyDescent="0.25">
      <c r="A1268" s="155"/>
      <c r="B1268" s="129">
        <v>1702023</v>
      </c>
      <c r="C1268" s="129" t="s">
        <v>956</v>
      </c>
      <c r="D1268" s="136" t="s">
        <v>1706</v>
      </c>
      <c r="E1268" s="147" t="s">
        <v>38</v>
      </c>
      <c r="F1268" s="129" t="s">
        <v>1707</v>
      </c>
      <c r="G1268" s="147" t="s">
        <v>1731</v>
      </c>
      <c r="H1268" s="189">
        <f t="shared" si="20"/>
        <v>8.5000000000000006E-2</v>
      </c>
      <c r="I1268" s="134" t="s">
        <v>2082</v>
      </c>
      <c r="J1268" s="146">
        <v>30</v>
      </c>
      <c r="K1268" s="147">
        <v>2</v>
      </c>
      <c r="L1268" s="147">
        <v>2</v>
      </c>
      <c r="M1268" s="147">
        <v>4</v>
      </c>
      <c r="N1268" s="275">
        <v>50000</v>
      </c>
      <c r="O1268" s="185"/>
      <c r="P1268" s="179"/>
      <c r="Q1268" s="175">
        <v>3.5000000000000003E-2</v>
      </c>
      <c r="R1268" s="271">
        <v>0.05</v>
      </c>
      <c r="S1268" s="164"/>
      <c r="T1268" s="129" t="s">
        <v>1705</v>
      </c>
      <c r="U1268" s="147" t="s">
        <v>37</v>
      </c>
      <c r="V1268" s="129"/>
      <c r="W1268" s="162" t="s">
        <v>54</v>
      </c>
      <c r="X1268" s="205" t="s">
        <v>1009</v>
      </c>
      <c r="Y1268" s="251"/>
      <c r="Z1268" s="290"/>
      <c r="AA1268" s="286"/>
      <c r="XFA1268" s="230"/>
    </row>
    <row r="1269" spans="1:27 16380:16382" ht="24" x14ac:dyDescent="0.25">
      <c r="A1269" s="155"/>
      <c r="B1269" s="129">
        <v>1702024</v>
      </c>
      <c r="C1269" s="127" t="s">
        <v>2020</v>
      </c>
      <c r="D1269" s="136" t="s">
        <v>1966</v>
      </c>
      <c r="E1269" s="147" t="s">
        <v>38</v>
      </c>
      <c r="F1269" s="129" t="s">
        <v>1711</v>
      </c>
      <c r="G1269" s="147" t="s">
        <v>1731</v>
      </c>
      <c r="H1269" s="189">
        <f t="shared" si="20"/>
        <v>3.5000000000000003E-2</v>
      </c>
      <c r="I1269" s="210" t="s">
        <v>2452</v>
      </c>
      <c r="J1269" s="146">
        <v>0</v>
      </c>
      <c r="K1269" s="147">
        <v>1</v>
      </c>
      <c r="L1269" s="147">
        <v>1</v>
      </c>
      <c r="M1269" s="147">
        <v>2</v>
      </c>
      <c r="N1269" s="275">
        <v>0</v>
      </c>
      <c r="O1269" s="196"/>
      <c r="P1269" s="179"/>
      <c r="Q1269" s="175">
        <v>3.5000000000000003E-2</v>
      </c>
      <c r="R1269" s="271">
        <v>0</v>
      </c>
      <c r="S1269" s="164"/>
      <c r="T1269" s="129" t="s">
        <v>1711</v>
      </c>
      <c r="U1269" s="147" t="s">
        <v>37</v>
      </c>
      <c r="V1269" s="129"/>
      <c r="W1269" s="147" t="s">
        <v>2450</v>
      </c>
      <c r="X1269" s="205" t="s">
        <v>1965</v>
      </c>
      <c r="Y1269" s="251"/>
      <c r="Z1269" s="155"/>
      <c r="AA1269" s="230"/>
      <c r="XFA1269" s="230"/>
    </row>
    <row r="1270" spans="1:27 16380:16382" hidden="1" x14ac:dyDescent="0.25">
      <c r="A1270" s="155"/>
      <c r="B1270" s="136">
        <v>1702025</v>
      </c>
      <c r="C1270" s="129" t="s">
        <v>956</v>
      </c>
      <c r="D1270" s="128" t="s">
        <v>2299</v>
      </c>
      <c r="E1270" s="147" t="s">
        <v>38</v>
      </c>
      <c r="F1270" s="129" t="s">
        <v>2298</v>
      </c>
      <c r="G1270" s="147" t="s">
        <v>1731</v>
      </c>
      <c r="H1270" s="189">
        <f t="shared" si="20"/>
        <v>0.34916666666666668</v>
      </c>
      <c r="I1270" s="134" t="s">
        <v>2082</v>
      </c>
      <c r="J1270" s="146">
        <v>30</v>
      </c>
      <c r="K1270" s="147">
        <v>10</v>
      </c>
      <c r="L1270" s="147">
        <v>1</v>
      </c>
      <c r="M1270" s="147">
        <v>11</v>
      </c>
      <c r="N1270" s="275">
        <v>6000</v>
      </c>
      <c r="O1270" s="193"/>
      <c r="P1270" s="179">
        <v>45911</v>
      </c>
      <c r="Q1270" s="173">
        <v>0.33</v>
      </c>
      <c r="R1270" s="271">
        <f>115/6000</f>
        <v>1.9166666666666665E-2</v>
      </c>
      <c r="S1270" s="147"/>
      <c r="T1270" s="129" t="s">
        <v>2206</v>
      </c>
      <c r="U1270" s="147" t="s">
        <v>37</v>
      </c>
      <c r="V1270" s="129"/>
      <c r="W1270" s="147" t="s">
        <v>2209</v>
      </c>
      <c r="X1270" s="205"/>
      <c r="Y1270" s="251"/>
      <c r="Z1270" s="155"/>
      <c r="AA1270" s="230"/>
    </row>
    <row r="1271" spans="1:27 16380:16382" ht="24" x14ac:dyDescent="0.25">
      <c r="A1271" s="155"/>
      <c r="B1271" s="136">
        <v>1702026</v>
      </c>
      <c r="C1271" s="128" t="s">
        <v>657</v>
      </c>
      <c r="D1271" s="128" t="s">
        <v>2306</v>
      </c>
      <c r="E1271" s="147" t="s">
        <v>38</v>
      </c>
      <c r="F1271" s="129" t="s">
        <v>2307</v>
      </c>
      <c r="G1271" s="147" t="s">
        <v>87</v>
      </c>
      <c r="H1271" s="189">
        <f t="shared" si="20"/>
        <v>65.05</v>
      </c>
      <c r="I1271" s="210" t="s">
        <v>2082</v>
      </c>
      <c r="J1271" s="146">
        <v>0</v>
      </c>
      <c r="K1271" s="147">
        <v>1</v>
      </c>
      <c r="L1271" s="147">
        <v>9</v>
      </c>
      <c r="M1271" s="147">
        <v>10</v>
      </c>
      <c r="N1271" s="275">
        <v>1</v>
      </c>
      <c r="O1271" s="193"/>
      <c r="P1271" s="179">
        <v>45925</v>
      </c>
      <c r="Q1271" s="173">
        <v>22.5</v>
      </c>
      <c r="R1271" s="271">
        <f>42.5+0.05</f>
        <v>42.55</v>
      </c>
      <c r="S1271" s="147"/>
      <c r="T1271" s="129" t="s">
        <v>2089</v>
      </c>
      <c r="U1271" s="147" t="s">
        <v>37</v>
      </c>
      <c r="V1271" s="129"/>
      <c r="W1271" s="147" t="s">
        <v>2208</v>
      </c>
      <c r="X1271" s="205" t="s">
        <v>1854</v>
      </c>
      <c r="Y1271" s="251"/>
      <c r="Z1271" s="290"/>
      <c r="AA1271" s="230"/>
      <c r="XFA1271" s="230"/>
    </row>
    <row r="1272" spans="1:27 16380:16382" ht="24" x14ac:dyDescent="0.25">
      <c r="A1272" s="155"/>
      <c r="B1272" s="158">
        <v>1702027</v>
      </c>
      <c r="C1272" s="129" t="s">
        <v>956</v>
      </c>
      <c r="D1272" s="128" t="s">
        <v>2400</v>
      </c>
      <c r="E1272" s="147" t="s">
        <v>38</v>
      </c>
      <c r="F1272" s="129" t="s">
        <v>1941</v>
      </c>
      <c r="G1272" s="147" t="s">
        <v>1731</v>
      </c>
      <c r="H1272" s="189">
        <f t="shared" si="20"/>
        <v>0</v>
      </c>
      <c r="I1272" s="210" t="s">
        <v>2452</v>
      </c>
      <c r="J1272" s="146"/>
      <c r="K1272" s="147">
        <v>1</v>
      </c>
      <c r="L1272" s="147">
        <v>1</v>
      </c>
      <c r="M1272" s="147">
        <v>2</v>
      </c>
      <c r="N1272" s="275"/>
      <c r="O1272" s="193"/>
      <c r="P1272" s="179"/>
      <c r="Q1272" s="173"/>
      <c r="R1272" s="271"/>
      <c r="S1272" s="147"/>
      <c r="T1272" s="129" t="s">
        <v>242</v>
      </c>
      <c r="U1272" s="147" t="s">
        <v>35</v>
      </c>
      <c r="V1272" s="129"/>
      <c r="W1272" s="147" t="s">
        <v>2450</v>
      </c>
      <c r="X1272" s="205"/>
      <c r="Y1272" s="251"/>
      <c r="Z1272" s="155"/>
      <c r="AA1272" s="230"/>
      <c r="XFA1272" s="230"/>
    </row>
    <row r="1273" spans="1:27 16380:16382" ht="24" hidden="1" x14ac:dyDescent="0.25">
      <c r="A1273" s="155"/>
      <c r="B1273" s="136">
        <v>1702028</v>
      </c>
      <c r="C1273" s="127" t="s">
        <v>2020</v>
      </c>
      <c r="D1273" s="128" t="s">
        <v>2475</v>
      </c>
      <c r="E1273" s="147" t="s">
        <v>38</v>
      </c>
      <c r="F1273" s="129" t="s">
        <v>2444</v>
      </c>
      <c r="G1273" s="147" t="s">
        <v>1731</v>
      </c>
      <c r="H1273" s="189">
        <f t="shared" si="20"/>
        <v>0</v>
      </c>
      <c r="I1273" s="210" t="s">
        <v>2452</v>
      </c>
      <c r="J1273" s="146">
        <v>0</v>
      </c>
      <c r="K1273" s="147">
        <v>3</v>
      </c>
      <c r="L1273" s="147">
        <v>1</v>
      </c>
      <c r="M1273" s="147">
        <v>4</v>
      </c>
      <c r="N1273" s="275"/>
      <c r="O1273" s="193"/>
      <c r="P1273" s="179"/>
      <c r="Q1273" s="173"/>
      <c r="R1273" s="271"/>
      <c r="S1273" s="147"/>
      <c r="T1273" s="129" t="s">
        <v>2332</v>
      </c>
      <c r="U1273" s="147" t="s">
        <v>37</v>
      </c>
      <c r="V1273" s="129"/>
      <c r="W1273" s="147" t="s">
        <v>2455</v>
      </c>
      <c r="X1273" s="205"/>
      <c r="Y1273" s="251"/>
      <c r="Z1273" s="155"/>
      <c r="AA1273" s="230"/>
      <c r="XFB1273" s="230"/>
    </row>
    <row r="1274" spans="1:27 16380:16382" hidden="1" x14ac:dyDescent="0.25">
      <c r="A1274" s="155">
        <v>1</v>
      </c>
      <c r="B1274" s="136">
        <v>1703001</v>
      </c>
      <c r="C1274" s="155"/>
      <c r="D1274" s="136" t="s">
        <v>1487</v>
      </c>
      <c r="E1274" s="147" t="s">
        <v>38</v>
      </c>
      <c r="F1274" s="129" t="s">
        <v>1457</v>
      </c>
      <c r="G1274" s="147" t="s">
        <v>1731</v>
      </c>
      <c r="H1274" s="189">
        <f t="shared" ref="H1274:H1282" si="21">Q1274+R1274</f>
        <v>0</v>
      </c>
      <c r="I1274" s="213"/>
      <c r="J1274" s="146">
        <v>0</v>
      </c>
      <c r="K1274" s="147">
        <v>11</v>
      </c>
      <c r="L1274" s="147">
        <v>1</v>
      </c>
      <c r="M1274" s="147">
        <v>12</v>
      </c>
      <c r="N1274" s="275"/>
      <c r="O1274" s="194"/>
      <c r="P1274" s="179"/>
      <c r="Q1274" s="173"/>
      <c r="R1274" s="260">
        <v>0</v>
      </c>
      <c r="S1274" s="167"/>
      <c r="T1274" s="129" t="s">
        <v>1457</v>
      </c>
      <c r="U1274" s="147" t="s">
        <v>37</v>
      </c>
      <c r="V1274" s="129"/>
      <c r="W1274" s="162" t="s">
        <v>2519</v>
      </c>
      <c r="X1274" s="205"/>
      <c r="Y1274" s="251"/>
      <c r="Z1274" s="155"/>
      <c r="AA1274" s="230"/>
      <c r="XFB1274" s="230"/>
    </row>
    <row r="1275" spans="1:27 16380:16382" hidden="1" x14ac:dyDescent="0.25">
      <c r="A1275" s="155">
        <v>1</v>
      </c>
      <c r="B1275" s="143">
        <v>1703004</v>
      </c>
      <c r="C1275" s="127" t="s">
        <v>2020</v>
      </c>
      <c r="D1275" s="143" t="s">
        <v>1488</v>
      </c>
      <c r="E1275" s="147" t="s">
        <v>38</v>
      </c>
      <c r="F1275" s="129" t="s">
        <v>1457</v>
      </c>
      <c r="G1275" s="147" t="s">
        <v>1731</v>
      </c>
      <c r="H1275" s="189">
        <f t="shared" si="21"/>
        <v>0</v>
      </c>
      <c r="I1275" s="213"/>
      <c r="J1275" s="146">
        <v>0</v>
      </c>
      <c r="K1275" s="147">
        <v>11</v>
      </c>
      <c r="L1275" s="147">
        <v>1</v>
      </c>
      <c r="M1275" s="147">
        <v>12</v>
      </c>
      <c r="N1275" s="275"/>
      <c r="O1275" s="194"/>
      <c r="P1275" s="179"/>
      <c r="Q1275" s="173"/>
      <c r="R1275" s="260">
        <v>0</v>
      </c>
      <c r="S1275" s="167"/>
      <c r="T1275" s="129" t="s">
        <v>1457</v>
      </c>
      <c r="U1275" s="147" t="s">
        <v>37</v>
      </c>
      <c r="V1275" s="129"/>
      <c r="W1275" s="162" t="s">
        <v>2519</v>
      </c>
      <c r="X1275" s="205"/>
      <c r="Y1275" s="251"/>
      <c r="Z1275" s="155"/>
      <c r="AA1275" s="230"/>
      <c r="XFB1275" s="230"/>
    </row>
    <row r="1276" spans="1:27 16380:16382" ht="24" x14ac:dyDescent="0.25">
      <c r="A1276" s="155">
        <v>1</v>
      </c>
      <c r="B1276" s="129">
        <v>3104020</v>
      </c>
      <c r="C1276" s="128" t="s">
        <v>934</v>
      </c>
      <c r="D1276" s="128" t="s">
        <v>1027</v>
      </c>
      <c r="E1276" s="147" t="s">
        <v>38</v>
      </c>
      <c r="F1276" s="129" t="s">
        <v>1796</v>
      </c>
      <c r="G1276" s="147" t="s">
        <v>1731</v>
      </c>
      <c r="H1276" s="189">
        <f t="shared" si="21"/>
        <v>0.39999999999999997</v>
      </c>
      <c r="I1276" s="210" t="s">
        <v>2082</v>
      </c>
      <c r="J1276" s="148">
        <v>30</v>
      </c>
      <c r="K1276" s="147">
        <v>2</v>
      </c>
      <c r="L1276" s="147">
        <v>2</v>
      </c>
      <c r="M1276" s="147">
        <v>4</v>
      </c>
      <c r="N1276" s="275"/>
      <c r="O1276" s="193">
        <v>0.33</v>
      </c>
      <c r="P1276" s="179">
        <v>45359</v>
      </c>
      <c r="Q1276" s="173">
        <v>0.35</v>
      </c>
      <c r="R1276" s="271">
        <v>0.05</v>
      </c>
      <c r="S1276" s="167"/>
      <c r="T1276" s="129" t="s">
        <v>55</v>
      </c>
      <c r="U1276" s="147" t="s">
        <v>37</v>
      </c>
      <c r="V1276" s="129"/>
      <c r="W1276" s="147" t="s">
        <v>2208</v>
      </c>
      <c r="X1276" s="205" t="s">
        <v>1909</v>
      </c>
      <c r="Y1276" s="251"/>
      <c r="Z1276" s="290"/>
      <c r="AA1276" s="286"/>
      <c r="XFB1276" s="230"/>
    </row>
    <row r="1277" spans="1:27 16380:16382" ht="24" x14ac:dyDescent="0.25">
      <c r="A1277" s="155">
        <v>1</v>
      </c>
      <c r="B1277" s="129">
        <v>3104021</v>
      </c>
      <c r="C1277" s="128" t="s">
        <v>934</v>
      </c>
      <c r="D1277" s="128" t="s">
        <v>1029</v>
      </c>
      <c r="E1277" s="147" t="s">
        <v>38</v>
      </c>
      <c r="F1277" s="129" t="s">
        <v>1796</v>
      </c>
      <c r="G1277" s="147" t="s">
        <v>1731</v>
      </c>
      <c r="H1277" s="189">
        <f t="shared" si="21"/>
        <v>0.39999999999999997</v>
      </c>
      <c r="I1277" s="210" t="s">
        <v>2082</v>
      </c>
      <c r="J1277" s="148">
        <v>30</v>
      </c>
      <c r="K1277" s="147">
        <v>2</v>
      </c>
      <c r="L1277" s="147">
        <v>2</v>
      </c>
      <c r="M1277" s="147">
        <v>4</v>
      </c>
      <c r="N1277" s="275"/>
      <c r="O1277" s="193">
        <v>0.33</v>
      </c>
      <c r="P1277" s="179">
        <v>45359</v>
      </c>
      <c r="Q1277" s="173">
        <v>0.35</v>
      </c>
      <c r="R1277" s="271">
        <v>0.05</v>
      </c>
      <c r="S1277" s="167"/>
      <c r="T1277" s="129" t="s">
        <v>55</v>
      </c>
      <c r="U1277" s="147" t="s">
        <v>37</v>
      </c>
      <c r="V1277" s="129"/>
      <c r="W1277" s="147" t="s">
        <v>2208</v>
      </c>
      <c r="X1277" s="205" t="s">
        <v>1909</v>
      </c>
      <c r="Y1277" s="251"/>
      <c r="Z1277" s="290"/>
      <c r="AA1277" s="286"/>
      <c r="XEZ1277" s="230"/>
      <c r="XFB1277" s="230"/>
    </row>
    <row r="1278" spans="1:27 16380:16382" ht="24" x14ac:dyDescent="0.25">
      <c r="A1278" s="155">
        <v>1</v>
      </c>
      <c r="B1278" s="129">
        <v>3104023</v>
      </c>
      <c r="C1278" s="128" t="s">
        <v>934</v>
      </c>
      <c r="D1278" s="128" t="s">
        <v>1031</v>
      </c>
      <c r="E1278" s="147" t="s">
        <v>38</v>
      </c>
      <c r="F1278" s="129" t="s">
        <v>1796</v>
      </c>
      <c r="G1278" s="147" t="s">
        <v>1731</v>
      </c>
      <c r="H1278" s="189">
        <f t="shared" si="21"/>
        <v>0.39999999999999997</v>
      </c>
      <c r="I1278" s="210" t="s">
        <v>2082</v>
      </c>
      <c r="J1278" s="148">
        <v>30</v>
      </c>
      <c r="K1278" s="147">
        <v>2</v>
      </c>
      <c r="L1278" s="147">
        <v>2</v>
      </c>
      <c r="M1278" s="147">
        <v>4</v>
      </c>
      <c r="N1278" s="275"/>
      <c r="O1278" s="193">
        <v>0.33</v>
      </c>
      <c r="P1278" s="179">
        <v>45359</v>
      </c>
      <c r="Q1278" s="173">
        <v>0.35</v>
      </c>
      <c r="R1278" s="271">
        <v>0.05</v>
      </c>
      <c r="S1278" s="167"/>
      <c r="T1278" s="129" t="s">
        <v>55</v>
      </c>
      <c r="U1278" s="147" t="s">
        <v>37</v>
      </c>
      <c r="V1278" s="129"/>
      <c r="W1278" s="147" t="s">
        <v>2208</v>
      </c>
      <c r="X1278" s="205" t="s">
        <v>1909</v>
      </c>
      <c r="Y1278" s="251"/>
      <c r="Z1278" s="290"/>
      <c r="AA1278" s="286"/>
      <c r="XFB1278" s="230"/>
    </row>
    <row r="1279" spans="1:27 16380:16382" ht="24" x14ac:dyDescent="0.25">
      <c r="A1279" s="155"/>
      <c r="B1279" s="136" t="s">
        <v>1719</v>
      </c>
      <c r="C1279" s="128" t="s">
        <v>934</v>
      </c>
      <c r="D1279" s="128" t="s">
        <v>2311</v>
      </c>
      <c r="E1279" s="147" t="s">
        <v>38</v>
      </c>
      <c r="F1279" s="129" t="s">
        <v>1941</v>
      </c>
      <c r="G1279" s="147" t="s">
        <v>1731</v>
      </c>
      <c r="H1279" s="189">
        <f t="shared" si="21"/>
        <v>0</v>
      </c>
      <c r="I1279" s="210" t="s">
        <v>2452</v>
      </c>
      <c r="J1279" s="146">
        <v>30</v>
      </c>
      <c r="K1279" s="147">
        <v>21</v>
      </c>
      <c r="L1279" s="147">
        <v>1</v>
      </c>
      <c r="M1279" s="147">
        <v>22</v>
      </c>
      <c r="N1279" s="275"/>
      <c r="O1279" s="193"/>
      <c r="P1279" s="179"/>
      <c r="Q1279" s="173"/>
      <c r="R1279" s="271">
        <v>0</v>
      </c>
      <c r="S1279" s="147"/>
      <c r="T1279" s="129" t="s">
        <v>242</v>
      </c>
      <c r="U1279" s="147" t="s">
        <v>35</v>
      </c>
      <c r="V1279" s="129"/>
      <c r="W1279" s="147" t="s">
        <v>2450</v>
      </c>
      <c r="X1279" s="205" t="s">
        <v>1904</v>
      </c>
      <c r="Y1279" s="253" t="s">
        <v>2129</v>
      </c>
      <c r="Z1279" s="155"/>
      <c r="AA1279" s="230"/>
      <c r="XFB1279" s="230"/>
    </row>
    <row r="1280" spans="1:27 16380:16382" ht="24" x14ac:dyDescent="0.25">
      <c r="A1280" s="155"/>
      <c r="B1280" s="136" t="s">
        <v>1720</v>
      </c>
      <c r="C1280" s="128" t="s">
        <v>934</v>
      </c>
      <c r="D1280" s="128" t="s">
        <v>2311</v>
      </c>
      <c r="E1280" s="147" t="s">
        <v>38</v>
      </c>
      <c r="F1280" s="129" t="s">
        <v>1941</v>
      </c>
      <c r="G1280" s="147" t="s">
        <v>1731</v>
      </c>
      <c r="H1280" s="189">
        <f t="shared" si="21"/>
        <v>0</v>
      </c>
      <c r="I1280" s="210" t="s">
        <v>2452</v>
      </c>
      <c r="J1280" s="146">
        <v>30</v>
      </c>
      <c r="K1280" s="147">
        <v>21</v>
      </c>
      <c r="L1280" s="147">
        <v>1</v>
      </c>
      <c r="M1280" s="147">
        <v>22</v>
      </c>
      <c r="N1280" s="275"/>
      <c r="O1280" s="193"/>
      <c r="P1280" s="179"/>
      <c r="Q1280" s="173"/>
      <c r="R1280" s="271">
        <v>0</v>
      </c>
      <c r="S1280" s="147"/>
      <c r="T1280" s="129" t="s">
        <v>242</v>
      </c>
      <c r="U1280" s="147" t="s">
        <v>35</v>
      </c>
      <c r="V1280" s="129"/>
      <c r="W1280" s="147" t="s">
        <v>2450</v>
      </c>
      <c r="X1280" s="205" t="s">
        <v>1904</v>
      </c>
      <c r="Y1280" s="253" t="s">
        <v>2129</v>
      </c>
      <c r="Z1280" s="155"/>
      <c r="AA1280" s="230"/>
      <c r="XFB1280" s="230"/>
    </row>
    <row r="1281" spans="1:27 16382:16382" ht="24" x14ac:dyDescent="0.25">
      <c r="A1281" s="155"/>
      <c r="B1281" s="136" t="s">
        <v>1721</v>
      </c>
      <c r="C1281" s="128" t="s">
        <v>934</v>
      </c>
      <c r="D1281" s="128" t="s">
        <v>2311</v>
      </c>
      <c r="E1281" s="147" t="s">
        <v>38</v>
      </c>
      <c r="F1281" s="129" t="s">
        <v>1941</v>
      </c>
      <c r="G1281" s="147" t="s">
        <v>1731</v>
      </c>
      <c r="H1281" s="189">
        <f t="shared" si="21"/>
        <v>0</v>
      </c>
      <c r="I1281" s="210" t="s">
        <v>2452</v>
      </c>
      <c r="J1281" s="146">
        <v>30</v>
      </c>
      <c r="K1281" s="147">
        <v>21</v>
      </c>
      <c r="L1281" s="147">
        <v>1</v>
      </c>
      <c r="M1281" s="147">
        <v>22</v>
      </c>
      <c r="N1281" s="275"/>
      <c r="O1281" s="193"/>
      <c r="P1281" s="179"/>
      <c r="Q1281" s="173"/>
      <c r="R1281" s="271">
        <v>0</v>
      </c>
      <c r="S1281" s="147"/>
      <c r="T1281" s="129" t="s">
        <v>242</v>
      </c>
      <c r="U1281" s="147" t="s">
        <v>35</v>
      </c>
      <c r="V1281" s="129"/>
      <c r="W1281" s="147" t="s">
        <v>2450</v>
      </c>
      <c r="X1281" s="205" t="s">
        <v>1904</v>
      </c>
      <c r="Y1281" s="253" t="s">
        <v>2129</v>
      </c>
      <c r="Z1281" s="155"/>
      <c r="AA1281" s="230"/>
      <c r="XFB1281" s="230"/>
    </row>
    <row r="1282" spans="1:27 16382:16382" ht="24" x14ac:dyDescent="0.25">
      <c r="A1282" s="155"/>
      <c r="B1282" s="136" t="s">
        <v>1722</v>
      </c>
      <c r="C1282" s="128" t="s">
        <v>934</v>
      </c>
      <c r="D1282" s="128" t="s">
        <v>2311</v>
      </c>
      <c r="E1282" s="147" t="s">
        <v>38</v>
      </c>
      <c r="F1282" s="129" t="s">
        <v>1941</v>
      </c>
      <c r="G1282" s="147" t="s">
        <v>1731</v>
      </c>
      <c r="H1282" s="189">
        <f t="shared" si="21"/>
        <v>0</v>
      </c>
      <c r="I1282" s="210" t="s">
        <v>2452</v>
      </c>
      <c r="J1282" s="146">
        <v>30</v>
      </c>
      <c r="K1282" s="147">
        <v>21</v>
      </c>
      <c r="L1282" s="147">
        <v>1</v>
      </c>
      <c r="M1282" s="147">
        <v>22</v>
      </c>
      <c r="N1282" s="275"/>
      <c r="O1282" s="193"/>
      <c r="P1282" s="179"/>
      <c r="Q1282" s="173"/>
      <c r="R1282" s="271">
        <v>0</v>
      </c>
      <c r="S1282" s="147"/>
      <c r="T1282" s="129" t="s">
        <v>242</v>
      </c>
      <c r="U1282" s="147" t="s">
        <v>35</v>
      </c>
      <c r="V1282" s="129"/>
      <c r="W1282" s="147" t="s">
        <v>2450</v>
      </c>
      <c r="X1282" s="205" t="s">
        <v>1904</v>
      </c>
      <c r="Y1282" s="253" t="s">
        <v>2129</v>
      </c>
      <c r="Z1282" s="155"/>
      <c r="AA1282" s="230"/>
      <c r="XFB1282" s="230"/>
    </row>
    <row r="1283" spans="1:27 16382:16382" x14ac:dyDescent="0.25">
      <c r="P1283" s="328"/>
      <c r="S1283" s="331"/>
      <c r="T1283" s="332"/>
    </row>
    <row r="1284" spans="1:27 16382:16382" x14ac:dyDescent="0.25">
      <c r="N1284" s="356"/>
      <c r="S1284" s="328"/>
      <c r="T1284" s="333"/>
    </row>
    <row r="1285" spans="1:27 16382:16382" x14ac:dyDescent="0.25">
      <c r="S1285" s="328"/>
      <c r="T1285" s="333"/>
    </row>
    <row r="1287" spans="1:27 16382:16382" x14ac:dyDescent="0.25">
      <c r="T1287" s="332"/>
    </row>
    <row r="1289" spans="1:27 16382:16382" x14ac:dyDescent="0.25">
      <c r="Q1289" s="334"/>
    </row>
  </sheetData>
  <sheetProtection insertColumns="0" insertRows="0" deleteColumns="0" deleteRows="0" selectLockedCells="1" selectUnlockedCells="1"/>
  <autoFilter ref="A2:XFB1282" xr:uid="{00000000-0001-0000-0200-000000000000}">
    <filterColumn colId="22">
      <filters>
        <filter val="Active"/>
        <filter val="Active / Consigned"/>
        <filter val="New Project"/>
        <filter val="New Project / Consigned"/>
      </filters>
    </filterColumn>
    <sortState xmlns:xlrd2="http://schemas.microsoft.com/office/spreadsheetml/2017/richdata2" ref="A3:XFB1282">
      <sortCondition ref="B2"/>
    </sortState>
  </autoFilter>
  <customSheetViews>
    <customSheetView guid="{A3C3765C-EA73-48D0-8F3F-74E623E74581}" scale="115" showGridLines="0" showAutoFilter="1" hiddenColumns="1" topLeftCell="B1">
      <pane xSplit="2" ySplit="2" topLeftCell="D938" activePane="bottomRight" state="frozen"/>
      <selection pane="bottomRight" activeCell="B950" sqref="B950"/>
      <pageMargins left="0.7" right="0.7" top="0.75" bottom="0.75" header="0" footer="0"/>
      <pageSetup orientation="portrait" r:id="rId1"/>
      <headerFooter>
        <oddFooter>&amp;LFS1-010-049&amp;CPag. 1 of 1&amp;RRev. 03 22-NOV-2016.</oddFooter>
      </headerFooter>
      <autoFilter ref="A2:DJ949" xr:uid="{5A18FF21-AAC5-4664-B7B3-D3C8D92639A1}"/>
    </customSheetView>
  </customSheetViews>
  <mergeCells count="1">
    <mergeCell ref="K1:M1"/>
  </mergeCells>
  <conditionalFormatting sqref="A991 XFB991:XFD991">
    <cfRule type="cellIs" dxfId="111" priority="65" operator="equal">
      <formula>1402023</formula>
    </cfRule>
  </conditionalFormatting>
  <conditionalFormatting sqref="A993 XFA1250:XFA1269 XFA1271:XFA1272">
    <cfRule type="cellIs" dxfId="110" priority="122" operator="equal">
      <formula>1402023</formula>
    </cfRule>
  </conditionalFormatting>
  <conditionalFormatting sqref="A1167:A1199 XFB1167:XFD1199">
    <cfRule type="cellIs" dxfId="109" priority="143" operator="equal">
      <formula>1402023</formula>
    </cfRule>
  </conditionalFormatting>
  <conditionalFormatting sqref="A1209:A1214 XFB1209:XFD1214">
    <cfRule type="cellIs" dxfId="108" priority="103" operator="equal">
      <formula>1402023</formula>
    </cfRule>
  </conditionalFormatting>
  <conditionalFormatting sqref="A1240:A1249 XFB1242:XFD1249">
    <cfRule type="cellIs" dxfId="107" priority="35" operator="equal">
      <formula>1402023</formula>
    </cfRule>
  </conditionalFormatting>
  <conditionalFormatting sqref="B1278:B1279 B1281:B1048576 B1:B1274">
    <cfRule type="duplicateValues" dxfId="106" priority="17"/>
  </conditionalFormatting>
  <conditionalFormatting sqref="D320:D335">
    <cfRule type="duplicateValues" dxfId="105" priority="120"/>
  </conditionalFormatting>
  <conditionalFormatting sqref="D1050">
    <cfRule type="duplicateValues" dxfId="104" priority="119"/>
  </conditionalFormatting>
  <conditionalFormatting sqref="XEX1237:XEX1239">
    <cfRule type="duplicateValues" dxfId="103" priority="85"/>
    <cfRule type="duplicateValues" dxfId="102" priority="86"/>
    <cfRule type="duplicateValues" dxfId="101" priority="87"/>
    <cfRule type="cellIs" dxfId="100" priority="84" operator="equal">
      <formula>1402023</formula>
    </cfRule>
  </conditionalFormatting>
  <conditionalFormatting sqref="XEY1215:XEY1236">
    <cfRule type="cellIs" dxfId="99" priority="94" operator="equal">
      <formula>1402023</formula>
    </cfRule>
    <cfRule type="duplicateValues" dxfId="98" priority="95"/>
    <cfRule type="duplicateValues" dxfId="97" priority="96"/>
    <cfRule type="duplicateValues" dxfId="96" priority="97"/>
  </conditionalFormatting>
  <conditionalFormatting sqref="XEY1250:XEY1261">
    <cfRule type="duplicateValues" dxfId="95" priority="181"/>
    <cfRule type="duplicateValues" dxfId="94" priority="180"/>
    <cfRule type="cellIs" dxfId="93" priority="185" operator="equal">
      <formula>1402023</formula>
    </cfRule>
    <cfRule type="duplicateValues" dxfId="92" priority="182"/>
    <cfRule type="duplicateValues" dxfId="91" priority="183"/>
    <cfRule type="duplicateValues" dxfId="90" priority="184"/>
  </conditionalFormatting>
  <conditionalFormatting sqref="XEZ1209:XEZ1214">
    <cfRule type="duplicateValues" dxfId="89" priority="107"/>
    <cfRule type="duplicateValues" dxfId="88" priority="106"/>
    <cfRule type="duplicateValues" dxfId="87" priority="105"/>
    <cfRule type="cellIs" dxfId="86" priority="104" operator="equal">
      <formula>1402023</formula>
    </cfRule>
  </conditionalFormatting>
  <conditionalFormatting sqref="XEZ1237:XEZ1239">
    <cfRule type="duplicateValues" dxfId="85" priority="79"/>
    <cfRule type="duplicateValues" dxfId="84" priority="82"/>
    <cfRule type="cellIs" dxfId="83" priority="83" operator="equal">
      <formula>1402023</formula>
    </cfRule>
    <cfRule type="duplicateValues" dxfId="82" priority="81"/>
    <cfRule type="duplicateValues" dxfId="81" priority="80"/>
  </conditionalFormatting>
  <conditionalFormatting sqref="XEZ1247:XEZ1249">
    <cfRule type="cellIs" dxfId="80" priority="53" operator="equal">
      <formula>1402023</formula>
    </cfRule>
    <cfRule type="duplicateValues" dxfId="79" priority="50"/>
    <cfRule type="duplicateValues" dxfId="78" priority="52"/>
    <cfRule type="duplicateValues" dxfId="77" priority="51"/>
    <cfRule type="duplicateValues" dxfId="76" priority="48"/>
    <cfRule type="duplicateValues" dxfId="75" priority="49"/>
  </conditionalFormatting>
  <conditionalFormatting sqref="XEZ1277">
    <cfRule type="duplicateValues" dxfId="74" priority="10"/>
    <cfRule type="duplicateValues" dxfId="73" priority="9"/>
    <cfRule type="cellIs" dxfId="72" priority="7" operator="equal">
      <formula>1402023</formula>
    </cfRule>
    <cfRule type="duplicateValues" dxfId="71" priority="8"/>
  </conditionalFormatting>
  <conditionalFormatting sqref="XFA1200:XFA1208">
    <cfRule type="duplicateValues" dxfId="70" priority="151"/>
    <cfRule type="duplicateValues" dxfId="69" priority="152"/>
    <cfRule type="duplicateValues" dxfId="68" priority="153"/>
    <cfRule type="cellIs" dxfId="67" priority="150" operator="equal">
      <formula>1402023</formula>
    </cfRule>
  </conditionalFormatting>
  <conditionalFormatting sqref="XFA1215:XFA1236">
    <cfRule type="duplicateValues" dxfId="66" priority="92"/>
    <cfRule type="cellIs" dxfId="65" priority="93" operator="equal">
      <formula>1402023</formula>
    </cfRule>
    <cfRule type="duplicateValues" dxfId="64" priority="91"/>
    <cfRule type="duplicateValues" dxfId="63" priority="90"/>
    <cfRule type="duplicateValues" dxfId="62" priority="89"/>
  </conditionalFormatting>
  <conditionalFormatting sqref="XFA1237:XFA1239">
    <cfRule type="duplicateValues" dxfId="61" priority="78"/>
  </conditionalFormatting>
  <conditionalFormatting sqref="XFA1241 A1241">
    <cfRule type="duplicateValues" dxfId="60" priority="67"/>
    <cfRule type="duplicateValues" dxfId="59" priority="69"/>
    <cfRule type="duplicateValues" dxfId="58" priority="70"/>
    <cfRule type="duplicateValues" dxfId="57" priority="66"/>
    <cfRule type="duplicateValues" dxfId="56" priority="68"/>
  </conditionalFormatting>
  <conditionalFormatting sqref="XFA1241">
    <cfRule type="cellIs" dxfId="55" priority="71" operator="equal">
      <formula>1402023</formula>
    </cfRule>
  </conditionalFormatting>
  <conditionalFormatting sqref="XFA1250:XFA1261">
    <cfRule type="duplicateValues" dxfId="54" priority="196"/>
    <cfRule type="duplicateValues" dxfId="53" priority="192"/>
    <cfRule type="duplicateValues" dxfId="52" priority="193"/>
    <cfRule type="duplicateValues" dxfId="51" priority="194"/>
    <cfRule type="duplicateValues" dxfId="50" priority="195"/>
  </conditionalFormatting>
  <conditionalFormatting sqref="XFA1262:XFA1269 XFA1271:XFA1272">
    <cfRule type="duplicateValues" dxfId="49" priority="171"/>
    <cfRule type="duplicateValues" dxfId="48" priority="173"/>
    <cfRule type="duplicateValues" dxfId="47" priority="172"/>
  </conditionalFormatting>
  <conditionalFormatting sqref="XFB991:XFD991 A991">
    <cfRule type="duplicateValues" dxfId="46" priority="62"/>
    <cfRule type="duplicateValues" dxfId="45" priority="61"/>
    <cfRule type="duplicateValues" dxfId="44" priority="60"/>
    <cfRule type="duplicateValues" dxfId="43" priority="63"/>
    <cfRule type="duplicateValues" dxfId="42" priority="64"/>
  </conditionalFormatting>
  <conditionalFormatting sqref="XFB1167:XFD1199 A1167:A1199">
    <cfRule type="duplicateValues" dxfId="41" priority="146"/>
    <cfRule type="duplicateValues" dxfId="40" priority="145"/>
    <cfRule type="duplicateValues" dxfId="39" priority="144"/>
  </conditionalFormatting>
  <conditionalFormatting sqref="XFB1209:XFD1214 A1209:A1214">
    <cfRule type="duplicateValues" dxfId="38" priority="99"/>
    <cfRule type="duplicateValues" dxfId="37" priority="100"/>
    <cfRule type="duplicateValues" dxfId="36" priority="101"/>
    <cfRule type="duplicateValues" dxfId="35" priority="102"/>
  </conditionalFormatting>
  <conditionalFormatting sqref="XFB1215:XFD1236 A1215:A1236">
    <cfRule type="duplicateValues" dxfId="34" priority="88"/>
  </conditionalFormatting>
  <conditionalFormatting sqref="XFB1240:XFD1240 A1240">
    <cfRule type="duplicateValues" dxfId="33" priority="72"/>
    <cfRule type="duplicateValues" dxfId="32" priority="74"/>
    <cfRule type="duplicateValues" dxfId="31" priority="76"/>
    <cfRule type="duplicateValues" dxfId="30" priority="75"/>
    <cfRule type="duplicateValues" dxfId="29" priority="73"/>
  </conditionalFormatting>
  <conditionalFormatting sqref="XFB1240:XFD1240">
    <cfRule type="cellIs" dxfId="28" priority="77" operator="equal">
      <formula>1402023</formula>
    </cfRule>
  </conditionalFormatting>
  <conditionalFormatting sqref="XFB1242:XFD1245 A1242:A1245">
    <cfRule type="duplicateValues" dxfId="27" priority="42"/>
    <cfRule type="duplicateValues" dxfId="26" priority="43"/>
    <cfRule type="duplicateValues" dxfId="25" priority="44"/>
    <cfRule type="duplicateValues" dxfId="24" priority="45"/>
    <cfRule type="duplicateValues" dxfId="23" priority="46"/>
  </conditionalFormatting>
  <conditionalFormatting sqref="XFB1246:XFD1246 A1246">
    <cfRule type="duplicateValues" dxfId="22" priority="31"/>
    <cfRule type="duplicateValues" dxfId="21" priority="32"/>
    <cfRule type="duplicateValues" dxfId="20" priority="33"/>
    <cfRule type="duplicateValues" dxfId="19" priority="30"/>
    <cfRule type="duplicateValues" dxfId="18" priority="34"/>
  </conditionalFormatting>
  <conditionalFormatting sqref="XFB1247:XFD1249 A1247:A1249">
    <cfRule type="duplicateValues" dxfId="17" priority="58"/>
    <cfRule type="duplicateValues" dxfId="16" priority="56"/>
    <cfRule type="duplicateValues" dxfId="15" priority="55"/>
    <cfRule type="duplicateValues" dxfId="14" priority="54"/>
    <cfRule type="duplicateValues" dxfId="13" priority="57"/>
  </conditionalFormatting>
  <conditionalFormatting sqref="XFB1262:XFD1267 A1262:A1272">
    <cfRule type="duplicateValues" dxfId="12" priority="166"/>
  </conditionalFormatting>
  <conditionalFormatting sqref="XFB1273:XFD1276 A1273:A1276">
    <cfRule type="duplicateValues" dxfId="11" priority="11"/>
  </conditionalFormatting>
  <conditionalFormatting sqref="XFB1277:XFD1277 A1277">
    <cfRule type="duplicateValues" dxfId="10" priority="6"/>
  </conditionalFormatting>
  <conditionalFormatting sqref="XFB1278:XFD1278 A1278">
    <cfRule type="duplicateValues" dxfId="9" priority="5"/>
  </conditionalFormatting>
  <conditionalFormatting sqref="XFB1279:XFD1279 A1279">
    <cfRule type="duplicateValues" dxfId="8" priority="4"/>
  </conditionalFormatting>
  <conditionalFormatting sqref="XFB1280:XFD1280 A1280">
    <cfRule type="duplicateValues" dxfId="7" priority="3"/>
  </conditionalFormatting>
  <conditionalFormatting sqref="XFB1281:XFD1281 A1281">
    <cfRule type="duplicateValues" dxfId="6" priority="2"/>
  </conditionalFormatting>
  <conditionalFormatting sqref="XFB1282:XFD1282 A1282">
    <cfRule type="duplicateValues" dxfId="5" priority="1"/>
  </conditionalFormatting>
  <pageMargins left="0.7" right="0.7" top="0.75" bottom="0.75" header="0" footer="0"/>
  <pageSetup orientation="portrait" r:id="rId2"/>
  <headerFooter>
    <oddFooter>&amp;LFS1-010-049&amp;CPag. 1 of 1&amp;RRev. 03 22-NOV-2016.</oddFooter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6584-E81B-4FB9-A6B8-C9AEB3BEA8BC}">
  <dimension ref="A1:S90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5" sqref="K5"/>
    </sheetView>
  </sheetViews>
  <sheetFormatPr defaultColWidth="8.88671875" defaultRowHeight="12" x14ac:dyDescent="0.25"/>
  <cols>
    <col min="1" max="1" width="6.44140625" style="247" bestFit="1" customWidth="1"/>
    <col min="2" max="2" width="31.21875" style="256" bestFit="1" customWidth="1"/>
    <col min="3" max="3" width="23.6640625" style="239" bestFit="1" customWidth="1"/>
    <col min="4" max="4" width="31.77734375" style="239" customWidth="1"/>
    <col min="5" max="5" width="39.109375" style="249" bestFit="1" customWidth="1"/>
    <col min="6" max="6" width="14.77734375" style="239" bestFit="1" customWidth="1"/>
    <col min="7" max="7" width="6.44140625" style="238" customWidth="1"/>
    <col min="8" max="8" width="11.21875" style="238" bestFit="1" customWidth="1"/>
    <col min="9" max="9" width="11.44140625" style="238" bestFit="1" customWidth="1"/>
    <col min="10" max="10" width="18.21875" style="238" bestFit="1" customWidth="1"/>
    <col min="11" max="11" width="18" style="238" customWidth="1"/>
    <col min="12" max="12" width="20" style="238" customWidth="1"/>
    <col min="13" max="13" width="18" style="238" customWidth="1"/>
    <col min="14" max="14" width="37.44140625" style="248" bestFit="1" customWidth="1"/>
    <col min="15" max="15" width="21.109375" style="235" bestFit="1" customWidth="1"/>
    <col min="16" max="16" width="21.109375" style="237" bestFit="1" customWidth="1"/>
    <col min="17" max="17" width="21.109375" style="235" bestFit="1" customWidth="1"/>
    <col min="18" max="18" width="35.6640625" style="235" bestFit="1" customWidth="1"/>
    <col min="19" max="16384" width="8.88671875" style="235"/>
  </cols>
  <sheetData>
    <row r="1" spans="1:19" s="237" customFormat="1" x14ac:dyDescent="0.25">
      <c r="A1" s="361" t="s">
        <v>1991</v>
      </c>
      <c r="B1" s="359" t="s">
        <v>1757</v>
      </c>
      <c r="C1" s="359" t="s">
        <v>1758</v>
      </c>
      <c r="D1" s="359" t="s">
        <v>1762</v>
      </c>
      <c r="E1" s="359" t="s">
        <v>1763</v>
      </c>
      <c r="F1" s="359" t="s">
        <v>2647</v>
      </c>
      <c r="G1" s="359" t="s">
        <v>1753</v>
      </c>
      <c r="H1" s="359" t="s">
        <v>1754</v>
      </c>
      <c r="I1" s="359" t="s">
        <v>2648</v>
      </c>
      <c r="J1" s="366" t="s">
        <v>2128</v>
      </c>
      <c r="K1" s="367"/>
      <c r="L1" s="367"/>
      <c r="M1" s="368"/>
      <c r="N1" s="364" t="s">
        <v>1955</v>
      </c>
      <c r="O1" s="363" t="s">
        <v>2197</v>
      </c>
      <c r="P1" s="363" t="s">
        <v>2198</v>
      </c>
      <c r="Q1" s="363" t="s">
        <v>2266</v>
      </c>
    </row>
    <row r="2" spans="1:19" s="237" customFormat="1" ht="22.8" x14ac:dyDescent="0.25">
      <c r="A2" s="362"/>
      <c r="B2" s="360"/>
      <c r="C2" s="360"/>
      <c r="D2" s="360"/>
      <c r="E2" s="360"/>
      <c r="F2" s="360"/>
      <c r="G2" s="360"/>
      <c r="H2" s="360"/>
      <c r="I2" s="360"/>
      <c r="J2" s="236" t="s">
        <v>1755</v>
      </c>
      <c r="K2" s="236" t="s">
        <v>1768</v>
      </c>
      <c r="L2" s="236" t="s">
        <v>1756</v>
      </c>
      <c r="M2" s="236" t="s">
        <v>1768</v>
      </c>
      <c r="N2" s="365"/>
      <c r="O2" s="363"/>
      <c r="P2" s="363"/>
      <c r="Q2" s="363"/>
    </row>
    <row r="3" spans="1:19" s="209" customFormat="1" x14ac:dyDescent="0.25">
      <c r="A3" s="238" t="s">
        <v>1803</v>
      </c>
      <c r="B3" s="256" t="s">
        <v>1907</v>
      </c>
      <c r="C3" s="239" t="s">
        <v>1958</v>
      </c>
      <c r="D3" s="239" t="s">
        <v>2608</v>
      </c>
      <c r="E3" s="250" t="s">
        <v>2279</v>
      </c>
      <c r="F3" s="239" t="s">
        <v>934</v>
      </c>
      <c r="G3" s="238" t="s">
        <v>1759</v>
      </c>
      <c r="H3" s="238" t="s">
        <v>1761</v>
      </c>
      <c r="I3" s="238" t="s">
        <v>38</v>
      </c>
      <c r="J3" s="263" t="s">
        <v>1956</v>
      </c>
      <c r="K3" s="329">
        <v>46130</v>
      </c>
      <c r="L3" s="232" t="s">
        <v>38</v>
      </c>
      <c r="M3" s="232" t="s">
        <v>38</v>
      </c>
      <c r="N3" s="234" t="s">
        <v>1956</v>
      </c>
      <c r="O3" s="237" t="s">
        <v>2553</v>
      </c>
      <c r="P3" s="237" t="s">
        <v>1009</v>
      </c>
      <c r="Q3" s="303" t="s">
        <v>2552</v>
      </c>
    </row>
    <row r="4" spans="1:19" s="209" customFormat="1" x14ac:dyDescent="0.25">
      <c r="A4" s="238" t="s">
        <v>1803</v>
      </c>
      <c r="B4" s="256" t="s">
        <v>2018</v>
      </c>
      <c r="C4" s="239" t="s">
        <v>2074</v>
      </c>
      <c r="D4" s="239">
        <v>8992847394</v>
      </c>
      <c r="E4" s="249" t="s">
        <v>2073</v>
      </c>
      <c r="F4" s="231" t="s">
        <v>1211</v>
      </c>
      <c r="G4" s="238" t="s">
        <v>1760</v>
      </c>
      <c r="H4" s="238" t="s">
        <v>1761</v>
      </c>
      <c r="I4" s="238" t="s">
        <v>38</v>
      </c>
      <c r="J4" s="263" t="s">
        <v>1956</v>
      </c>
      <c r="K4" s="330">
        <v>46135</v>
      </c>
      <c r="L4" s="232" t="s">
        <v>38</v>
      </c>
      <c r="M4" s="232" t="s">
        <v>38</v>
      </c>
      <c r="N4" s="234" t="s">
        <v>1956</v>
      </c>
      <c r="O4" s="237" t="s">
        <v>2553</v>
      </c>
      <c r="P4" s="237" t="s">
        <v>1009</v>
      </c>
      <c r="Q4" s="303" t="s">
        <v>2552</v>
      </c>
      <c r="R4" s="235"/>
      <c r="S4" s="235"/>
    </row>
    <row r="5" spans="1:19" s="209" customFormat="1" x14ac:dyDescent="0.25">
      <c r="A5" s="238" t="s">
        <v>1803</v>
      </c>
      <c r="B5" s="243" t="s">
        <v>1578</v>
      </c>
      <c r="C5" s="239" t="s">
        <v>979</v>
      </c>
      <c r="D5" s="239" t="s">
        <v>2610</v>
      </c>
      <c r="E5" s="250" t="s">
        <v>1767</v>
      </c>
      <c r="F5" s="231" t="s">
        <v>934</v>
      </c>
      <c r="G5" s="232" t="s">
        <v>1759</v>
      </c>
      <c r="H5" s="238" t="s">
        <v>1761</v>
      </c>
      <c r="I5" s="238" t="s">
        <v>38</v>
      </c>
      <c r="J5" s="263" t="s">
        <v>1956</v>
      </c>
      <c r="K5" s="330">
        <v>46178</v>
      </c>
      <c r="L5" s="232" t="s">
        <v>38</v>
      </c>
      <c r="M5" s="232" t="s">
        <v>38</v>
      </c>
      <c r="N5" s="234" t="s">
        <v>1956</v>
      </c>
      <c r="O5" s="237" t="s">
        <v>1009</v>
      </c>
      <c r="P5" s="237" t="s">
        <v>1009</v>
      </c>
      <c r="Q5" s="209" t="s">
        <v>2555</v>
      </c>
      <c r="S5" s="235"/>
    </row>
    <row r="6" spans="1:19" s="209" customFormat="1" ht="24" x14ac:dyDescent="0.25">
      <c r="A6" s="238" t="s">
        <v>1803</v>
      </c>
      <c r="B6" s="256" t="s">
        <v>2006</v>
      </c>
      <c r="C6" s="239" t="s">
        <v>2142</v>
      </c>
      <c r="D6" s="241" t="s">
        <v>2611</v>
      </c>
      <c r="E6" s="250" t="s">
        <v>2288</v>
      </c>
      <c r="F6" s="239" t="s">
        <v>956</v>
      </c>
      <c r="G6" s="238" t="s">
        <v>1760</v>
      </c>
      <c r="H6" s="238" t="s">
        <v>1761</v>
      </c>
      <c r="I6" s="238" t="s">
        <v>38</v>
      </c>
      <c r="J6" s="263" t="s">
        <v>1956</v>
      </c>
      <c r="K6" s="233">
        <v>46206</v>
      </c>
      <c r="L6" s="232" t="s">
        <v>38</v>
      </c>
      <c r="M6" s="232" t="s">
        <v>38</v>
      </c>
      <c r="N6" s="234" t="s">
        <v>1956</v>
      </c>
      <c r="O6" s="237" t="s">
        <v>1009</v>
      </c>
      <c r="P6" s="237" t="s">
        <v>1009</v>
      </c>
      <c r="Q6" s="209" t="s">
        <v>2555</v>
      </c>
      <c r="R6" s="235"/>
      <c r="S6" s="235"/>
    </row>
    <row r="7" spans="1:19" s="209" customFormat="1" ht="24" x14ac:dyDescent="0.25">
      <c r="A7" s="238" t="s">
        <v>1803</v>
      </c>
      <c r="B7" s="256" t="s">
        <v>1817</v>
      </c>
      <c r="C7" s="239" t="s">
        <v>1869</v>
      </c>
      <c r="D7" s="239">
        <v>13794451969</v>
      </c>
      <c r="E7" s="250" t="s">
        <v>2286</v>
      </c>
      <c r="F7" s="239" t="s">
        <v>934</v>
      </c>
      <c r="G7" s="238" t="s">
        <v>1759</v>
      </c>
      <c r="H7" s="238" t="s">
        <v>1761</v>
      </c>
      <c r="I7" s="238" t="s">
        <v>38</v>
      </c>
      <c r="J7" s="263" t="s">
        <v>1956</v>
      </c>
      <c r="K7" s="240">
        <v>46247</v>
      </c>
      <c r="L7" s="238" t="s">
        <v>38</v>
      </c>
      <c r="M7" s="238" t="s">
        <v>38</v>
      </c>
      <c r="N7" s="234" t="s">
        <v>1956</v>
      </c>
      <c r="O7" s="237" t="s">
        <v>2554</v>
      </c>
      <c r="P7" s="237" t="s">
        <v>1009</v>
      </c>
      <c r="Q7" s="209" t="s">
        <v>2555</v>
      </c>
      <c r="R7" s="235"/>
      <c r="S7" s="235"/>
    </row>
    <row r="8" spans="1:19" s="209" customFormat="1" ht="24" x14ac:dyDescent="0.25">
      <c r="A8" s="247" t="s">
        <v>1803</v>
      </c>
      <c r="B8" s="256" t="s">
        <v>2100</v>
      </c>
      <c r="C8" s="239" t="s">
        <v>2098</v>
      </c>
      <c r="D8" s="241" t="s">
        <v>2612</v>
      </c>
      <c r="E8" s="250" t="s">
        <v>2099</v>
      </c>
      <c r="F8" s="239" t="s">
        <v>940</v>
      </c>
      <c r="G8" s="238" t="s">
        <v>1760</v>
      </c>
      <c r="H8" s="238" t="s">
        <v>1761</v>
      </c>
      <c r="I8" s="238" t="s">
        <v>38</v>
      </c>
      <c r="J8" s="263" t="s">
        <v>1956</v>
      </c>
      <c r="K8" s="240">
        <v>46273</v>
      </c>
      <c r="L8" s="263" t="s">
        <v>1956</v>
      </c>
      <c r="M8" s="240">
        <v>46730</v>
      </c>
      <c r="N8" s="234" t="s">
        <v>1956</v>
      </c>
      <c r="O8" s="237" t="s">
        <v>2553</v>
      </c>
      <c r="P8" s="237" t="s">
        <v>1009</v>
      </c>
      <c r="Q8" s="303" t="s">
        <v>2552</v>
      </c>
      <c r="R8" s="235"/>
      <c r="S8" s="235"/>
    </row>
    <row r="9" spans="1:19" s="209" customFormat="1" ht="24" x14ac:dyDescent="0.25">
      <c r="A9" s="238" t="s">
        <v>1803</v>
      </c>
      <c r="B9" s="243" t="s">
        <v>1788</v>
      </c>
      <c r="C9" s="243" t="s">
        <v>2721</v>
      </c>
      <c r="D9" s="241" t="s">
        <v>2722</v>
      </c>
      <c r="E9" s="250" t="s">
        <v>2723</v>
      </c>
      <c r="F9" s="231" t="s">
        <v>30</v>
      </c>
      <c r="G9" s="232" t="s">
        <v>1759</v>
      </c>
      <c r="H9" s="274" t="s">
        <v>1766</v>
      </c>
      <c r="I9" s="263" t="s">
        <v>1956</v>
      </c>
      <c r="J9" s="263" t="s">
        <v>1956</v>
      </c>
      <c r="K9" s="233">
        <v>46289</v>
      </c>
      <c r="L9" s="232" t="s">
        <v>38</v>
      </c>
      <c r="M9" s="232" t="s">
        <v>38</v>
      </c>
      <c r="N9" s="242" t="s">
        <v>2003</v>
      </c>
      <c r="O9" s="237" t="s">
        <v>1009</v>
      </c>
      <c r="P9" s="237" t="s">
        <v>1009</v>
      </c>
      <c r="Q9" s="209" t="s">
        <v>2555</v>
      </c>
    </row>
    <row r="10" spans="1:19" ht="24" x14ac:dyDescent="0.25">
      <c r="A10" s="238" t="s">
        <v>1803</v>
      </c>
      <c r="B10" s="243" t="s">
        <v>1792</v>
      </c>
      <c r="C10" s="243" t="s">
        <v>2101</v>
      </c>
      <c r="D10" s="241" t="s">
        <v>2618</v>
      </c>
      <c r="E10" s="250" t="s">
        <v>2102</v>
      </c>
      <c r="F10" s="231" t="s">
        <v>657</v>
      </c>
      <c r="G10" s="232" t="s">
        <v>1759</v>
      </c>
      <c r="H10" s="238" t="s">
        <v>1761</v>
      </c>
      <c r="I10" s="238" t="s">
        <v>38</v>
      </c>
      <c r="J10" s="263" t="s">
        <v>1956</v>
      </c>
      <c r="K10" s="233">
        <v>46295</v>
      </c>
      <c r="L10" s="232" t="s">
        <v>38</v>
      </c>
      <c r="M10" s="232" t="s">
        <v>38</v>
      </c>
      <c r="N10" s="244" t="s">
        <v>1956</v>
      </c>
      <c r="O10" s="237" t="s">
        <v>2553</v>
      </c>
      <c r="P10" s="237" t="s">
        <v>1009</v>
      </c>
      <c r="Q10" s="303" t="s">
        <v>2552</v>
      </c>
    </row>
    <row r="11" spans="1:19" s="209" customFormat="1" x14ac:dyDescent="0.25">
      <c r="A11" s="245" t="s">
        <v>2043</v>
      </c>
      <c r="B11" s="256" t="s">
        <v>2579</v>
      </c>
      <c r="C11" s="239" t="s">
        <v>2580</v>
      </c>
      <c r="D11" s="239" t="s">
        <v>2613</v>
      </c>
      <c r="E11" s="249" t="s">
        <v>2581</v>
      </c>
      <c r="F11" s="239" t="s">
        <v>934</v>
      </c>
      <c r="G11" s="238" t="s">
        <v>1759</v>
      </c>
      <c r="H11" s="238" t="s">
        <v>1761</v>
      </c>
      <c r="I11" s="238" t="s">
        <v>38</v>
      </c>
      <c r="J11" s="263" t="s">
        <v>1956</v>
      </c>
      <c r="K11" s="233">
        <v>46313</v>
      </c>
      <c r="L11" s="232" t="s">
        <v>38</v>
      </c>
      <c r="M11" s="232" t="s">
        <v>38</v>
      </c>
      <c r="N11" s="234" t="s">
        <v>1956</v>
      </c>
      <c r="O11" s="237" t="s">
        <v>1009</v>
      </c>
      <c r="P11" s="237" t="s">
        <v>1009</v>
      </c>
      <c r="Q11" s="209" t="s">
        <v>2555</v>
      </c>
      <c r="R11" s="235"/>
    </row>
    <row r="12" spans="1:19" s="209" customFormat="1" x14ac:dyDescent="0.25">
      <c r="A12" s="247" t="s">
        <v>1803</v>
      </c>
      <c r="B12" s="256" t="s">
        <v>2104</v>
      </c>
      <c r="C12" s="239" t="s">
        <v>2111</v>
      </c>
      <c r="D12" s="239" t="s">
        <v>2614</v>
      </c>
      <c r="E12" s="250" t="s">
        <v>2282</v>
      </c>
      <c r="F12" s="239" t="s">
        <v>30</v>
      </c>
      <c r="G12" s="238" t="s">
        <v>1759</v>
      </c>
      <c r="H12" s="238" t="s">
        <v>1761</v>
      </c>
      <c r="I12" s="238" t="s">
        <v>38</v>
      </c>
      <c r="J12" s="263" t="s">
        <v>1956</v>
      </c>
      <c r="K12" s="240">
        <v>46319</v>
      </c>
      <c r="L12" s="238" t="s">
        <v>38</v>
      </c>
      <c r="M12" s="238" t="s">
        <v>38</v>
      </c>
      <c r="N12" s="234" t="s">
        <v>1956</v>
      </c>
      <c r="O12" s="237" t="s">
        <v>1009</v>
      </c>
      <c r="P12" s="237" t="s">
        <v>1009</v>
      </c>
      <c r="Q12" s="209" t="s">
        <v>2555</v>
      </c>
      <c r="S12" s="235"/>
    </row>
    <row r="13" spans="1:19" s="209" customFormat="1" x14ac:dyDescent="0.25">
      <c r="A13" s="245" t="s">
        <v>2043</v>
      </c>
      <c r="B13" s="256" t="s">
        <v>2530</v>
      </c>
      <c r="C13" s="239" t="s">
        <v>2531</v>
      </c>
      <c r="D13" s="239" t="s">
        <v>2637</v>
      </c>
      <c r="E13" s="249" t="s">
        <v>2532</v>
      </c>
      <c r="F13" s="239" t="s">
        <v>934</v>
      </c>
      <c r="G13" s="238" t="s">
        <v>1759</v>
      </c>
      <c r="H13" s="238" t="s">
        <v>1761</v>
      </c>
      <c r="I13" s="238" t="s">
        <v>38</v>
      </c>
      <c r="J13" s="263" t="s">
        <v>1956</v>
      </c>
      <c r="K13" s="240">
        <v>46320</v>
      </c>
      <c r="L13" s="232" t="s">
        <v>38</v>
      </c>
      <c r="M13" s="232" t="s">
        <v>38</v>
      </c>
      <c r="N13" s="257">
        <v>46113</v>
      </c>
      <c r="O13" s="287"/>
      <c r="P13" s="297"/>
      <c r="Q13" s="297"/>
      <c r="R13" s="235"/>
      <c r="S13" s="235"/>
    </row>
    <row r="14" spans="1:19" s="209" customFormat="1" x14ac:dyDescent="0.25">
      <c r="A14" s="238" t="s">
        <v>1803</v>
      </c>
      <c r="B14" s="243" t="s">
        <v>1201</v>
      </c>
      <c r="C14" s="231" t="s">
        <v>1736</v>
      </c>
      <c r="D14" s="239" t="s">
        <v>2615</v>
      </c>
      <c r="E14" s="250" t="s">
        <v>1539</v>
      </c>
      <c r="F14" s="231" t="s">
        <v>934</v>
      </c>
      <c r="G14" s="232" t="s">
        <v>1759</v>
      </c>
      <c r="H14" s="238" t="s">
        <v>1761</v>
      </c>
      <c r="I14" s="238" t="s">
        <v>38</v>
      </c>
      <c r="J14" s="263" t="s">
        <v>1956</v>
      </c>
      <c r="K14" s="233">
        <v>46323</v>
      </c>
      <c r="L14" s="232" t="s">
        <v>38</v>
      </c>
      <c r="M14" s="232" t="s">
        <v>38</v>
      </c>
      <c r="N14" s="234" t="s">
        <v>1956</v>
      </c>
      <c r="O14" s="237" t="s">
        <v>1009</v>
      </c>
      <c r="P14" s="237" t="s">
        <v>1009</v>
      </c>
      <c r="Q14" s="209" t="s">
        <v>2555</v>
      </c>
      <c r="R14" s="235"/>
      <c r="S14" s="235"/>
    </row>
    <row r="15" spans="1:19" ht="24" x14ac:dyDescent="0.25">
      <c r="A15" s="238" t="s">
        <v>1803</v>
      </c>
      <c r="B15" s="243" t="s">
        <v>1611</v>
      </c>
      <c r="C15" s="243" t="s">
        <v>2460</v>
      </c>
      <c r="D15" s="241" t="s">
        <v>2461</v>
      </c>
      <c r="E15" s="250" t="s">
        <v>2462</v>
      </c>
      <c r="F15" s="231" t="s">
        <v>30</v>
      </c>
      <c r="G15" s="232" t="s">
        <v>1759</v>
      </c>
      <c r="H15" s="238" t="s">
        <v>1761</v>
      </c>
      <c r="I15" s="238" t="s">
        <v>38</v>
      </c>
      <c r="J15" s="263" t="s">
        <v>1956</v>
      </c>
      <c r="K15" s="233">
        <v>46339</v>
      </c>
      <c r="L15" s="232" t="s">
        <v>38</v>
      </c>
      <c r="M15" s="232" t="s">
        <v>38</v>
      </c>
      <c r="N15" s="242" t="s">
        <v>2003</v>
      </c>
      <c r="O15" s="237" t="s">
        <v>1009</v>
      </c>
      <c r="P15" s="237" t="s">
        <v>1009</v>
      </c>
      <c r="Q15" s="209" t="s">
        <v>2555</v>
      </c>
      <c r="R15" s="209"/>
    </row>
    <row r="16" spans="1:19" s="209" customFormat="1" x14ac:dyDescent="0.25">
      <c r="A16" s="238" t="s">
        <v>1803</v>
      </c>
      <c r="B16" s="243" t="s">
        <v>936</v>
      </c>
      <c r="C16" s="239" t="s">
        <v>937</v>
      </c>
      <c r="D16" s="239" t="s">
        <v>938</v>
      </c>
      <c r="E16" s="250" t="s">
        <v>939</v>
      </c>
      <c r="F16" s="231" t="s">
        <v>934</v>
      </c>
      <c r="G16" s="232" t="s">
        <v>1759</v>
      </c>
      <c r="H16" s="238" t="s">
        <v>1761</v>
      </c>
      <c r="I16" s="238" t="s">
        <v>38</v>
      </c>
      <c r="J16" s="263" t="s">
        <v>1956</v>
      </c>
      <c r="K16" s="233">
        <v>46340</v>
      </c>
      <c r="L16" s="263" t="s">
        <v>1956</v>
      </c>
      <c r="M16" s="233">
        <v>46340</v>
      </c>
      <c r="N16" s="242" t="s">
        <v>2003</v>
      </c>
      <c r="O16" s="237" t="s">
        <v>1009</v>
      </c>
      <c r="P16" s="237" t="s">
        <v>1009</v>
      </c>
      <c r="Q16" s="209" t="s">
        <v>2555</v>
      </c>
      <c r="R16" s="235"/>
      <c r="S16" s="235"/>
    </row>
    <row r="17" spans="1:19" x14ac:dyDescent="0.25">
      <c r="A17" s="245" t="s">
        <v>2043</v>
      </c>
      <c r="B17" s="256" t="s">
        <v>2505</v>
      </c>
      <c r="C17" s="239" t="s">
        <v>2506</v>
      </c>
      <c r="D17" s="239" t="s">
        <v>2639</v>
      </c>
      <c r="E17" s="249" t="s">
        <v>2507</v>
      </c>
      <c r="F17" s="231" t="s">
        <v>30</v>
      </c>
      <c r="G17" s="232" t="s">
        <v>1759</v>
      </c>
      <c r="H17" s="238" t="s">
        <v>1761</v>
      </c>
      <c r="I17" s="238" t="s">
        <v>38</v>
      </c>
      <c r="J17" s="263" t="s">
        <v>1956</v>
      </c>
      <c r="K17" s="240">
        <v>46341</v>
      </c>
      <c r="L17" s="232" t="s">
        <v>38</v>
      </c>
      <c r="M17" s="232" t="s">
        <v>38</v>
      </c>
      <c r="N17" s="242" t="s">
        <v>2003</v>
      </c>
      <c r="O17" s="237" t="s">
        <v>2553</v>
      </c>
      <c r="P17" s="237" t="s">
        <v>1009</v>
      </c>
      <c r="Q17" s="303" t="s">
        <v>2552</v>
      </c>
    </row>
    <row r="18" spans="1:19" s="209" customFormat="1" ht="24" x14ac:dyDescent="0.25">
      <c r="A18" s="238" t="s">
        <v>1803</v>
      </c>
      <c r="B18" s="243" t="s">
        <v>47</v>
      </c>
      <c r="C18" s="243" t="s">
        <v>2004</v>
      </c>
      <c r="D18" s="241" t="s">
        <v>2616</v>
      </c>
      <c r="E18" s="250" t="s">
        <v>2005</v>
      </c>
      <c r="F18" s="231" t="s">
        <v>30</v>
      </c>
      <c r="G18" s="232" t="s">
        <v>1759</v>
      </c>
      <c r="H18" s="274" t="s">
        <v>1766</v>
      </c>
      <c r="I18" s="263" t="s">
        <v>1956</v>
      </c>
      <c r="J18" s="263" t="s">
        <v>1956</v>
      </c>
      <c r="K18" s="233">
        <v>46346</v>
      </c>
      <c r="L18" s="355" t="s">
        <v>38</v>
      </c>
      <c r="M18" s="232" t="s">
        <v>38</v>
      </c>
      <c r="N18" s="244" t="s">
        <v>1956</v>
      </c>
      <c r="O18" s="237" t="s">
        <v>2553</v>
      </c>
      <c r="P18" s="237" t="s">
        <v>1009</v>
      </c>
      <c r="Q18" s="303" t="s">
        <v>2552</v>
      </c>
    </row>
    <row r="19" spans="1:19" s="209" customFormat="1" x14ac:dyDescent="0.25">
      <c r="A19" s="238" t="s">
        <v>1803</v>
      </c>
      <c r="B19" s="256" t="s">
        <v>1770</v>
      </c>
      <c r="C19" s="239" t="s">
        <v>1772</v>
      </c>
      <c r="D19" s="239" t="s">
        <v>1773</v>
      </c>
      <c r="E19" s="250" t="s">
        <v>1774</v>
      </c>
      <c r="F19" s="239" t="s">
        <v>30</v>
      </c>
      <c r="G19" s="238" t="s">
        <v>1759</v>
      </c>
      <c r="H19" s="274" t="s">
        <v>1766</v>
      </c>
      <c r="I19" s="263" t="s">
        <v>1956</v>
      </c>
      <c r="J19" s="263" t="s">
        <v>1956</v>
      </c>
      <c r="K19" s="240">
        <v>46405</v>
      </c>
      <c r="L19" s="263" t="s">
        <v>1956</v>
      </c>
      <c r="M19" s="240">
        <v>46683</v>
      </c>
      <c r="N19" s="242" t="s">
        <v>2003</v>
      </c>
      <c r="O19" s="237" t="s">
        <v>1009</v>
      </c>
      <c r="P19" s="237" t="s">
        <v>1009</v>
      </c>
      <c r="Q19" s="209" t="s">
        <v>2555</v>
      </c>
    </row>
    <row r="20" spans="1:19" s="209" customFormat="1" ht="24" x14ac:dyDescent="0.25">
      <c r="A20" s="245" t="s">
        <v>2043</v>
      </c>
      <c r="B20" s="256" t="s">
        <v>2603</v>
      </c>
      <c r="C20" s="241" t="s">
        <v>2606</v>
      </c>
      <c r="D20" s="241" t="s">
        <v>2617</v>
      </c>
      <c r="E20" s="312" t="s">
        <v>2607</v>
      </c>
      <c r="F20" s="239" t="s">
        <v>934</v>
      </c>
      <c r="G20" s="238" t="s">
        <v>1759</v>
      </c>
      <c r="H20" s="238" t="s">
        <v>1761</v>
      </c>
      <c r="I20" s="238" t="s">
        <v>38</v>
      </c>
      <c r="J20" s="263" t="s">
        <v>1956</v>
      </c>
      <c r="K20" s="240">
        <v>46407</v>
      </c>
      <c r="L20" s="263" t="s">
        <v>1956</v>
      </c>
      <c r="M20" s="240">
        <v>46407</v>
      </c>
      <c r="N20" s="242" t="s">
        <v>2003</v>
      </c>
      <c r="O20" s="237" t="s">
        <v>2553</v>
      </c>
      <c r="P20" s="237" t="s">
        <v>1009</v>
      </c>
      <c r="Q20" s="303" t="s">
        <v>2552</v>
      </c>
      <c r="R20" s="235"/>
      <c r="S20" s="235"/>
    </row>
    <row r="21" spans="1:19" x14ac:dyDescent="0.25">
      <c r="A21" s="238" t="s">
        <v>1803</v>
      </c>
      <c r="B21" s="256" t="s">
        <v>2058</v>
      </c>
      <c r="C21" s="239" t="s">
        <v>2060</v>
      </c>
      <c r="D21" s="239" t="s">
        <v>2061</v>
      </c>
      <c r="E21" s="250" t="s">
        <v>2275</v>
      </c>
      <c r="F21" s="239" t="s">
        <v>657</v>
      </c>
      <c r="G21" s="238" t="s">
        <v>1759</v>
      </c>
      <c r="H21" s="238" t="s">
        <v>1761</v>
      </c>
      <c r="I21" s="238" t="s">
        <v>38</v>
      </c>
      <c r="J21" s="263" t="s">
        <v>1956</v>
      </c>
      <c r="K21" s="240">
        <v>46429</v>
      </c>
      <c r="L21" s="232" t="s">
        <v>38</v>
      </c>
      <c r="M21" s="232" t="s">
        <v>38</v>
      </c>
      <c r="N21" s="244" t="s">
        <v>1956</v>
      </c>
      <c r="O21" s="237" t="s">
        <v>1009</v>
      </c>
      <c r="P21" s="237" t="s">
        <v>1009</v>
      </c>
      <c r="Q21" s="209" t="s">
        <v>2555</v>
      </c>
      <c r="R21" s="209"/>
      <c r="S21" s="209"/>
    </row>
    <row r="22" spans="1:19" x14ac:dyDescent="0.25">
      <c r="A22" s="238" t="s">
        <v>1803</v>
      </c>
      <c r="B22" s="243" t="s">
        <v>323</v>
      </c>
      <c r="C22" s="231" t="s">
        <v>1982</v>
      </c>
      <c r="D22" s="241" t="s">
        <v>1983</v>
      </c>
      <c r="E22" s="250" t="s">
        <v>2277</v>
      </c>
      <c r="F22" s="231" t="s">
        <v>30</v>
      </c>
      <c r="G22" s="232" t="s">
        <v>1759</v>
      </c>
      <c r="H22" s="274" t="s">
        <v>1766</v>
      </c>
      <c r="I22" s="263" t="s">
        <v>1956</v>
      </c>
      <c r="J22" s="263" t="s">
        <v>1956</v>
      </c>
      <c r="K22" s="246">
        <v>46448</v>
      </c>
      <c r="L22" s="232" t="s">
        <v>38</v>
      </c>
      <c r="M22" s="232" t="s">
        <v>38</v>
      </c>
      <c r="N22" s="234" t="s">
        <v>1956</v>
      </c>
      <c r="O22" s="237" t="s">
        <v>1009</v>
      </c>
      <c r="P22" s="237" t="s">
        <v>1009</v>
      </c>
      <c r="Q22" s="209" t="s">
        <v>2555</v>
      </c>
    </row>
    <row r="23" spans="1:19" ht="24" x14ac:dyDescent="0.25">
      <c r="A23" s="238" t="s">
        <v>1803</v>
      </c>
      <c r="B23" s="256" t="s">
        <v>2034</v>
      </c>
      <c r="C23" s="239" t="s">
        <v>1993</v>
      </c>
      <c r="D23" s="241" t="s">
        <v>2619</v>
      </c>
      <c r="E23" s="250" t="s">
        <v>1994</v>
      </c>
      <c r="F23" s="239" t="s">
        <v>30</v>
      </c>
      <c r="G23" s="238" t="s">
        <v>1759</v>
      </c>
      <c r="H23" s="238" t="s">
        <v>1761</v>
      </c>
      <c r="I23" s="238" t="s">
        <v>38</v>
      </c>
      <c r="J23" s="263" t="s">
        <v>1956</v>
      </c>
      <c r="K23" s="240">
        <v>46463</v>
      </c>
      <c r="L23" s="238" t="s">
        <v>38</v>
      </c>
      <c r="M23" s="238" t="s">
        <v>38</v>
      </c>
      <c r="N23" s="234" t="s">
        <v>1956</v>
      </c>
      <c r="O23" s="237" t="s">
        <v>2553</v>
      </c>
      <c r="P23" s="237" t="s">
        <v>1009</v>
      </c>
      <c r="Q23" s="303" t="s">
        <v>2552</v>
      </c>
      <c r="R23" s="209"/>
      <c r="S23" s="209"/>
    </row>
    <row r="24" spans="1:19" ht="24" x14ac:dyDescent="0.25">
      <c r="A24" s="238" t="s">
        <v>1803</v>
      </c>
      <c r="B24" s="243" t="s">
        <v>389</v>
      </c>
      <c r="C24" s="243" t="s">
        <v>2141</v>
      </c>
      <c r="D24" s="241" t="s">
        <v>2620</v>
      </c>
      <c r="E24" s="250" t="s">
        <v>2016</v>
      </c>
      <c r="F24" s="231" t="s">
        <v>30</v>
      </c>
      <c r="G24" s="232" t="s">
        <v>1759</v>
      </c>
      <c r="H24" s="238" t="s">
        <v>1761</v>
      </c>
      <c r="I24" s="238" t="s">
        <v>38</v>
      </c>
      <c r="J24" s="263" t="s">
        <v>1956</v>
      </c>
      <c r="K24" s="233">
        <v>46472</v>
      </c>
      <c r="L24" s="232" t="s">
        <v>38</v>
      </c>
      <c r="M24" s="232" t="s">
        <v>38</v>
      </c>
      <c r="N24" s="242" t="s">
        <v>2003</v>
      </c>
      <c r="O24" s="237" t="s">
        <v>1009</v>
      </c>
      <c r="P24" s="237" t="s">
        <v>1009</v>
      </c>
      <c r="Q24" s="209" t="s">
        <v>2555</v>
      </c>
    </row>
    <row r="25" spans="1:19" s="209" customFormat="1" x14ac:dyDescent="0.25">
      <c r="A25" s="238" t="s">
        <v>1803</v>
      </c>
      <c r="B25" s="243" t="s">
        <v>1796</v>
      </c>
      <c r="C25" s="239" t="s">
        <v>1795</v>
      </c>
      <c r="D25" s="239"/>
      <c r="E25" s="250" t="s">
        <v>1794</v>
      </c>
      <c r="F25" s="231" t="s">
        <v>1812</v>
      </c>
      <c r="G25" s="232" t="s">
        <v>1760</v>
      </c>
      <c r="H25" s="238" t="s">
        <v>1761</v>
      </c>
      <c r="I25" s="238" t="s">
        <v>38</v>
      </c>
      <c r="J25" s="263" t="s">
        <v>1956</v>
      </c>
      <c r="K25" s="240">
        <v>46515</v>
      </c>
      <c r="L25" s="263" t="s">
        <v>1956</v>
      </c>
      <c r="M25" s="240">
        <v>46515</v>
      </c>
      <c r="N25" s="234" t="s">
        <v>1956</v>
      </c>
      <c r="O25" s="237" t="s">
        <v>1009</v>
      </c>
      <c r="P25" s="237" t="s">
        <v>1009</v>
      </c>
      <c r="Q25" s="209" t="s">
        <v>2555</v>
      </c>
      <c r="R25" s="235"/>
      <c r="S25" s="235"/>
    </row>
    <row r="26" spans="1:19" x14ac:dyDescent="0.25">
      <c r="A26" s="238" t="s">
        <v>1803</v>
      </c>
      <c r="B26" s="256" t="s">
        <v>1952</v>
      </c>
      <c r="C26" s="239" t="s">
        <v>1848</v>
      </c>
      <c r="D26" s="239" t="s">
        <v>1849</v>
      </c>
      <c r="E26" s="250" t="s">
        <v>2287</v>
      </c>
      <c r="F26" s="239" t="s">
        <v>934</v>
      </c>
      <c r="G26" s="238" t="s">
        <v>1759</v>
      </c>
      <c r="H26" s="238" t="s">
        <v>1761</v>
      </c>
      <c r="I26" s="238" t="s">
        <v>38</v>
      </c>
      <c r="J26" s="263" t="s">
        <v>1956</v>
      </c>
      <c r="K26" s="240">
        <v>46536</v>
      </c>
      <c r="L26" s="232" t="s">
        <v>38</v>
      </c>
      <c r="M26" s="232" t="s">
        <v>38</v>
      </c>
      <c r="N26" s="234" t="s">
        <v>1956</v>
      </c>
      <c r="O26" s="237" t="s">
        <v>2554</v>
      </c>
      <c r="P26" s="237" t="s">
        <v>1009</v>
      </c>
      <c r="Q26" s="209" t="s">
        <v>2555</v>
      </c>
    </row>
    <row r="27" spans="1:19" x14ac:dyDescent="0.25">
      <c r="A27" s="238" t="s">
        <v>1803</v>
      </c>
      <c r="B27" s="243" t="s">
        <v>1642</v>
      </c>
      <c r="C27" s="231" t="s">
        <v>1734</v>
      </c>
      <c r="D27" s="239" t="s">
        <v>2621</v>
      </c>
      <c r="E27" s="250" t="s">
        <v>1733</v>
      </c>
      <c r="F27" s="231" t="s">
        <v>30</v>
      </c>
      <c r="G27" s="232" t="s">
        <v>1759</v>
      </c>
      <c r="H27" s="238" t="s">
        <v>1761</v>
      </c>
      <c r="I27" s="238" t="s">
        <v>38</v>
      </c>
      <c r="J27" s="263" t="s">
        <v>1956</v>
      </c>
      <c r="K27" s="233">
        <v>46555</v>
      </c>
      <c r="L27" s="232" t="s">
        <v>38</v>
      </c>
      <c r="M27" s="232" t="s">
        <v>38</v>
      </c>
      <c r="N27" s="242" t="s">
        <v>2003</v>
      </c>
      <c r="O27" s="237" t="s">
        <v>1009</v>
      </c>
      <c r="P27" s="237" t="s">
        <v>1009</v>
      </c>
      <c r="Q27" s="209" t="s">
        <v>2555</v>
      </c>
      <c r="R27" s="209"/>
      <c r="S27" s="209"/>
    </row>
    <row r="28" spans="1:19" ht="24" x14ac:dyDescent="0.25">
      <c r="A28" s="238" t="s">
        <v>1803</v>
      </c>
      <c r="B28" s="243" t="s">
        <v>1998</v>
      </c>
      <c r="C28" s="241" t="s">
        <v>1775</v>
      </c>
      <c r="D28" s="241" t="s">
        <v>1776</v>
      </c>
      <c r="E28" s="250" t="s">
        <v>1777</v>
      </c>
      <c r="F28" s="231" t="s">
        <v>30</v>
      </c>
      <c r="G28" s="232" t="s">
        <v>1759</v>
      </c>
      <c r="H28" s="238" t="s">
        <v>1761</v>
      </c>
      <c r="I28" s="238" t="s">
        <v>38</v>
      </c>
      <c r="J28" s="263" t="s">
        <v>1956</v>
      </c>
      <c r="K28" s="233">
        <v>46555</v>
      </c>
      <c r="L28" s="232" t="s">
        <v>38</v>
      </c>
      <c r="M28" s="232" t="s">
        <v>38</v>
      </c>
      <c r="N28" s="244" t="s">
        <v>1956</v>
      </c>
      <c r="O28" s="237" t="s">
        <v>1009</v>
      </c>
      <c r="P28" s="237" t="s">
        <v>1009</v>
      </c>
      <c r="Q28" s="209" t="s">
        <v>2555</v>
      </c>
      <c r="R28" s="209"/>
      <c r="S28" s="209"/>
    </row>
    <row r="29" spans="1:19" x14ac:dyDescent="0.25">
      <c r="A29" s="238" t="s">
        <v>1803</v>
      </c>
      <c r="B29" s="243" t="s">
        <v>1533</v>
      </c>
      <c r="C29" s="239" t="s">
        <v>1805</v>
      </c>
      <c r="D29" s="239" t="s">
        <v>2622</v>
      </c>
      <c r="E29" s="250" t="s">
        <v>1806</v>
      </c>
      <c r="F29" s="231" t="s">
        <v>934</v>
      </c>
      <c r="G29" s="232" t="s">
        <v>1759</v>
      </c>
      <c r="H29" s="238" t="s">
        <v>1761</v>
      </c>
      <c r="I29" s="238" t="s">
        <v>38</v>
      </c>
      <c r="J29" s="263" t="s">
        <v>1956</v>
      </c>
      <c r="K29" s="233">
        <v>46557</v>
      </c>
      <c r="L29" s="232" t="s">
        <v>38</v>
      </c>
      <c r="M29" s="232" t="s">
        <v>38</v>
      </c>
      <c r="N29" s="257">
        <v>45925</v>
      </c>
      <c r="O29" s="237" t="s">
        <v>1009</v>
      </c>
      <c r="P29" s="237" t="s">
        <v>1009</v>
      </c>
      <c r="Q29" s="209" t="s">
        <v>2555</v>
      </c>
      <c r="S29" s="209"/>
    </row>
    <row r="30" spans="1:19" s="209" customFormat="1" x14ac:dyDescent="0.25">
      <c r="A30" s="238" t="s">
        <v>1803</v>
      </c>
      <c r="B30" s="313" t="s">
        <v>2079</v>
      </c>
      <c r="C30" s="314" t="s">
        <v>2390</v>
      </c>
      <c r="D30" s="314" t="s">
        <v>2391</v>
      </c>
      <c r="E30" s="250" t="s">
        <v>2392</v>
      </c>
      <c r="F30" s="315" t="s">
        <v>30</v>
      </c>
      <c r="G30" s="316" t="s">
        <v>1759</v>
      </c>
      <c r="H30" s="274" t="s">
        <v>1766</v>
      </c>
      <c r="I30" s="263" t="s">
        <v>1956</v>
      </c>
      <c r="J30" s="263" t="s">
        <v>1956</v>
      </c>
      <c r="K30" s="233">
        <v>46562</v>
      </c>
      <c r="L30" s="232" t="s">
        <v>38</v>
      </c>
      <c r="M30" s="232" t="s">
        <v>38</v>
      </c>
      <c r="N30" s="244" t="s">
        <v>1956</v>
      </c>
      <c r="O30" s="237" t="s">
        <v>1009</v>
      </c>
      <c r="P30" s="237" t="s">
        <v>1009</v>
      </c>
      <c r="Q30" s="209" t="s">
        <v>2555</v>
      </c>
    </row>
    <row r="31" spans="1:19" x14ac:dyDescent="0.25">
      <c r="A31" s="238" t="s">
        <v>1803</v>
      </c>
      <c r="B31" s="256" t="s">
        <v>1824</v>
      </c>
      <c r="C31" s="239" t="s">
        <v>1871</v>
      </c>
      <c r="D31" s="239">
        <v>8111546190</v>
      </c>
      <c r="E31" s="250" t="s">
        <v>1870</v>
      </c>
      <c r="F31" s="239" t="s">
        <v>657</v>
      </c>
      <c r="G31" s="238" t="s">
        <v>1760</v>
      </c>
      <c r="H31" s="238" t="s">
        <v>1761</v>
      </c>
      <c r="I31" s="238" t="s">
        <v>38</v>
      </c>
      <c r="J31" s="263" t="s">
        <v>1956</v>
      </c>
      <c r="K31" s="233">
        <v>46575</v>
      </c>
      <c r="L31" s="232" t="s">
        <v>38</v>
      </c>
      <c r="M31" s="232" t="s">
        <v>38</v>
      </c>
      <c r="N31" s="234" t="s">
        <v>1956</v>
      </c>
      <c r="O31" s="237" t="s">
        <v>2553</v>
      </c>
      <c r="P31" s="237" t="s">
        <v>1904</v>
      </c>
      <c r="Q31" s="209" t="s">
        <v>2555</v>
      </c>
    </row>
    <row r="32" spans="1:19" s="209" customFormat="1" x14ac:dyDescent="0.25">
      <c r="A32" s="245" t="s">
        <v>2043</v>
      </c>
      <c r="B32" s="256" t="s">
        <v>2510</v>
      </c>
      <c r="C32" s="239" t="s">
        <v>2511</v>
      </c>
      <c r="D32" s="239"/>
      <c r="E32" s="249" t="s">
        <v>2512</v>
      </c>
      <c r="F32" s="239" t="s">
        <v>934</v>
      </c>
      <c r="G32" s="238" t="s">
        <v>1759</v>
      </c>
      <c r="H32" s="274" t="s">
        <v>1766</v>
      </c>
      <c r="I32" s="255"/>
      <c r="J32" s="263" t="s">
        <v>1956</v>
      </c>
      <c r="K32" s="262">
        <v>46579</v>
      </c>
      <c r="L32" s="263" t="s">
        <v>1956</v>
      </c>
      <c r="M32" s="262">
        <v>46549</v>
      </c>
      <c r="N32" s="257" t="s">
        <v>1956</v>
      </c>
      <c r="O32" s="287"/>
      <c r="P32" s="297"/>
      <c r="Q32" s="297"/>
      <c r="R32" s="235"/>
      <c r="S32" s="235"/>
    </row>
    <row r="33" spans="1:19" s="209" customFormat="1" x14ac:dyDescent="0.25">
      <c r="A33" s="317" t="s">
        <v>1803</v>
      </c>
      <c r="B33" s="318" t="s">
        <v>1941</v>
      </c>
      <c r="C33" s="314" t="s">
        <v>2156</v>
      </c>
      <c r="D33" s="319" t="s">
        <v>2157</v>
      </c>
      <c r="E33" s="250" t="s">
        <v>2283</v>
      </c>
      <c r="F33" s="315" t="s">
        <v>30</v>
      </c>
      <c r="G33" s="316" t="s">
        <v>1759</v>
      </c>
      <c r="H33" s="238" t="s">
        <v>1761</v>
      </c>
      <c r="I33" s="238" t="s">
        <v>38</v>
      </c>
      <c r="J33" s="263" t="s">
        <v>1956</v>
      </c>
      <c r="K33" s="320">
        <v>46587</v>
      </c>
      <c r="L33" s="263" t="s">
        <v>1956</v>
      </c>
      <c r="M33" s="320">
        <v>46544</v>
      </c>
      <c r="N33" s="321" t="s">
        <v>1956</v>
      </c>
      <c r="O33" s="237" t="s">
        <v>2553</v>
      </c>
      <c r="P33" s="237" t="s">
        <v>1009</v>
      </c>
      <c r="Q33" s="303" t="s">
        <v>2552</v>
      </c>
    </row>
    <row r="34" spans="1:19" s="209" customFormat="1" ht="24" x14ac:dyDescent="0.25">
      <c r="A34" s="238" t="s">
        <v>1803</v>
      </c>
      <c r="B34" s="256" t="s">
        <v>2186</v>
      </c>
      <c r="C34" s="239" t="s">
        <v>2187</v>
      </c>
      <c r="D34" s="239" t="s">
        <v>2188</v>
      </c>
      <c r="E34" s="250" t="s">
        <v>2189</v>
      </c>
      <c r="F34" s="239" t="s">
        <v>2190</v>
      </c>
      <c r="G34" s="238" t="s">
        <v>1759</v>
      </c>
      <c r="H34" s="238" t="s">
        <v>1761</v>
      </c>
      <c r="I34" s="238" t="s">
        <v>38</v>
      </c>
      <c r="J34" s="263" t="s">
        <v>1956</v>
      </c>
      <c r="K34" s="240">
        <v>46603</v>
      </c>
      <c r="L34" s="232" t="s">
        <v>38</v>
      </c>
      <c r="M34" s="232" t="s">
        <v>38</v>
      </c>
      <c r="N34" s="257" t="s">
        <v>1956</v>
      </c>
      <c r="O34" s="237" t="s">
        <v>1009</v>
      </c>
      <c r="P34" s="237" t="s">
        <v>1009</v>
      </c>
      <c r="Q34" s="209" t="s">
        <v>2555</v>
      </c>
      <c r="R34" s="235"/>
    </row>
    <row r="35" spans="1:19" s="209" customFormat="1" ht="24" x14ac:dyDescent="0.25">
      <c r="A35" s="238" t="s">
        <v>1803</v>
      </c>
      <c r="B35" s="243" t="s">
        <v>1859</v>
      </c>
      <c r="C35" s="239" t="s">
        <v>1813</v>
      </c>
      <c r="D35" s="241" t="s">
        <v>2623</v>
      </c>
      <c r="E35" s="250" t="s">
        <v>2290</v>
      </c>
      <c r="F35" s="231" t="s">
        <v>657</v>
      </c>
      <c r="G35" s="232" t="s">
        <v>1759</v>
      </c>
      <c r="H35" s="238" t="s">
        <v>1761</v>
      </c>
      <c r="I35" s="238" t="s">
        <v>38</v>
      </c>
      <c r="J35" s="263" t="s">
        <v>1956</v>
      </c>
      <c r="K35" s="233">
        <v>46611</v>
      </c>
      <c r="L35" s="263" t="s">
        <v>1956</v>
      </c>
      <c r="M35" s="233">
        <v>46639</v>
      </c>
      <c r="N35" s="234" t="s">
        <v>1956</v>
      </c>
      <c r="O35" s="237" t="s">
        <v>2553</v>
      </c>
      <c r="P35" s="237" t="s">
        <v>1009</v>
      </c>
      <c r="Q35" s="303" t="s">
        <v>2552</v>
      </c>
      <c r="R35" s="235"/>
      <c r="S35" s="235"/>
    </row>
    <row r="36" spans="1:19" s="209" customFormat="1" x14ac:dyDescent="0.25">
      <c r="A36" s="238" t="s">
        <v>1803</v>
      </c>
      <c r="B36" s="256" t="s">
        <v>2144</v>
      </c>
      <c r="C36" s="239" t="s">
        <v>2145</v>
      </c>
      <c r="D36" s="239" t="s">
        <v>2146</v>
      </c>
      <c r="E36" s="250" t="s">
        <v>2276</v>
      </c>
      <c r="F36" s="239" t="s">
        <v>934</v>
      </c>
      <c r="G36" s="238" t="s">
        <v>1759</v>
      </c>
      <c r="H36" s="238" t="s">
        <v>1761</v>
      </c>
      <c r="I36" s="238" t="s">
        <v>38</v>
      </c>
      <c r="J36" s="263" t="s">
        <v>1956</v>
      </c>
      <c r="K36" s="240">
        <v>46637</v>
      </c>
      <c r="L36" s="263" t="s">
        <v>1956</v>
      </c>
      <c r="M36" s="240">
        <v>46624</v>
      </c>
      <c r="N36" s="234" t="s">
        <v>1956</v>
      </c>
      <c r="O36" s="237" t="s">
        <v>1009</v>
      </c>
      <c r="P36" s="237" t="s">
        <v>1009</v>
      </c>
      <c r="Q36" s="209" t="s">
        <v>2555</v>
      </c>
    </row>
    <row r="37" spans="1:19" s="209" customFormat="1" x14ac:dyDescent="0.25">
      <c r="A37" s="238" t="s">
        <v>1803</v>
      </c>
      <c r="B37" s="243" t="s">
        <v>1075</v>
      </c>
      <c r="C37" s="239" t="s">
        <v>2136</v>
      </c>
      <c r="D37" s="239" t="s">
        <v>1764</v>
      </c>
      <c r="E37" s="250" t="s">
        <v>1765</v>
      </c>
      <c r="F37" s="231" t="s">
        <v>934</v>
      </c>
      <c r="G37" s="232" t="s">
        <v>1759</v>
      </c>
      <c r="H37" s="238" t="s">
        <v>1761</v>
      </c>
      <c r="I37" s="238" t="s">
        <v>38</v>
      </c>
      <c r="J37" s="263" t="s">
        <v>1956</v>
      </c>
      <c r="K37" s="233">
        <v>46643</v>
      </c>
      <c r="L37" s="263" t="s">
        <v>1956</v>
      </c>
      <c r="M37" s="233">
        <v>46736</v>
      </c>
      <c r="N37" s="257">
        <v>45908</v>
      </c>
      <c r="O37" s="237" t="s">
        <v>2553</v>
      </c>
      <c r="P37" s="237" t="s">
        <v>38</v>
      </c>
      <c r="Q37" s="303" t="s">
        <v>2552</v>
      </c>
      <c r="S37" s="235"/>
    </row>
    <row r="38" spans="1:19" x14ac:dyDescent="0.25">
      <c r="A38" s="247" t="s">
        <v>1803</v>
      </c>
      <c r="B38" s="256" t="s">
        <v>2065</v>
      </c>
      <c r="C38" s="239" t="s">
        <v>2066</v>
      </c>
      <c r="D38" s="239" t="s">
        <v>2067</v>
      </c>
      <c r="E38" s="250" t="s">
        <v>2068</v>
      </c>
      <c r="F38" s="239" t="s">
        <v>657</v>
      </c>
      <c r="G38" s="238" t="s">
        <v>1759</v>
      </c>
      <c r="H38" s="238" t="s">
        <v>1761</v>
      </c>
      <c r="I38" s="238" t="s">
        <v>38</v>
      </c>
      <c r="J38" s="263" t="s">
        <v>1956</v>
      </c>
      <c r="K38" s="233">
        <v>46644</v>
      </c>
      <c r="L38" s="233" t="s">
        <v>38</v>
      </c>
      <c r="M38" s="233" t="s">
        <v>38</v>
      </c>
      <c r="N38" s="244" t="s">
        <v>1956</v>
      </c>
      <c r="O38" s="237" t="s">
        <v>1009</v>
      </c>
      <c r="P38" s="237" t="s">
        <v>1009</v>
      </c>
      <c r="Q38" s="209" t="s">
        <v>2555</v>
      </c>
      <c r="R38" s="209"/>
      <c r="S38" s="209"/>
    </row>
    <row r="39" spans="1:19" s="209" customFormat="1" ht="24" x14ac:dyDescent="0.25">
      <c r="A39" s="238" t="s">
        <v>1803</v>
      </c>
      <c r="B39" s="243" t="s">
        <v>1707</v>
      </c>
      <c r="C39" s="243" t="s">
        <v>2135</v>
      </c>
      <c r="D39" s="241" t="s">
        <v>2624</v>
      </c>
      <c r="E39" s="250" t="s">
        <v>1745</v>
      </c>
      <c r="F39" s="231" t="s">
        <v>956</v>
      </c>
      <c r="G39" s="232" t="s">
        <v>1760</v>
      </c>
      <c r="H39" s="238" t="s">
        <v>1761</v>
      </c>
      <c r="I39" s="238" t="s">
        <v>38</v>
      </c>
      <c r="J39" s="263" t="s">
        <v>1956</v>
      </c>
      <c r="K39" s="233">
        <v>46677</v>
      </c>
      <c r="L39" s="263" t="s">
        <v>1956</v>
      </c>
      <c r="M39" s="233">
        <v>46677</v>
      </c>
      <c r="N39" s="234" t="s">
        <v>1956</v>
      </c>
      <c r="O39" s="237" t="s">
        <v>1009</v>
      </c>
      <c r="P39" s="237" t="s">
        <v>1009</v>
      </c>
      <c r="Q39" s="209" t="s">
        <v>2555</v>
      </c>
      <c r="R39" s="235"/>
    </row>
    <row r="40" spans="1:19" x14ac:dyDescent="0.25">
      <c r="A40" s="247" t="s">
        <v>1803</v>
      </c>
      <c r="B40" s="256" t="s">
        <v>2013</v>
      </c>
      <c r="C40" s="239" t="s">
        <v>2062</v>
      </c>
      <c r="D40" s="239" t="s">
        <v>2063</v>
      </c>
      <c r="E40" s="250" t="s">
        <v>2064</v>
      </c>
      <c r="F40" s="239" t="s">
        <v>30</v>
      </c>
      <c r="G40" s="238" t="s">
        <v>1759</v>
      </c>
      <c r="H40" s="238" t="s">
        <v>1761</v>
      </c>
      <c r="I40" s="238" t="s">
        <v>38</v>
      </c>
      <c r="J40" s="263" t="s">
        <v>1956</v>
      </c>
      <c r="K40" s="233">
        <v>46693</v>
      </c>
      <c r="L40" s="232" t="s">
        <v>38</v>
      </c>
      <c r="M40" s="232" t="s">
        <v>38</v>
      </c>
      <c r="N40" s="242" t="s">
        <v>2003</v>
      </c>
      <c r="O40" s="237" t="s">
        <v>1009</v>
      </c>
      <c r="P40" s="237" t="s">
        <v>1009</v>
      </c>
      <c r="Q40" s="209" t="s">
        <v>2555</v>
      </c>
    </row>
    <row r="41" spans="1:19" s="209" customFormat="1" x14ac:dyDescent="0.25">
      <c r="A41" s="238" t="s">
        <v>1803</v>
      </c>
      <c r="B41" s="243" t="s">
        <v>164</v>
      </c>
      <c r="C41" s="231" t="s">
        <v>1737</v>
      </c>
      <c r="D41" s="239" t="s">
        <v>2625</v>
      </c>
      <c r="E41" s="250" t="s">
        <v>1576</v>
      </c>
      <c r="F41" s="231" t="s">
        <v>30</v>
      </c>
      <c r="G41" s="232" t="s">
        <v>1759</v>
      </c>
      <c r="H41" s="238" t="s">
        <v>1761</v>
      </c>
      <c r="I41" s="238" t="s">
        <v>38</v>
      </c>
      <c r="J41" s="263" t="s">
        <v>1956</v>
      </c>
      <c r="K41" s="233">
        <v>46704</v>
      </c>
      <c r="L41" s="263" t="s">
        <v>1956</v>
      </c>
      <c r="M41" s="233">
        <v>46409</v>
      </c>
      <c r="N41" s="234" t="s">
        <v>1956</v>
      </c>
      <c r="O41" s="237" t="s">
        <v>2554</v>
      </c>
      <c r="P41" s="237" t="s">
        <v>1009</v>
      </c>
      <c r="Q41" s="209" t="s">
        <v>2555</v>
      </c>
    </row>
    <row r="42" spans="1:19" s="209" customFormat="1" ht="24" x14ac:dyDescent="0.25">
      <c r="A42" s="238" t="s">
        <v>1803</v>
      </c>
      <c r="B42" s="256" t="s">
        <v>2307</v>
      </c>
      <c r="C42" s="239" t="s">
        <v>2308</v>
      </c>
      <c r="D42" s="239" t="s">
        <v>2626</v>
      </c>
      <c r="E42" s="249" t="s">
        <v>2309</v>
      </c>
      <c r="F42" s="239" t="s">
        <v>956</v>
      </c>
      <c r="G42" s="238" t="s">
        <v>1760</v>
      </c>
      <c r="H42" s="238" t="s">
        <v>1761</v>
      </c>
      <c r="I42" s="238" t="s">
        <v>38</v>
      </c>
      <c r="J42" s="263" t="s">
        <v>1956</v>
      </c>
      <c r="K42" s="233">
        <v>46707</v>
      </c>
      <c r="L42" s="232" t="s">
        <v>38</v>
      </c>
      <c r="M42" s="232" t="s">
        <v>38</v>
      </c>
      <c r="N42" s="257" t="s">
        <v>1956</v>
      </c>
      <c r="O42" s="237" t="s">
        <v>1009</v>
      </c>
      <c r="P42" s="237" t="s">
        <v>1009</v>
      </c>
      <c r="Q42" s="209" t="s">
        <v>2555</v>
      </c>
      <c r="R42" s="235"/>
      <c r="S42" s="235"/>
    </row>
    <row r="43" spans="1:19" s="209" customFormat="1" x14ac:dyDescent="0.25">
      <c r="A43" s="238" t="s">
        <v>1803</v>
      </c>
      <c r="B43" s="243" t="s">
        <v>1685</v>
      </c>
      <c r="C43" s="231" t="s">
        <v>2589</v>
      </c>
      <c r="D43" s="239" t="s">
        <v>2033</v>
      </c>
      <c r="E43" s="250" t="s">
        <v>2032</v>
      </c>
      <c r="F43" s="231" t="s">
        <v>30</v>
      </c>
      <c r="G43" s="232" t="s">
        <v>1759</v>
      </c>
      <c r="H43" s="238" t="s">
        <v>1761</v>
      </c>
      <c r="I43" s="238" t="s">
        <v>38</v>
      </c>
      <c r="J43" s="263" t="s">
        <v>1956</v>
      </c>
      <c r="K43" s="233">
        <v>46715</v>
      </c>
      <c r="L43" s="263" t="s">
        <v>1956</v>
      </c>
      <c r="M43" s="233">
        <v>46715</v>
      </c>
      <c r="N43" s="244" t="s">
        <v>1956</v>
      </c>
      <c r="O43" s="237" t="s">
        <v>2554</v>
      </c>
      <c r="P43" s="237" t="s">
        <v>1009</v>
      </c>
      <c r="Q43" s="209" t="s">
        <v>2555</v>
      </c>
    </row>
    <row r="44" spans="1:19" x14ac:dyDescent="0.25">
      <c r="A44" s="238" t="s">
        <v>1803</v>
      </c>
      <c r="B44" s="256" t="s">
        <v>1908</v>
      </c>
      <c r="C44" s="231" t="s">
        <v>1951</v>
      </c>
      <c r="E44" s="250" t="s">
        <v>2291</v>
      </c>
      <c r="F44" s="239" t="s">
        <v>934</v>
      </c>
      <c r="G44" s="238" t="s">
        <v>1759</v>
      </c>
      <c r="H44" s="274" t="s">
        <v>1766</v>
      </c>
      <c r="I44" s="263" t="s">
        <v>1956</v>
      </c>
      <c r="J44" s="263" t="s">
        <v>1956</v>
      </c>
      <c r="K44" s="240">
        <v>46715</v>
      </c>
      <c r="L44" s="238" t="s">
        <v>38</v>
      </c>
      <c r="M44" s="238" t="s">
        <v>38</v>
      </c>
      <c r="N44" s="234" t="s">
        <v>1956</v>
      </c>
      <c r="O44" s="237" t="s">
        <v>1009</v>
      </c>
      <c r="P44" s="237" t="s">
        <v>1009</v>
      </c>
      <c r="Q44" s="209" t="s">
        <v>2555</v>
      </c>
    </row>
    <row r="45" spans="1:19" ht="24" x14ac:dyDescent="0.25">
      <c r="A45" s="238" t="s">
        <v>1803</v>
      </c>
      <c r="B45" s="256" t="s">
        <v>2127</v>
      </c>
      <c r="C45" s="241" t="s">
        <v>2169</v>
      </c>
      <c r="D45" s="241" t="s">
        <v>2171</v>
      </c>
      <c r="E45" s="250" t="s">
        <v>2170</v>
      </c>
      <c r="F45" s="239" t="s">
        <v>657</v>
      </c>
      <c r="G45" s="238" t="s">
        <v>1759</v>
      </c>
      <c r="H45" s="238" t="s">
        <v>1761</v>
      </c>
      <c r="I45" s="238" t="s">
        <v>38</v>
      </c>
      <c r="J45" s="263" t="s">
        <v>1956</v>
      </c>
      <c r="K45" s="240">
        <v>46718</v>
      </c>
      <c r="L45" s="238" t="s">
        <v>38</v>
      </c>
      <c r="M45" s="238" t="s">
        <v>38</v>
      </c>
      <c r="N45" s="234" t="s">
        <v>1956</v>
      </c>
      <c r="O45" s="237" t="s">
        <v>1009</v>
      </c>
      <c r="P45" s="237" t="s">
        <v>1009</v>
      </c>
      <c r="Q45" s="209" t="s">
        <v>2555</v>
      </c>
      <c r="R45" s="209"/>
      <c r="S45" s="209"/>
    </row>
    <row r="46" spans="1:19" s="209" customFormat="1" x14ac:dyDescent="0.25">
      <c r="A46" s="238" t="s">
        <v>1803</v>
      </c>
      <c r="B46" s="243" t="s">
        <v>976</v>
      </c>
      <c r="C46" s="239" t="s">
        <v>2138</v>
      </c>
      <c r="D46" s="239" t="s">
        <v>1750</v>
      </c>
      <c r="E46" s="250" t="s">
        <v>1749</v>
      </c>
      <c r="F46" s="231" t="s">
        <v>934</v>
      </c>
      <c r="G46" s="232" t="s">
        <v>1759</v>
      </c>
      <c r="H46" s="238" t="s">
        <v>1761</v>
      </c>
      <c r="I46" s="238" t="s">
        <v>38</v>
      </c>
      <c r="J46" s="263" t="s">
        <v>1956</v>
      </c>
      <c r="K46" s="233">
        <v>46730</v>
      </c>
      <c r="L46" s="263" t="s">
        <v>1956</v>
      </c>
      <c r="M46" s="233">
        <v>46730</v>
      </c>
      <c r="N46" s="244" t="s">
        <v>1956</v>
      </c>
      <c r="O46" s="237" t="s">
        <v>1009</v>
      </c>
      <c r="P46" s="237" t="s">
        <v>1009</v>
      </c>
      <c r="Q46" s="209" t="s">
        <v>2555</v>
      </c>
      <c r="R46" s="235"/>
    </row>
    <row r="47" spans="1:19" s="209" customFormat="1" x14ac:dyDescent="0.25">
      <c r="A47" s="238" t="s">
        <v>1803</v>
      </c>
      <c r="B47" s="256" t="s">
        <v>1231</v>
      </c>
      <c r="C47" s="239" t="s">
        <v>2468</v>
      </c>
      <c r="D47" s="241" t="s">
        <v>2627</v>
      </c>
      <c r="E47" s="250" t="s">
        <v>2469</v>
      </c>
      <c r="F47" s="231" t="s">
        <v>1211</v>
      </c>
      <c r="G47" s="238" t="s">
        <v>1760</v>
      </c>
      <c r="H47" s="238" t="s">
        <v>1761</v>
      </c>
      <c r="I47" s="238" t="s">
        <v>38</v>
      </c>
      <c r="J47" s="263" t="s">
        <v>1956</v>
      </c>
      <c r="K47" s="240">
        <v>46737</v>
      </c>
      <c r="L47" s="232" t="s">
        <v>38</v>
      </c>
      <c r="M47" s="232" t="s">
        <v>38</v>
      </c>
      <c r="N47" s="248"/>
      <c r="O47" s="237" t="s">
        <v>2553</v>
      </c>
      <c r="P47" s="237" t="s">
        <v>1904</v>
      </c>
      <c r="Q47" s="209" t="s">
        <v>2555</v>
      </c>
      <c r="R47" s="235"/>
      <c r="S47" s="235"/>
    </row>
    <row r="48" spans="1:19" s="209" customFormat="1" x14ac:dyDescent="0.25">
      <c r="A48" s="238" t="s">
        <v>1803</v>
      </c>
      <c r="B48" s="256" t="s">
        <v>1503</v>
      </c>
      <c r="C48" s="239" t="s">
        <v>2175</v>
      </c>
      <c r="D48" s="241" t="s">
        <v>2628</v>
      </c>
      <c r="E48" s="250" t="s">
        <v>2176</v>
      </c>
      <c r="F48" s="239" t="s">
        <v>657</v>
      </c>
      <c r="G48" s="238" t="s">
        <v>1759</v>
      </c>
      <c r="H48" s="238" t="s">
        <v>1761</v>
      </c>
      <c r="I48" s="238" t="s">
        <v>38</v>
      </c>
      <c r="J48" s="263" t="s">
        <v>1956</v>
      </c>
      <c r="K48" s="233">
        <v>46775</v>
      </c>
      <c r="L48" s="232" t="s">
        <v>38</v>
      </c>
      <c r="M48" s="232" t="s">
        <v>38</v>
      </c>
      <c r="N48" s="257" t="s">
        <v>1956</v>
      </c>
      <c r="O48" s="237" t="s">
        <v>1009</v>
      </c>
      <c r="P48" s="237" t="s">
        <v>1009</v>
      </c>
      <c r="Q48" s="209" t="s">
        <v>2555</v>
      </c>
      <c r="R48" s="235"/>
      <c r="S48" s="235"/>
    </row>
    <row r="49" spans="1:19" x14ac:dyDescent="0.25">
      <c r="A49" s="238" t="s">
        <v>1803</v>
      </c>
      <c r="B49" s="243" t="s">
        <v>283</v>
      </c>
      <c r="C49" s="239" t="s">
        <v>1669</v>
      </c>
      <c r="D49" s="239" t="s">
        <v>286</v>
      </c>
      <c r="E49" s="250" t="s">
        <v>1668</v>
      </c>
      <c r="F49" s="231" t="s">
        <v>30</v>
      </c>
      <c r="G49" s="232" t="s">
        <v>1759</v>
      </c>
      <c r="H49" s="238" t="s">
        <v>1761</v>
      </c>
      <c r="I49" s="238" t="s">
        <v>38</v>
      </c>
      <c r="J49" s="263" t="s">
        <v>1956</v>
      </c>
      <c r="K49" s="233">
        <v>46787</v>
      </c>
      <c r="L49" s="232" t="s">
        <v>38</v>
      </c>
      <c r="M49" s="232" t="s">
        <v>38</v>
      </c>
      <c r="N49" s="234" t="s">
        <v>1956</v>
      </c>
      <c r="O49" s="237" t="s">
        <v>1009</v>
      </c>
      <c r="P49" s="237" t="s">
        <v>1009</v>
      </c>
      <c r="Q49" s="209" t="s">
        <v>2555</v>
      </c>
    </row>
    <row r="50" spans="1:19" s="209" customFormat="1" x14ac:dyDescent="0.25">
      <c r="A50" s="238" t="s">
        <v>1803</v>
      </c>
      <c r="B50" s="243" t="s">
        <v>1797</v>
      </c>
      <c r="C50" s="231" t="s">
        <v>2139</v>
      </c>
      <c r="D50" s="239" t="s">
        <v>1747</v>
      </c>
      <c r="E50" s="250" t="s">
        <v>1746</v>
      </c>
      <c r="F50" s="231" t="s">
        <v>30</v>
      </c>
      <c r="G50" s="232" t="s">
        <v>1759</v>
      </c>
      <c r="H50" s="238" t="s">
        <v>1761</v>
      </c>
      <c r="I50" s="238" t="s">
        <v>38</v>
      </c>
      <c r="J50" s="263" t="s">
        <v>1956</v>
      </c>
      <c r="K50" s="233">
        <v>46811</v>
      </c>
      <c r="L50" s="232" t="s">
        <v>38</v>
      </c>
      <c r="M50" s="232" t="s">
        <v>38</v>
      </c>
      <c r="N50" s="234" t="s">
        <v>1956</v>
      </c>
      <c r="O50" s="237" t="s">
        <v>1009</v>
      </c>
      <c r="P50" s="237" t="s">
        <v>1009</v>
      </c>
      <c r="Q50" s="209" t="s">
        <v>2555</v>
      </c>
    </row>
    <row r="51" spans="1:19" ht="24" x14ac:dyDescent="0.25">
      <c r="A51" s="238" t="s">
        <v>1803</v>
      </c>
      <c r="B51" s="256" t="s">
        <v>1861</v>
      </c>
      <c r="C51" s="239" t="s">
        <v>1872</v>
      </c>
      <c r="D51" s="322" t="s">
        <v>2629</v>
      </c>
      <c r="E51" s="250" t="s">
        <v>1973</v>
      </c>
      <c r="F51" s="239" t="s">
        <v>30</v>
      </c>
      <c r="G51" s="238" t="s">
        <v>1759</v>
      </c>
      <c r="H51" s="238" t="s">
        <v>1761</v>
      </c>
      <c r="I51" s="238" t="s">
        <v>38</v>
      </c>
      <c r="J51" s="263" t="s">
        <v>1956</v>
      </c>
      <c r="K51" s="240">
        <v>46816</v>
      </c>
      <c r="L51" s="263" t="s">
        <v>1956</v>
      </c>
      <c r="M51" s="240">
        <v>46840</v>
      </c>
      <c r="N51" s="234" t="s">
        <v>1956</v>
      </c>
      <c r="O51" s="237" t="s">
        <v>2554</v>
      </c>
      <c r="P51" s="237" t="s">
        <v>1009</v>
      </c>
      <c r="Q51" s="209" t="s">
        <v>2555</v>
      </c>
      <c r="R51" s="209"/>
    </row>
    <row r="52" spans="1:19" s="209" customFormat="1" x14ac:dyDescent="0.25">
      <c r="A52" s="238" t="s">
        <v>1803</v>
      </c>
      <c r="B52" s="256" t="s">
        <v>1954</v>
      </c>
      <c r="C52" s="241" t="s">
        <v>2131</v>
      </c>
      <c r="D52" s="239" t="s">
        <v>2630</v>
      </c>
      <c r="E52" s="250" t="s">
        <v>2274</v>
      </c>
      <c r="F52" s="231" t="s">
        <v>30</v>
      </c>
      <c r="G52" s="232" t="s">
        <v>1759</v>
      </c>
      <c r="H52" s="238" t="s">
        <v>1761</v>
      </c>
      <c r="I52" s="238" t="s">
        <v>38</v>
      </c>
      <c r="J52" s="263" t="s">
        <v>1956</v>
      </c>
      <c r="K52" s="262">
        <v>46823</v>
      </c>
      <c r="L52" s="232" t="s">
        <v>38</v>
      </c>
      <c r="M52" s="232" t="s">
        <v>38</v>
      </c>
      <c r="N52" s="234" t="s">
        <v>1956</v>
      </c>
      <c r="O52" s="237" t="s">
        <v>2554</v>
      </c>
      <c r="P52" s="237" t="s">
        <v>1009</v>
      </c>
      <c r="Q52" s="209" t="s">
        <v>2555</v>
      </c>
    </row>
    <row r="53" spans="1:19" ht="24" x14ac:dyDescent="0.25">
      <c r="A53" s="238" t="s">
        <v>1803</v>
      </c>
      <c r="B53" s="256" t="s">
        <v>1979</v>
      </c>
      <c r="C53" s="239" t="s">
        <v>2172</v>
      </c>
      <c r="D53" s="239" t="s">
        <v>2174</v>
      </c>
      <c r="E53" s="250" t="s">
        <v>2173</v>
      </c>
      <c r="F53" s="239" t="s">
        <v>30</v>
      </c>
      <c r="G53" s="238" t="s">
        <v>1759</v>
      </c>
      <c r="H53" s="238" t="s">
        <v>1761</v>
      </c>
      <c r="I53" s="238" t="s">
        <v>38</v>
      </c>
      <c r="J53" s="263" t="s">
        <v>1956</v>
      </c>
      <c r="K53" s="240">
        <v>46823</v>
      </c>
      <c r="L53" s="232" t="s">
        <v>38</v>
      </c>
      <c r="M53" s="232" t="s">
        <v>38</v>
      </c>
      <c r="N53" s="257" t="s">
        <v>1956</v>
      </c>
      <c r="O53" s="237" t="s">
        <v>2553</v>
      </c>
      <c r="P53" s="237" t="s">
        <v>1009</v>
      </c>
      <c r="Q53" s="303" t="s">
        <v>2552</v>
      </c>
      <c r="R53" s="209"/>
    </row>
    <row r="54" spans="1:19" s="209" customFormat="1" ht="24" x14ac:dyDescent="0.25">
      <c r="A54" s="238" t="s">
        <v>1803</v>
      </c>
      <c r="B54" s="256" t="s">
        <v>1980</v>
      </c>
      <c r="C54" s="239" t="s">
        <v>2172</v>
      </c>
      <c r="D54" s="239" t="s">
        <v>2174</v>
      </c>
      <c r="E54" s="250" t="s">
        <v>2173</v>
      </c>
      <c r="F54" s="239" t="s">
        <v>657</v>
      </c>
      <c r="G54" s="238" t="s">
        <v>1759</v>
      </c>
      <c r="H54" s="238" t="s">
        <v>1761</v>
      </c>
      <c r="I54" s="238" t="s">
        <v>38</v>
      </c>
      <c r="J54" s="263" t="s">
        <v>1956</v>
      </c>
      <c r="K54" s="240">
        <v>46823</v>
      </c>
      <c r="L54" s="232" t="s">
        <v>38</v>
      </c>
      <c r="M54" s="232" t="s">
        <v>38</v>
      </c>
      <c r="N54" s="257" t="s">
        <v>1956</v>
      </c>
      <c r="O54" s="237" t="s">
        <v>2553</v>
      </c>
      <c r="P54" s="237" t="s">
        <v>1009</v>
      </c>
      <c r="Q54" s="303" t="s">
        <v>2552</v>
      </c>
      <c r="R54" s="235"/>
      <c r="S54" s="235"/>
    </row>
    <row r="55" spans="1:19" s="209" customFormat="1" ht="24" x14ac:dyDescent="0.25">
      <c r="A55" s="238" t="s">
        <v>1803</v>
      </c>
      <c r="B55" s="243" t="s">
        <v>1748</v>
      </c>
      <c r="C55" s="241" t="s">
        <v>2678</v>
      </c>
      <c r="D55" s="241" t="s">
        <v>2631</v>
      </c>
      <c r="E55" s="250" t="s">
        <v>2679</v>
      </c>
      <c r="F55" s="231" t="s">
        <v>30</v>
      </c>
      <c r="G55" s="232" t="s">
        <v>1759</v>
      </c>
      <c r="H55" s="238" t="s">
        <v>1761</v>
      </c>
      <c r="I55" s="238" t="s">
        <v>38</v>
      </c>
      <c r="J55" s="263" t="s">
        <v>1956</v>
      </c>
      <c r="K55" s="233">
        <v>46871</v>
      </c>
      <c r="L55" s="232" t="s">
        <v>38</v>
      </c>
      <c r="M55" s="232" t="s">
        <v>38</v>
      </c>
      <c r="N55" s="244" t="s">
        <v>1956</v>
      </c>
      <c r="O55" s="237" t="s">
        <v>1009</v>
      </c>
      <c r="P55" s="237" t="s">
        <v>1009</v>
      </c>
      <c r="Q55" s="209" t="s">
        <v>2555</v>
      </c>
      <c r="R55" s="235"/>
      <c r="S55" s="235"/>
    </row>
    <row r="56" spans="1:19" x14ac:dyDescent="0.25">
      <c r="A56" s="245" t="s">
        <v>2043</v>
      </c>
      <c r="B56" s="256" t="s">
        <v>2595</v>
      </c>
      <c r="C56" s="239" t="s">
        <v>2601</v>
      </c>
      <c r="D56" s="239" t="s">
        <v>2638</v>
      </c>
      <c r="E56" s="249" t="s">
        <v>2602</v>
      </c>
      <c r="F56" s="231" t="s">
        <v>1211</v>
      </c>
      <c r="G56" s="238" t="s">
        <v>1760</v>
      </c>
      <c r="H56" s="238" t="s">
        <v>1761</v>
      </c>
      <c r="I56" s="238" t="s">
        <v>38</v>
      </c>
      <c r="J56" s="263" t="s">
        <v>1956</v>
      </c>
      <c r="K56" s="262">
        <v>46884</v>
      </c>
      <c r="L56" s="232" t="s">
        <v>38</v>
      </c>
      <c r="M56" s="232" t="s">
        <v>38</v>
      </c>
      <c r="N56" s="321" t="s">
        <v>1956</v>
      </c>
      <c r="O56" s="237" t="s">
        <v>2553</v>
      </c>
      <c r="P56" s="237" t="s">
        <v>1009</v>
      </c>
      <c r="Q56" s="303" t="s">
        <v>2552</v>
      </c>
      <c r="S56" s="209"/>
    </row>
    <row r="57" spans="1:19" s="209" customFormat="1" x14ac:dyDescent="0.25">
      <c r="A57" s="238" t="s">
        <v>1803</v>
      </c>
      <c r="B57" s="256" t="s">
        <v>2420</v>
      </c>
      <c r="C57" s="239" t="s">
        <v>2421</v>
      </c>
      <c r="D57" s="239" t="s">
        <v>2423</v>
      </c>
      <c r="E57" s="249" t="s">
        <v>2422</v>
      </c>
      <c r="F57" s="231" t="s">
        <v>657</v>
      </c>
      <c r="G57" s="232" t="s">
        <v>1759</v>
      </c>
      <c r="H57" s="238" t="s">
        <v>1761</v>
      </c>
      <c r="I57" s="238" t="s">
        <v>38</v>
      </c>
      <c r="J57" s="263" t="s">
        <v>1956</v>
      </c>
      <c r="K57" s="233">
        <v>46884</v>
      </c>
      <c r="L57" s="263" t="s">
        <v>1956</v>
      </c>
      <c r="M57" s="233">
        <v>46884</v>
      </c>
      <c r="N57" s="321" t="s">
        <v>1956</v>
      </c>
      <c r="O57" s="237" t="s">
        <v>1009</v>
      </c>
      <c r="P57" s="237" t="s">
        <v>1009</v>
      </c>
      <c r="Q57" s="209" t="s">
        <v>2555</v>
      </c>
      <c r="R57" s="235"/>
      <c r="S57" s="235"/>
    </row>
    <row r="58" spans="1:19" s="209" customFormat="1" x14ac:dyDescent="0.25">
      <c r="A58" s="245" t="s">
        <v>2043</v>
      </c>
      <c r="B58" s="310" t="s">
        <v>2494</v>
      </c>
      <c r="C58" s="239" t="s">
        <v>2514</v>
      </c>
      <c r="D58" s="241" t="s">
        <v>2632</v>
      </c>
      <c r="E58" s="250" t="s">
        <v>2515</v>
      </c>
      <c r="F58" s="239" t="s">
        <v>934</v>
      </c>
      <c r="G58" s="238" t="s">
        <v>1759</v>
      </c>
      <c r="H58" s="238" t="s">
        <v>1761</v>
      </c>
      <c r="I58" s="238" t="s">
        <v>38</v>
      </c>
      <c r="J58" s="263" t="s">
        <v>1956</v>
      </c>
      <c r="K58" s="262">
        <v>46901</v>
      </c>
      <c r="L58" s="232" t="s">
        <v>38</v>
      </c>
      <c r="M58" s="232" t="s">
        <v>38</v>
      </c>
      <c r="N58" s="321" t="s">
        <v>1956</v>
      </c>
      <c r="O58" s="237" t="s">
        <v>1009</v>
      </c>
      <c r="P58" s="237" t="s">
        <v>1009</v>
      </c>
      <c r="Q58" s="209" t="s">
        <v>2555</v>
      </c>
    </row>
    <row r="59" spans="1:19" s="209" customFormat="1" ht="24" x14ac:dyDescent="0.25">
      <c r="A59" s="245" t="s">
        <v>2043</v>
      </c>
      <c r="B59" s="256" t="s">
        <v>2584</v>
      </c>
      <c r="C59" s="239" t="s">
        <v>2587</v>
      </c>
      <c r="D59" s="239" t="s">
        <v>2636</v>
      </c>
      <c r="E59" s="249" t="s">
        <v>2586</v>
      </c>
      <c r="F59" s="239" t="s">
        <v>934</v>
      </c>
      <c r="G59" s="238" t="s">
        <v>1759</v>
      </c>
      <c r="H59" s="238" t="s">
        <v>1761</v>
      </c>
      <c r="I59" s="238" t="s">
        <v>38</v>
      </c>
      <c r="J59" s="263" t="s">
        <v>1956</v>
      </c>
      <c r="K59" s="262">
        <v>46921</v>
      </c>
      <c r="L59" s="232" t="s">
        <v>38</v>
      </c>
      <c r="M59" s="232" t="s">
        <v>38</v>
      </c>
      <c r="N59" s="257">
        <v>46161</v>
      </c>
      <c r="O59" s="237" t="s">
        <v>2553</v>
      </c>
      <c r="P59" s="237" t="s">
        <v>1009</v>
      </c>
      <c r="Q59" s="303" t="s">
        <v>2552</v>
      </c>
      <c r="R59" s="235"/>
      <c r="S59" s="235"/>
    </row>
    <row r="60" spans="1:19" s="209" customFormat="1" ht="24" x14ac:dyDescent="0.25">
      <c r="A60" s="238" t="s">
        <v>1803</v>
      </c>
      <c r="B60" s="256" t="s">
        <v>2350</v>
      </c>
      <c r="C60" s="239" t="s">
        <v>2481</v>
      </c>
      <c r="D60" s="239" t="s">
        <v>2513</v>
      </c>
      <c r="E60" s="249" t="s">
        <v>2482</v>
      </c>
      <c r="F60" s="231" t="s">
        <v>30</v>
      </c>
      <c r="G60" s="232" t="s">
        <v>1759</v>
      </c>
      <c r="H60" s="238" t="s">
        <v>1761</v>
      </c>
      <c r="I60" s="238" t="s">
        <v>38</v>
      </c>
      <c r="J60" s="263" t="s">
        <v>1956</v>
      </c>
      <c r="K60" s="262">
        <v>46930</v>
      </c>
      <c r="L60" s="232" t="s">
        <v>38</v>
      </c>
      <c r="M60" s="232" t="s">
        <v>38</v>
      </c>
      <c r="N60" s="257" t="s">
        <v>1956</v>
      </c>
      <c r="O60" s="237" t="s">
        <v>2553</v>
      </c>
      <c r="P60" s="237" t="s">
        <v>1009</v>
      </c>
      <c r="Q60" s="303" t="s">
        <v>2552</v>
      </c>
      <c r="R60" s="235"/>
      <c r="S60" s="235"/>
    </row>
    <row r="61" spans="1:19" s="209" customFormat="1" x14ac:dyDescent="0.25">
      <c r="A61" s="247" t="s">
        <v>1803</v>
      </c>
      <c r="B61" s="256" t="s">
        <v>1360</v>
      </c>
      <c r="C61" s="239" t="s">
        <v>2120</v>
      </c>
      <c r="D61" s="239" t="s">
        <v>2121</v>
      </c>
      <c r="E61" s="250" t="s">
        <v>2119</v>
      </c>
      <c r="F61" s="239" t="s">
        <v>1229</v>
      </c>
      <c r="G61" s="238" t="s">
        <v>1760</v>
      </c>
      <c r="H61" s="238" t="s">
        <v>1761</v>
      </c>
      <c r="I61" s="238" t="s">
        <v>38</v>
      </c>
      <c r="J61" s="263" t="s">
        <v>1956</v>
      </c>
      <c r="K61" s="240">
        <v>46934</v>
      </c>
      <c r="L61" s="238" t="s">
        <v>38</v>
      </c>
      <c r="M61" s="238" t="s">
        <v>38</v>
      </c>
      <c r="N61" s="244" t="s">
        <v>1956</v>
      </c>
      <c r="O61" s="237" t="s">
        <v>2553</v>
      </c>
      <c r="P61" s="237" t="s">
        <v>1009</v>
      </c>
      <c r="Q61" s="303" t="s">
        <v>2552</v>
      </c>
      <c r="R61" s="235"/>
      <c r="S61" s="235"/>
    </row>
    <row r="62" spans="1:19" s="209" customFormat="1" x14ac:dyDescent="0.25">
      <c r="A62" s="238" t="s">
        <v>1803</v>
      </c>
      <c r="B62" s="256" t="s">
        <v>2044</v>
      </c>
      <c r="C62" s="239" t="s">
        <v>2045</v>
      </c>
      <c r="D62" s="239" t="s">
        <v>2046</v>
      </c>
      <c r="E62" s="250" t="s">
        <v>2281</v>
      </c>
      <c r="F62" s="231" t="s">
        <v>934</v>
      </c>
      <c r="G62" s="238" t="s">
        <v>1759</v>
      </c>
      <c r="H62" s="274" t="s">
        <v>1766</v>
      </c>
      <c r="I62" s="263" t="s">
        <v>1956</v>
      </c>
      <c r="J62" s="263" t="s">
        <v>1956</v>
      </c>
      <c r="K62" s="240">
        <v>46985</v>
      </c>
      <c r="L62" s="232" t="s">
        <v>38</v>
      </c>
      <c r="M62" s="232" t="s">
        <v>38</v>
      </c>
      <c r="N62" s="234" t="s">
        <v>1956</v>
      </c>
      <c r="O62" s="237" t="s">
        <v>1009</v>
      </c>
      <c r="P62" s="237" t="s">
        <v>1009</v>
      </c>
      <c r="Q62" s="209" t="s">
        <v>2555</v>
      </c>
      <c r="R62" s="235"/>
    </row>
    <row r="63" spans="1:19" ht="24" x14ac:dyDescent="0.25">
      <c r="A63" s="238" t="s">
        <v>1803</v>
      </c>
      <c r="B63" s="243" t="s">
        <v>1829</v>
      </c>
      <c r="C63" s="243" t="s">
        <v>2134</v>
      </c>
      <c r="D63" s="241" t="s">
        <v>2633</v>
      </c>
      <c r="E63" s="250" t="s">
        <v>1732</v>
      </c>
      <c r="F63" s="231" t="s">
        <v>30</v>
      </c>
      <c r="G63" s="232" t="s">
        <v>1759</v>
      </c>
      <c r="H63" s="238" t="s">
        <v>1761</v>
      </c>
      <c r="I63" s="238" t="s">
        <v>38</v>
      </c>
      <c r="J63" s="263" t="s">
        <v>1956</v>
      </c>
      <c r="K63" s="262">
        <v>47010</v>
      </c>
      <c r="L63" s="232" t="s">
        <v>38</v>
      </c>
      <c r="M63" s="232" t="s">
        <v>38</v>
      </c>
      <c r="N63" s="242" t="s">
        <v>2003</v>
      </c>
      <c r="O63" s="237" t="s">
        <v>1009</v>
      </c>
      <c r="P63" s="237" t="s">
        <v>1009</v>
      </c>
      <c r="Q63" s="209" t="s">
        <v>2555</v>
      </c>
      <c r="R63" s="209"/>
      <c r="S63" s="209"/>
    </row>
    <row r="64" spans="1:19" x14ac:dyDescent="0.25">
      <c r="A64" s="238" t="s">
        <v>1803</v>
      </c>
      <c r="B64" s="243" t="s">
        <v>1616</v>
      </c>
      <c r="C64" s="231" t="s">
        <v>2132</v>
      </c>
      <c r="D64" s="241" t="s">
        <v>2634</v>
      </c>
      <c r="E64" s="250" t="s">
        <v>1735</v>
      </c>
      <c r="F64" s="231" t="s">
        <v>30</v>
      </c>
      <c r="G64" s="232" t="s">
        <v>1759</v>
      </c>
      <c r="H64" s="238" t="s">
        <v>1761</v>
      </c>
      <c r="I64" s="238" t="s">
        <v>38</v>
      </c>
      <c r="J64" s="263" t="s">
        <v>1956</v>
      </c>
      <c r="K64" s="233">
        <v>47033</v>
      </c>
      <c r="L64" s="232" t="s">
        <v>38</v>
      </c>
      <c r="M64" s="232" t="s">
        <v>38</v>
      </c>
      <c r="N64" s="242" t="s">
        <v>2003</v>
      </c>
      <c r="O64" s="237" t="s">
        <v>1009</v>
      </c>
      <c r="P64" s="237" t="s">
        <v>1009</v>
      </c>
      <c r="Q64" s="209" t="s">
        <v>2555</v>
      </c>
      <c r="R64" s="209"/>
      <c r="S64" s="209"/>
    </row>
    <row r="65" spans="1:19" x14ac:dyDescent="0.25">
      <c r="A65" s="238" t="s">
        <v>1803</v>
      </c>
      <c r="B65" s="243" t="s">
        <v>1701</v>
      </c>
      <c r="C65" s="239" t="s">
        <v>2035</v>
      </c>
      <c r="D65" s="264" t="s">
        <v>2036</v>
      </c>
      <c r="E65" s="250" t="s">
        <v>2280</v>
      </c>
      <c r="F65" s="231" t="s">
        <v>1699</v>
      </c>
      <c r="G65" s="232" t="s">
        <v>1760</v>
      </c>
      <c r="H65" s="238" t="s">
        <v>1761</v>
      </c>
      <c r="I65" s="238" t="s">
        <v>38</v>
      </c>
      <c r="J65" s="263" t="s">
        <v>1956</v>
      </c>
      <c r="K65" s="233">
        <v>47040</v>
      </c>
      <c r="L65" s="232" t="s">
        <v>38</v>
      </c>
      <c r="M65" s="232" t="s">
        <v>38</v>
      </c>
      <c r="N65" s="234" t="s">
        <v>1956</v>
      </c>
      <c r="O65" s="237" t="s">
        <v>1009</v>
      </c>
      <c r="P65" s="237" t="s">
        <v>1009</v>
      </c>
      <c r="Q65" s="209" t="s">
        <v>2555</v>
      </c>
      <c r="R65" s="209"/>
      <c r="S65" s="209"/>
    </row>
    <row r="66" spans="1:19" x14ac:dyDescent="0.25">
      <c r="A66" s="238" t="s">
        <v>1803</v>
      </c>
      <c r="B66" s="256" t="s">
        <v>1836</v>
      </c>
      <c r="C66" s="239" t="s">
        <v>1837</v>
      </c>
      <c r="D66" s="239" t="s">
        <v>2635</v>
      </c>
      <c r="E66" s="250" t="s">
        <v>1838</v>
      </c>
      <c r="F66" s="239" t="s">
        <v>30</v>
      </c>
      <c r="G66" s="238" t="s">
        <v>1759</v>
      </c>
      <c r="H66" s="238" t="s">
        <v>1761</v>
      </c>
      <c r="I66" s="238" t="s">
        <v>38</v>
      </c>
      <c r="J66" s="263" t="s">
        <v>1956</v>
      </c>
      <c r="K66" s="240">
        <v>47049</v>
      </c>
      <c r="L66" s="232" t="s">
        <v>38</v>
      </c>
      <c r="M66" s="232" t="s">
        <v>38</v>
      </c>
      <c r="N66" s="234" t="s">
        <v>1956</v>
      </c>
      <c r="O66" s="237" t="s">
        <v>1009</v>
      </c>
      <c r="P66" s="237" t="s">
        <v>1009</v>
      </c>
      <c r="Q66" s="209" t="s">
        <v>2555</v>
      </c>
    </row>
    <row r="67" spans="1:19" x14ac:dyDescent="0.25">
      <c r="A67" s="238" t="s">
        <v>1803</v>
      </c>
      <c r="B67" s="256" t="s">
        <v>358</v>
      </c>
      <c r="C67" s="239" t="s">
        <v>2485</v>
      </c>
      <c r="D67" s="239" t="s">
        <v>2486</v>
      </c>
      <c r="E67" s="249" t="s">
        <v>2487</v>
      </c>
      <c r="F67" s="231" t="s">
        <v>657</v>
      </c>
      <c r="G67" s="232" t="s">
        <v>1759</v>
      </c>
      <c r="H67" s="238" t="s">
        <v>1761</v>
      </c>
      <c r="I67" s="238" t="s">
        <v>38</v>
      </c>
      <c r="J67" s="263" t="s">
        <v>1956</v>
      </c>
      <c r="K67" s="233">
        <v>47061</v>
      </c>
      <c r="L67" s="233" t="s">
        <v>38</v>
      </c>
      <c r="M67" s="233" t="s">
        <v>38</v>
      </c>
      <c r="N67" s="257" t="s">
        <v>1956</v>
      </c>
      <c r="O67" s="237" t="s">
        <v>2551</v>
      </c>
      <c r="P67" s="237" t="s">
        <v>2551</v>
      </c>
      <c r="Q67" s="237" t="s">
        <v>2551</v>
      </c>
      <c r="R67" s="209"/>
      <c r="S67" s="209"/>
    </row>
    <row r="68" spans="1:19" x14ac:dyDescent="0.25">
      <c r="A68" s="238" t="s">
        <v>1803</v>
      </c>
      <c r="B68" s="256" t="s">
        <v>2357</v>
      </c>
      <c r="C68" s="239" t="s">
        <v>2358</v>
      </c>
      <c r="D68" s="239" t="s">
        <v>2646</v>
      </c>
      <c r="E68" s="249" t="s">
        <v>2359</v>
      </c>
      <c r="F68" s="231" t="s">
        <v>30</v>
      </c>
      <c r="G68" s="232" t="s">
        <v>1759</v>
      </c>
      <c r="H68" s="238" t="s">
        <v>1761</v>
      </c>
      <c r="I68" s="238" t="s">
        <v>38</v>
      </c>
      <c r="J68" s="263" t="s">
        <v>1956</v>
      </c>
      <c r="K68" s="240">
        <v>47066</v>
      </c>
      <c r="L68" s="232" t="s">
        <v>38</v>
      </c>
      <c r="M68" s="232" t="s">
        <v>38</v>
      </c>
      <c r="N68" s="242" t="s">
        <v>2003</v>
      </c>
      <c r="O68" s="237" t="s">
        <v>1009</v>
      </c>
      <c r="P68" s="237" t="s">
        <v>1009</v>
      </c>
      <c r="Q68" s="209" t="s">
        <v>2555</v>
      </c>
      <c r="R68" s="209"/>
    </row>
    <row r="69" spans="1:19" ht="24" x14ac:dyDescent="0.25">
      <c r="A69" s="238" t="s">
        <v>1803</v>
      </c>
      <c r="B69" s="243" t="s">
        <v>1791</v>
      </c>
      <c r="C69" s="243" t="s">
        <v>2567</v>
      </c>
      <c r="D69" s="241">
        <v>8662553352</v>
      </c>
      <c r="E69" s="250" t="s">
        <v>2568</v>
      </c>
      <c r="F69" s="231" t="s">
        <v>30</v>
      </c>
      <c r="G69" s="232" t="s">
        <v>1759</v>
      </c>
      <c r="H69" s="274" t="s">
        <v>1766</v>
      </c>
      <c r="I69" s="263" t="s">
        <v>1956</v>
      </c>
      <c r="J69" s="263" t="s">
        <v>1956</v>
      </c>
      <c r="K69" s="233">
        <v>47072</v>
      </c>
      <c r="L69" s="232" t="s">
        <v>38</v>
      </c>
      <c r="M69" s="232" t="s">
        <v>38</v>
      </c>
      <c r="N69" s="242" t="s">
        <v>2003</v>
      </c>
      <c r="O69" s="237" t="s">
        <v>1009</v>
      </c>
      <c r="P69" s="237" t="s">
        <v>1009</v>
      </c>
      <c r="Q69" s="209" t="s">
        <v>2555</v>
      </c>
      <c r="R69" s="209"/>
      <c r="S69" s="209"/>
    </row>
    <row r="70" spans="1:19" x14ac:dyDescent="0.25">
      <c r="A70" s="238" t="s">
        <v>1803</v>
      </c>
      <c r="B70" s="243" t="s">
        <v>998</v>
      </c>
      <c r="C70" s="231" t="s">
        <v>1744</v>
      </c>
      <c r="D70" s="241" t="s">
        <v>2645</v>
      </c>
      <c r="E70" s="250" t="s">
        <v>1743</v>
      </c>
      <c r="F70" s="231" t="s">
        <v>934</v>
      </c>
      <c r="G70" s="232" t="s">
        <v>1759</v>
      </c>
      <c r="H70" s="238" t="s">
        <v>1761</v>
      </c>
      <c r="I70" s="238" t="s">
        <v>38</v>
      </c>
      <c r="J70" s="263" t="s">
        <v>1956</v>
      </c>
      <c r="K70" s="262">
        <v>47086</v>
      </c>
      <c r="L70" s="232" t="s">
        <v>38</v>
      </c>
      <c r="M70" s="232" t="s">
        <v>38</v>
      </c>
      <c r="N70" s="234" t="s">
        <v>1956</v>
      </c>
      <c r="O70" s="237" t="s">
        <v>1009</v>
      </c>
      <c r="P70" s="237" t="s">
        <v>1009</v>
      </c>
      <c r="Q70" s="209" t="s">
        <v>2555</v>
      </c>
      <c r="R70" s="209"/>
      <c r="S70" s="209"/>
    </row>
    <row r="71" spans="1:19" ht="24" x14ac:dyDescent="0.25">
      <c r="A71" s="238" t="s">
        <v>1803</v>
      </c>
      <c r="B71" s="243" t="s">
        <v>1793</v>
      </c>
      <c r="C71" s="243" t="s">
        <v>1832</v>
      </c>
      <c r="D71" s="241" t="s">
        <v>1833</v>
      </c>
      <c r="E71" s="250" t="s">
        <v>2278</v>
      </c>
      <c r="F71" s="231" t="s">
        <v>657</v>
      </c>
      <c r="G71" s="232" t="s">
        <v>1759</v>
      </c>
      <c r="H71" s="238" t="s">
        <v>1761</v>
      </c>
      <c r="I71" s="238" t="s">
        <v>38</v>
      </c>
      <c r="J71" s="263" t="s">
        <v>1956</v>
      </c>
      <c r="K71" s="262">
        <v>47125</v>
      </c>
      <c r="L71" s="232" t="s">
        <v>38</v>
      </c>
      <c r="M71" s="232" t="s">
        <v>38</v>
      </c>
      <c r="N71" s="242" t="s">
        <v>2003</v>
      </c>
      <c r="O71" s="237" t="s">
        <v>1009</v>
      </c>
      <c r="P71" s="237" t="s">
        <v>1009</v>
      </c>
      <c r="Q71" s="209" t="s">
        <v>2555</v>
      </c>
    </row>
    <row r="72" spans="1:19" ht="24" x14ac:dyDescent="0.25">
      <c r="A72" s="238" t="s">
        <v>1803</v>
      </c>
      <c r="B72" s="243" t="s">
        <v>307</v>
      </c>
      <c r="C72" s="243" t="s">
        <v>2137</v>
      </c>
      <c r="D72" s="241" t="s">
        <v>2644</v>
      </c>
      <c r="E72" s="250" t="s">
        <v>1834</v>
      </c>
      <c r="F72" s="231" t="s">
        <v>30</v>
      </c>
      <c r="G72" s="232" t="s">
        <v>1759</v>
      </c>
      <c r="H72" s="238" t="s">
        <v>1761</v>
      </c>
      <c r="I72" s="238" t="s">
        <v>38</v>
      </c>
      <c r="J72" s="263" t="s">
        <v>1956</v>
      </c>
      <c r="K72" s="262">
        <v>47141</v>
      </c>
      <c r="L72" s="232" t="s">
        <v>38</v>
      </c>
      <c r="M72" s="232" t="s">
        <v>38</v>
      </c>
      <c r="N72" s="234" t="s">
        <v>1956</v>
      </c>
      <c r="O72" s="237" t="s">
        <v>1009</v>
      </c>
      <c r="P72" s="237" t="s">
        <v>1009</v>
      </c>
      <c r="Q72" s="209" t="s">
        <v>2555</v>
      </c>
      <c r="R72" s="209"/>
    </row>
    <row r="73" spans="1:19" x14ac:dyDescent="0.25">
      <c r="A73" s="247" t="s">
        <v>1803</v>
      </c>
      <c r="B73" s="256" t="s">
        <v>2330</v>
      </c>
      <c r="C73" s="239" t="s">
        <v>2335</v>
      </c>
      <c r="D73" s="239" t="s">
        <v>2609</v>
      </c>
      <c r="E73" s="311" t="s">
        <v>2336</v>
      </c>
      <c r="F73" s="239" t="s">
        <v>30</v>
      </c>
      <c r="G73" s="238" t="s">
        <v>1759</v>
      </c>
      <c r="H73" s="238" t="s">
        <v>1761</v>
      </c>
      <c r="I73" s="238" t="s">
        <v>38</v>
      </c>
      <c r="J73" s="263" t="s">
        <v>1956</v>
      </c>
      <c r="K73" s="240">
        <v>47258</v>
      </c>
      <c r="L73" s="232" t="s">
        <v>38</v>
      </c>
      <c r="M73" s="232" t="s">
        <v>38</v>
      </c>
      <c r="N73" s="257" t="s">
        <v>1956</v>
      </c>
      <c r="O73" s="237" t="s">
        <v>1009</v>
      </c>
      <c r="P73" s="237" t="s">
        <v>1009</v>
      </c>
      <c r="Q73" s="209" t="s">
        <v>2555</v>
      </c>
    </row>
    <row r="74" spans="1:19" x14ac:dyDescent="0.25">
      <c r="A74" s="238"/>
      <c r="B74" s="256" t="s">
        <v>1841</v>
      </c>
      <c r="C74" s="239" t="s">
        <v>2130</v>
      </c>
      <c r="D74" s="239" t="s">
        <v>1950</v>
      </c>
      <c r="E74" s="250" t="s">
        <v>2272</v>
      </c>
      <c r="F74" s="239" t="s">
        <v>30</v>
      </c>
      <c r="G74" s="238" t="s">
        <v>1759</v>
      </c>
      <c r="H74" s="238" t="s">
        <v>1761</v>
      </c>
      <c r="I74" s="238" t="s">
        <v>38</v>
      </c>
      <c r="J74" s="238" t="s">
        <v>38</v>
      </c>
      <c r="K74" s="238" t="s">
        <v>38</v>
      </c>
      <c r="L74" s="263" t="s">
        <v>1956</v>
      </c>
      <c r="M74" s="240">
        <v>46289</v>
      </c>
      <c r="N74" s="234" t="s">
        <v>1956</v>
      </c>
      <c r="O74" s="237" t="s">
        <v>1009</v>
      </c>
      <c r="P74" s="237" t="s">
        <v>38</v>
      </c>
      <c r="Q74" s="209" t="s">
        <v>2555</v>
      </c>
      <c r="R74" s="209"/>
      <c r="S74" s="209"/>
    </row>
    <row r="75" spans="1:19" ht="24" x14ac:dyDescent="0.25">
      <c r="A75" s="238" t="s">
        <v>1803</v>
      </c>
      <c r="B75" s="256" t="s">
        <v>1886</v>
      </c>
      <c r="C75" s="241" t="s">
        <v>1892</v>
      </c>
      <c r="D75" s="241" t="s">
        <v>2643</v>
      </c>
      <c r="E75" s="250" t="s">
        <v>2273</v>
      </c>
      <c r="F75" s="231" t="s">
        <v>30</v>
      </c>
      <c r="G75" s="232" t="s">
        <v>1759</v>
      </c>
      <c r="H75" s="238" t="s">
        <v>1761</v>
      </c>
      <c r="I75" s="238" t="s">
        <v>38</v>
      </c>
      <c r="J75" s="238" t="s">
        <v>38</v>
      </c>
      <c r="K75" s="238" t="s">
        <v>38</v>
      </c>
      <c r="L75" s="238" t="s">
        <v>38</v>
      </c>
      <c r="M75" s="238" t="s">
        <v>38</v>
      </c>
      <c r="N75" s="234" t="s">
        <v>1956</v>
      </c>
      <c r="O75" s="237" t="s">
        <v>1009</v>
      </c>
      <c r="P75" s="237" t="s">
        <v>1009</v>
      </c>
      <c r="Q75" s="209" t="s">
        <v>2555</v>
      </c>
      <c r="R75" s="209" t="s">
        <v>2563</v>
      </c>
      <c r="S75" s="209"/>
    </row>
    <row r="76" spans="1:19" ht="24" x14ac:dyDescent="0.25">
      <c r="A76" s="238" t="s">
        <v>1803</v>
      </c>
      <c r="B76" s="243" t="s">
        <v>1545</v>
      </c>
      <c r="C76" s="231" t="s">
        <v>2133</v>
      </c>
      <c r="D76" s="241" t="s">
        <v>2642</v>
      </c>
      <c r="E76" s="250" t="s">
        <v>1546</v>
      </c>
      <c r="F76" s="231" t="s">
        <v>30</v>
      </c>
      <c r="G76" s="232" t="s">
        <v>1759</v>
      </c>
      <c r="H76" s="238" t="s">
        <v>1761</v>
      </c>
      <c r="I76" s="238" t="s">
        <v>38</v>
      </c>
      <c r="J76" s="232" t="s">
        <v>38</v>
      </c>
      <c r="K76" s="232" t="s">
        <v>38</v>
      </c>
      <c r="L76" s="232" t="s">
        <v>38</v>
      </c>
      <c r="M76" s="232" t="s">
        <v>38</v>
      </c>
      <c r="N76" s="244" t="s">
        <v>1956</v>
      </c>
      <c r="O76" s="237" t="s">
        <v>1009</v>
      </c>
      <c r="P76" s="237" t="s">
        <v>1009</v>
      </c>
      <c r="Q76" s="209" t="s">
        <v>2555</v>
      </c>
      <c r="R76" s="209"/>
      <c r="S76" s="209"/>
    </row>
    <row r="77" spans="1:19" x14ac:dyDescent="0.25">
      <c r="A77" s="238"/>
      <c r="B77" s="256" t="s">
        <v>1822</v>
      </c>
      <c r="C77" s="239" t="s">
        <v>2023</v>
      </c>
      <c r="D77" s="241" t="s">
        <v>2025</v>
      </c>
      <c r="E77" s="250" t="s">
        <v>2024</v>
      </c>
      <c r="F77" s="231" t="s">
        <v>1211</v>
      </c>
      <c r="G77" s="232" t="s">
        <v>1760</v>
      </c>
      <c r="H77" s="238" t="s">
        <v>1761</v>
      </c>
      <c r="I77" s="238" t="s">
        <v>38</v>
      </c>
      <c r="J77" s="238" t="s">
        <v>38</v>
      </c>
      <c r="K77" s="238" t="s">
        <v>38</v>
      </c>
      <c r="L77" s="238" t="s">
        <v>38</v>
      </c>
      <c r="M77" s="238" t="s">
        <v>38</v>
      </c>
      <c r="N77" s="234" t="s">
        <v>1956</v>
      </c>
      <c r="O77" s="237" t="s">
        <v>2553</v>
      </c>
      <c r="P77" s="237" t="s">
        <v>1904</v>
      </c>
      <c r="Q77" s="209" t="s">
        <v>2555</v>
      </c>
    </row>
    <row r="78" spans="1:19" x14ac:dyDescent="0.25">
      <c r="A78" s="238" t="s">
        <v>1803</v>
      </c>
      <c r="B78" s="256" t="s">
        <v>2343</v>
      </c>
      <c r="C78" s="239" t="s">
        <v>2344</v>
      </c>
      <c r="D78" s="239" t="s">
        <v>2345</v>
      </c>
      <c r="E78" s="249" t="s">
        <v>2346</v>
      </c>
      <c r="F78" s="231" t="s">
        <v>30</v>
      </c>
      <c r="G78" s="232" t="s">
        <v>1759</v>
      </c>
      <c r="H78" s="238" t="s">
        <v>1761</v>
      </c>
      <c r="I78" s="238" t="s">
        <v>38</v>
      </c>
      <c r="J78" s="238" t="s">
        <v>38</v>
      </c>
      <c r="K78" s="238" t="s">
        <v>38</v>
      </c>
      <c r="L78" s="238" t="s">
        <v>38</v>
      </c>
      <c r="M78" s="238" t="s">
        <v>38</v>
      </c>
      <c r="N78" s="257" t="s">
        <v>1956</v>
      </c>
      <c r="O78" s="237" t="s">
        <v>1009</v>
      </c>
      <c r="P78" s="237" t="s">
        <v>1009</v>
      </c>
      <c r="Q78" s="209" t="s">
        <v>2555</v>
      </c>
      <c r="R78" s="209"/>
      <c r="S78" s="209"/>
    </row>
    <row r="79" spans="1:19" ht="24" x14ac:dyDescent="0.25">
      <c r="A79" s="238" t="s">
        <v>1803</v>
      </c>
      <c r="B79" s="256" t="s">
        <v>2501</v>
      </c>
      <c r="C79" s="239" t="s">
        <v>2502</v>
      </c>
      <c r="D79" s="241" t="s">
        <v>2504</v>
      </c>
      <c r="E79" s="249" t="s">
        <v>2503</v>
      </c>
      <c r="F79" s="231" t="s">
        <v>30</v>
      </c>
      <c r="G79" s="232" t="s">
        <v>1759</v>
      </c>
      <c r="H79" s="238" t="s">
        <v>1761</v>
      </c>
      <c r="I79" s="238" t="s">
        <v>38</v>
      </c>
      <c r="J79" s="238" t="s">
        <v>38</v>
      </c>
      <c r="K79" s="238" t="s">
        <v>38</v>
      </c>
      <c r="L79" s="238" t="s">
        <v>38</v>
      </c>
      <c r="M79" s="238" t="s">
        <v>38</v>
      </c>
      <c r="N79" s="257" t="s">
        <v>1956</v>
      </c>
      <c r="O79" s="237" t="s">
        <v>2553</v>
      </c>
      <c r="P79" s="237" t="s">
        <v>1009</v>
      </c>
      <c r="Q79" s="209" t="s">
        <v>2555</v>
      </c>
      <c r="R79" s="209" t="s">
        <v>2563</v>
      </c>
      <c r="S79" s="209" t="s">
        <v>2653</v>
      </c>
    </row>
    <row r="80" spans="1:19" x14ac:dyDescent="0.25">
      <c r="A80" s="238" t="s">
        <v>1803</v>
      </c>
      <c r="B80" s="243" t="s">
        <v>1369</v>
      </c>
      <c r="C80" s="239" t="s">
        <v>2148</v>
      </c>
      <c r="D80" s="239" t="s">
        <v>2149</v>
      </c>
      <c r="E80" s="250" t="s">
        <v>2284</v>
      </c>
      <c r="F80" s="231" t="s">
        <v>1229</v>
      </c>
      <c r="G80" s="232" t="s">
        <v>1760</v>
      </c>
      <c r="H80" s="238" t="s">
        <v>1761</v>
      </c>
      <c r="I80" s="238" t="s">
        <v>38</v>
      </c>
      <c r="J80" s="238" t="s">
        <v>38</v>
      </c>
      <c r="K80" s="238" t="s">
        <v>38</v>
      </c>
      <c r="L80" s="238" t="s">
        <v>38</v>
      </c>
      <c r="M80" s="238" t="s">
        <v>38</v>
      </c>
      <c r="N80" s="234" t="s">
        <v>1956</v>
      </c>
      <c r="O80" s="237" t="s">
        <v>2553</v>
      </c>
      <c r="P80" s="237" t="s">
        <v>1904</v>
      </c>
      <c r="Q80" s="209" t="s">
        <v>2555</v>
      </c>
    </row>
    <row r="81" spans="1:19" ht="24" x14ac:dyDescent="0.25">
      <c r="A81" s="238" t="s">
        <v>1803</v>
      </c>
      <c r="B81" s="243" t="s">
        <v>1166</v>
      </c>
      <c r="C81" s="243" t="s">
        <v>2166</v>
      </c>
      <c r="D81" s="241" t="s">
        <v>2641</v>
      </c>
      <c r="E81" s="250" t="s">
        <v>2285</v>
      </c>
      <c r="F81" s="231" t="s">
        <v>934</v>
      </c>
      <c r="G81" s="232" t="s">
        <v>1759</v>
      </c>
      <c r="H81" s="238" t="s">
        <v>1761</v>
      </c>
      <c r="I81" s="238" t="s">
        <v>38</v>
      </c>
      <c r="J81" s="233" t="s">
        <v>38</v>
      </c>
      <c r="K81" s="233" t="s">
        <v>38</v>
      </c>
      <c r="L81" s="263" t="s">
        <v>1956</v>
      </c>
      <c r="M81" s="233">
        <v>46625</v>
      </c>
      <c r="N81" s="242" t="s">
        <v>2003</v>
      </c>
      <c r="O81" s="237" t="s">
        <v>1009</v>
      </c>
      <c r="P81" s="237" t="s">
        <v>1009</v>
      </c>
      <c r="Q81" s="209" t="s">
        <v>2555</v>
      </c>
    </row>
    <row r="82" spans="1:19" ht="24" x14ac:dyDescent="0.25">
      <c r="A82" s="238"/>
      <c r="B82" s="243" t="s">
        <v>33</v>
      </c>
      <c r="C82" s="243" t="s">
        <v>2140</v>
      </c>
      <c r="D82" s="241" t="s">
        <v>2640</v>
      </c>
      <c r="E82" s="250" t="s">
        <v>1972</v>
      </c>
      <c r="F82" s="231" t="s">
        <v>30</v>
      </c>
      <c r="G82" s="232" t="s">
        <v>1759</v>
      </c>
      <c r="H82" s="238" t="s">
        <v>1761</v>
      </c>
      <c r="I82" s="238" t="s">
        <v>38</v>
      </c>
      <c r="J82" s="233" t="s">
        <v>38</v>
      </c>
      <c r="K82" s="233" t="s">
        <v>38</v>
      </c>
      <c r="L82" s="232" t="s">
        <v>38</v>
      </c>
      <c r="M82" s="232" t="s">
        <v>38</v>
      </c>
      <c r="N82" s="242" t="s">
        <v>2003</v>
      </c>
      <c r="O82" s="237" t="s">
        <v>2553</v>
      </c>
      <c r="P82" s="237" t="s">
        <v>1009</v>
      </c>
      <c r="Q82" s="303" t="s">
        <v>2552</v>
      </c>
    </row>
    <row r="83" spans="1:19" x14ac:dyDescent="0.25">
      <c r="A83" s="238" t="s">
        <v>1803</v>
      </c>
      <c r="B83" s="256" t="s">
        <v>1860</v>
      </c>
      <c r="C83" s="239" t="s">
        <v>1948</v>
      </c>
      <c r="D83" s="239">
        <v>13338700182</v>
      </c>
      <c r="E83" s="250" t="s">
        <v>1949</v>
      </c>
      <c r="F83" s="239" t="s">
        <v>934</v>
      </c>
      <c r="G83" s="238" t="s">
        <v>1760</v>
      </c>
      <c r="H83" s="238" t="s">
        <v>1761</v>
      </c>
      <c r="I83" s="238" t="s">
        <v>38</v>
      </c>
      <c r="J83" s="232" t="s">
        <v>38</v>
      </c>
      <c r="K83" s="232" t="s">
        <v>38</v>
      </c>
      <c r="L83" s="263" t="s">
        <v>1956</v>
      </c>
      <c r="M83" s="240">
        <v>46519</v>
      </c>
      <c r="N83" s="234" t="s">
        <v>1956</v>
      </c>
      <c r="O83" s="237" t="s">
        <v>2554</v>
      </c>
      <c r="P83" s="237" t="s">
        <v>1009</v>
      </c>
      <c r="Q83" s="209" t="s">
        <v>2555</v>
      </c>
    </row>
    <row r="84" spans="1:19" x14ac:dyDescent="0.25">
      <c r="A84" s="238" t="s">
        <v>1803</v>
      </c>
      <c r="B84" s="243" t="s">
        <v>684</v>
      </c>
      <c r="C84" s="239" t="s">
        <v>2143</v>
      </c>
      <c r="D84" s="239" t="s">
        <v>1999</v>
      </c>
      <c r="E84" s="250" t="s">
        <v>2289</v>
      </c>
      <c r="F84" s="231" t="s">
        <v>567</v>
      </c>
      <c r="G84" s="232" t="s">
        <v>1760</v>
      </c>
      <c r="H84" s="238" t="s">
        <v>1761</v>
      </c>
      <c r="I84" s="238" t="s">
        <v>38</v>
      </c>
      <c r="J84" s="232" t="s">
        <v>38</v>
      </c>
      <c r="K84" s="232" t="s">
        <v>38</v>
      </c>
      <c r="L84" s="232" t="s">
        <v>38</v>
      </c>
      <c r="M84" s="232" t="s">
        <v>38</v>
      </c>
      <c r="N84" s="321" t="s">
        <v>1956</v>
      </c>
      <c r="O84" s="237" t="s">
        <v>1009</v>
      </c>
      <c r="P84" s="237" t="s">
        <v>1009</v>
      </c>
      <c r="Q84" s="209" t="s">
        <v>2555</v>
      </c>
    </row>
    <row r="85" spans="1:19" x14ac:dyDescent="0.25">
      <c r="A85" s="238" t="s">
        <v>1803</v>
      </c>
      <c r="B85" s="256" t="s">
        <v>36</v>
      </c>
      <c r="E85" s="250"/>
      <c r="F85" s="239" t="s">
        <v>934</v>
      </c>
      <c r="G85" s="238" t="s">
        <v>1759</v>
      </c>
      <c r="H85" s="238" t="s">
        <v>1761</v>
      </c>
      <c r="I85" s="238" t="s">
        <v>38</v>
      </c>
      <c r="J85" s="255"/>
      <c r="K85" s="255"/>
      <c r="L85" s="255"/>
      <c r="M85" s="255"/>
      <c r="N85" s="257">
        <v>46113</v>
      </c>
      <c r="O85" s="237" t="s">
        <v>2553</v>
      </c>
      <c r="P85" s="237" t="s">
        <v>38</v>
      </c>
      <c r="Q85" s="303" t="s">
        <v>2552</v>
      </c>
      <c r="R85" s="209"/>
      <c r="S85" s="209"/>
    </row>
    <row r="86" spans="1:19" x14ac:dyDescent="0.25">
      <c r="A86" s="245" t="s">
        <v>2043</v>
      </c>
      <c r="B86" s="256" t="s">
        <v>2539</v>
      </c>
      <c r="C86" s="239" t="s">
        <v>2541</v>
      </c>
      <c r="D86" s="239">
        <v>8994988997</v>
      </c>
      <c r="E86" s="249" t="s">
        <v>2540</v>
      </c>
      <c r="F86" s="239" t="s">
        <v>940</v>
      </c>
      <c r="G86" s="238" t="s">
        <v>1760</v>
      </c>
      <c r="H86" s="238" t="s">
        <v>1761</v>
      </c>
      <c r="I86" s="238" t="s">
        <v>38</v>
      </c>
      <c r="J86" s="255"/>
      <c r="K86" s="255"/>
      <c r="L86" s="255"/>
      <c r="M86" s="255"/>
      <c r="N86" s="321" t="s">
        <v>1956</v>
      </c>
      <c r="O86" s="237" t="s">
        <v>2553</v>
      </c>
      <c r="P86" s="237" t="s">
        <v>1009</v>
      </c>
      <c r="Q86" s="303" t="s">
        <v>2552</v>
      </c>
      <c r="R86" s="235" t="s">
        <v>2664</v>
      </c>
    </row>
    <row r="87" spans="1:19" x14ac:dyDescent="0.25">
      <c r="A87" s="238"/>
      <c r="B87" s="310" t="s">
        <v>2168</v>
      </c>
      <c r="E87" s="250"/>
      <c r="H87" s="238" t="s">
        <v>1761</v>
      </c>
      <c r="I87" s="238" t="s">
        <v>38</v>
      </c>
      <c r="O87" s="287"/>
      <c r="P87" s="297"/>
      <c r="Q87" s="297"/>
      <c r="S87" s="209"/>
    </row>
    <row r="88" spans="1:19" x14ac:dyDescent="0.25">
      <c r="A88" s="238" t="s">
        <v>1803</v>
      </c>
      <c r="B88" s="256" t="s">
        <v>2089</v>
      </c>
      <c r="C88" s="241" t="s">
        <v>2489</v>
      </c>
      <c r="D88" s="241"/>
      <c r="E88" s="250" t="s">
        <v>2488</v>
      </c>
      <c r="F88" s="239" t="s">
        <v>30</v>
      </c>
      <c r="G88" s="238" t="s">
        <v>1759</v>
      </c>
      <c r="H88" s="238" t="s">
        <v>1761</v>
      </c>
      <c r="I88" s="238" t="s">
        <v>38</v>
      </c>
      <c r="J88" s="255"/>
      <c r="K88" s="255"/>
      <c r="L88" s="255"/>
      <c r="M88" s="255"/>
      <c r="N88" s="257">
        <v>46113</v>
      </c>
      <c r="O88" s="237" t="s">
        <v>2553</v>
      </c>
      <c r="P88" s="237" t="s">
        <v>1009</v>
      </c>
      <c r="Q88" s="303" t="s">
        <v>2552</v>
      </c>
      <c r="R88" s="209"/>
      <c r="S88" s="209"/>
    </row>
    <row r="89" spans="1:19" x14ac:dyDescent="0.25">
      <c r="A89" s="238" t="s">
        <v>1803</v>
      </c>
      <c r="B89" s="256" t="s">
        <v>1703</v>
      </c>
      <c r="C89" s="239" t="s">
        <v>2301</v>
      </c>
      <c r="D89" s="239" t="s">
        <v>2302</v>
      </c>
      <c r="E89" s="250" t="s">
        <v>2303</v>
      </c>
      <c r="F89" s="239" t="s">
        <v>934</v>
      </c>
      <c r="G89" s="238" t="s">
        <v>1759</v>
      </c>
      <c r="H89" s="238" t="s">
        <v>1761</v>
      </c>
      <c r="I89" s="238" t="s">
        <v>38</v>
      </c>
      <c r="J89" s="255"/>
      <c r="K89" s="255"/>
      <c r="L89" s="255"/>
      <c r="M89" s="255"/>
      <c r="N89" s="257">
        <v>46113</v>
      </c>
      <c r="O89" s="237" t="s">
        <v>1009</v>
      </c>
      <c r="P89" s="237" t="s">
        <v>38</v>
      </c>
      <c r="Q89" s="209" t="s">
        <v>2555</v>
      </c>
      <c r="R89" s="209"/>
      <c r="S89" s="209"/>
    </row>
    <row r="90" spans="1:19" x14ac:dyDescent="0.25">
      <c r="A90" s="245" t="s">
        <v>2043</v>
      </c>
      <c r="B90" s="256" t="s">
        <v>2534</v>
      </c>
      <c r="C90" s="239" t="s">
        <v>2535</v>
      </c>
      <c r="D90" s="239" t="s">
        <v>2536</v>
      </c>
      <c r="E90" s="249" t="s">
        <v>2537</v>
      </c>
      <c r="F90" s="239" t="s">
        <v>934</v>
      </c>
      <c r="G90" s="238" t="s">
        <v>1759</v>
      </c>
      <c r="H90" s="238" t="s">
        <v>1761</v>
      </c>
      <c r="I90" s="238" t="s">
        <v>38</v>
      </c>
      <c r="J90" s="255"/>
      <c r="K90" s="255"/>
      <c r="L90" s="255"/>
      <c r="M90" s="255"/>
      <c r="N90" s="257">
        <v>46161</v>
      </c>
      <c r="O90" s="287"/>
      <c r="P90" s="297"/>
      <c r="Q90" s="297"/>
      <c r="R90" s="235" t="s">
        <v>2664</v>
      </c>
    </row>
  </sheetData>
  <autoFilter ref="A2:S2" xr:uid="{21DE6584-E81B-4FB9-A6B8-C9AEB3BEA8BC}">
    <sortState xmlns:xlrd2="http://schemas.microsoft.com/office/spreadsheetml/2017/richdata2" ref="A4:S90">
      <sortCondition ref="K2"/>
    </sortState>
  </autoFilter>
  <mergeCells count="14">
    <mergeCell ref="Q1:Q2"/>
    <mergeCell ref="O1:O2"/>
    <mergeCell ref="P1:P2"/>
    <mergeCell ref="N1:N2"/>
    <mergeCell ref="H1:H2"/>
    <mergeCell ref="I1:I2"/>
    <mergeCell ref="J1:M1"/>
    <mergeCell ref="C1:C2"/>
    <mergeCell ref="G1:G2"/>
    <mergeCell ref="A1:A2"/>
    <mergeCell ref="B1:B2"/>
    <mergeCell ref="D1:D2"/>
    <mergeCell ref="E1:E2"/>
    <mergeCell ref="F1:F2"/>
  </mergeCells>
  <conditionalFormatting sqref="B1 B3:B1048576">
    <cfRule type="duplicateValues" dxfId="4" priority="1"/>
    <cfRule type="duplicateValues" dxfId="3" priority="2"/>
    <cfRule type="duplicateValues" dxfId="2" priority="16"/>
  </conditionalFormatting>
  <conditionalFormatting sqref="D58">
    <cfRule type="duplicateValues" dxfId="1" priority="15"/>
  </conditionalFormatting>
  <conditionalFormatting sqref="E1">
    <cfRule type="duplicateValues" dxfId="0" priority="30"/>
  </conditionalFormatting>
  <hyperlinks>
    <hyperlink ref="E10" r:id="rId1" display="JuanManuel.Moreno@avient.com" xr:uid="{0B6F25AE-99D6-49AA-9AA6-0620E5B4C0F0}"/>
    <hyperlink ref="E76" r:id="rId2" xr:uid="{26F21CFC-4971-45A6-BD62-A86E69112E13}"/>
    <hyperlink ref="E9" r:id="rId3" display="LFertig@Entecpolymers.com" xr:uid="{F21CB237-8B9D-4DE5-8F2E-50C3EBDB311E}"/>
    <hyperlink ref="E43" r:id="rId4" display="mumanzor@kingfa.com" xr:uid="{E918EB99-6BB2-4ADC-9CF5-B47FB711A0FE}"/>
    <hyperlink ref="E39" r:id="rId5" display="dpatel@marianchicago.com" xr:uid="{D44DA17D-5130-4E12-9A49-E13C489752CF}"/>
    <hyperlink ref="E50" r:id="rId6" xr:uid="{9C07E71D-6162-4437-ABCE-665FE4E8FA36}"/>
    <hyperlink ref="E82" r:id="rId7" display="sheila.rodriguez@Sabic.com" xr:uid="{60FF3B70-51AB-43F8-AFD0-6BC0FCC1874E}"/>
    <hyperlink ref="E24" r:id="rId8" display="bwhelan@teknorapex.com" xr:uid="{E02AF62E-825E-4B7F-A401-17B7E8D9879D}"/>
    <hyperlink ref="E72" r:id="rId9" display="anna_carter@nexeoplastics.com_x000a_" xr:uid="{0C4CDD94-FCC9-4F1C-A23B-D04F087BC71C}"/>
    <hyperlink ref="E46" r:id="rId10" xr:uid="{5EC54C88-44CF-4CE1-80FB-57BA1C136214}"/>
    <hyperlink ref="E37" r:id="rId11" xr:uid="{9D7616F8-D452-43AD-8D6F-CF53CD0C683F}"/>
    <hyperlink ref="E29" r:id="rId12" display="mailto:cecilia.guo@liphing.com" xr:uid="{A1819CF7-9E77-41C0-BC76-8558BE069364}"/>
    <hyperlink ref="D51" r:id="rId13" display="Tel:+86-752-6188777_x000a_Cell:19982083314" xr:uid="{765D7F72-1A96-49D8-837F-7675CF94908E}"/>
    <hyperlink ref="E83" r:id="rId14" xr:uid="{1E70258C-8FF6-4D38-94C7-FFA310D11434}"/>
    <hyperlink ref="E8" r:id="rId15" xr:uid="{4416873F-DB6A-4FDC-A3BC-9C0848301F72}"/>
    <hyperlink ref="E61" r:id="rId16" xr:uid="{AD66A6FC-E031-4A67-BC92-DF8E57258BE3}"/>
    <hyperlink ref="E69" r:id="rId17" display="Sofia.Lopez@formerra.com" xr:uid="{7F81FBBB-2282-4A24-B643-ABCE1AD7CA04}"/>
    <hyperlink ref="E53" r:id="rId18" xr:uid="{F6D55DA9-4306-4F63-8097-EFCEEBECA41C}"/>
    <hyperlink ref="E54" r:id="rId19" xr:uid="{46685F76-F6B7-47D4-8447-7921C0994B33}"/>
    <hyperlink ref="E48" r:id="rId20" xr:uid="{248FBBE9-04A7-40E9-8D6B-D951E98EF0BE}"/>
    <hyperlink ref="E34" r:id="rId21" xr:uid="{FFE7D8EF-8D66-472E-B733-6D387E187D5E}"/>
    <hyperlink ref="E74" r:id="rId22" xr:uid="{9E1DE18C-627A-4BEF-AFC3-BF903375215F}"/>
    <hyperlink ref="E52" r:id="rId23" xr:uid="{FC50E5B9-94A2-4F96-A1B0-6AD916E7ACFF}"/>
    <hyperlink ref="E21" r:id="rId24" xr:uid="{39C71239-53DB-4CC0-A2CF-BBDDCF7CABD6}"/>
    <hyperlink ref="E36" r:id="rId25" xr:uid="{6C484ACF-020D-48E9-833F-1DEE0372C5FE}"/>
    <hyperlink ref="E22" r:id="rId26" xr:uid="{F70739DF-242B-416D-B9EF-64E1FF0DC631}"/>
    <hyperlink ref="E3" r:id="rId27" xr:uid="{2449C31A-32F9-487C-BE92-4CC0D4C104E6}"/>
    <hyperlink ref="E65" r:id="rId28" xr:uid="{152C3FAE-F866-4B88-B175-D09D2B8942A5}"/>
    <hyperlink ref="E30" r:id="rId29" display="vmora@gp-materials.com" xr:uid="{D60C4471-049F-4164-83F0-1FB98DF69B55}"/>
    <hyperlink ref="E62" r:id="rId30" xr:uid="{B1EF90C6-A692-4240-B069-8BBB6CF8BA6D}"/>
    <hyperlink ref="E12" r:id="rId31" xr:uid="{238A17CB-04B9-4369-84AF-77E8208CA2B0}"/>
    <hyperlink ref="E33" r:id="rId32" xr:uid="{001790CD-4D27-4293-8699-BC3C02071036}"/>
    <hyperlink ref="E80" r:id="rId33" xr:uid="{95C495C4-1757-4DB6-9C58-D9995E20FBD6}"/>
    <hyperlink ref="E26" r:id="rId34" xr:uid="{A6FB42CF-CA6D-470D-AF7D-A40F4D5FA52E}"/>
    <hyperlink ref="E84" r:id="rId35" xr:uid="{6E3448FC-E326-4EDF-9ADF-8621CDAAADB6}"/>
    <hyperlink ref="E35" r:id="rId36" xr:uid="{3201B128-70EB-49FB-A9E2-14A85370F0CE}"/>
    <hyperlink ref="E44" r:id="rId37" xr:uid="{8CB4B101-4DD9-4E4B-9C65-AC64AF2EC38C}"/>
    <hyperlink ref="E89" r:id="rId38" xr:uid="{695E57EE-BF97-4533-827F-D532E5AC4A01}"/>
    <hyperlink ref="E73" r:id="rId39" xr:uid="{B2291F16-545B-4CB1-A4C2-DA89048C79DD}"/>
    <hyperlink ref="E78" r:id="rId40" xr:uid="{5A14B15B-982A-48BB-BA55-66BA9F738166}"/>
    <hyperlink ref="E68" r:id="rId41" xr:uid="{FE72B596-8B70-44D9-ADAA-2344C49DF900}"/>
    <hyperlink ref="E47" r:id="rId42" xr:uid="{EE3DF541-5A99-4C37-9076-BE37642A709A}"/>
    <hyperlink ref="E15" r:id="rId43" xr:uid="{451EDC4A-7DAD-453D-A666-AD6450EC56B2}"/>
    <hyperlink ref="E17" r:id="rId44" xr:uid="{CDE2AD17-C0FA-4D20-AD82-8794119B6956}"/>
    <hyperlink ref="E32" r:id="rId45" xr:uid="{236F8D6E-BF16-4307-BACD-1C710294E4E3}"/>
    <hyperlink ref="E58" r:id="rId46" xr:uid="{A57B2240-7106-4FAC-859A-597C8D0180EF}"/>
    <hyperlink ref="E59" r:id="rId47" tooltip="mailto:cristina.arriaga@tecmaq.com.mx" display="mailto:cristina.arriaga@tecmaq.com.mx" xr:uid="{B098C9C9-1A50-4061-8AF6-F9ED87B89415}"/>
    <hyperlink ref="E20" r:id="rId48" display="emma.flores@spirol.com" xr:uid="{625B7243-A19E-4324-B719-BBBA75B4B1A8}"/>
  </hyperlinks>
  <pageMargins left="0.7" right="0.7" top="0.75" bottom="0.75" header="0.3" footer="0.3"/>
  <pageSetup orientation="portrait" r:id="rId49"/>
  <legacyDrawing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List (Backup Mar-16-22)</vt:lpstr>
      <vt:lpstr>Master List</vt:lpstr>
      <vt:lpstr>Contacto-Proveedor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Coolidge</dc:creator>
  <cp:lastModifiedBy>Ana.Perez</cp:lastModifiedBy>
  <cp:lastPrinted>2026-04-01T17:15:10Z</cp:lastPrinted>
  <dcterms:created xsi:type="dcterms:W3CDTF">2008-05-21T16:41:38Z</dcterms:created>
  <dcterms:modified xsi:type="dcterms:W3CDTF">2026-06-12T19:45:56Z</dcterms:modified>
</cp:coreProperties>
</file>